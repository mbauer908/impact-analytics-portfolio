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Counterfactual mortality" sheetId="3" r:id="rId7"/>
    <sheet state="visible" name="External validity" sheetId="4" r:id="rId8"/>
    <sheet state="visible" name="LeverageFunging" sheetId="5" r:id="rId9"/>
    <sheet state="visible" name="Inputs" sheetId="6" r:id="rId10"/>
    <sheet state="visible" name="GBD estimates" sheetId="7" r:id="rId11"/>
    <sheet state="visible" name="Simple CEA" sheetId="8" r:id="rId12"/>
    <sheet state="visible" name="Confidence intervals" sheetId="9" r:id="rId13"/>
    <sheet state="visible" name="Sensitivity analysi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they are leveraged</t>
      </text>
    </comment>
    <comment authorId="0" ref="E28">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170">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5">
      <text>
        <t xml:space="preserve">We make the simplifying assumption that deaths are spread evenly across each month from 1 to 11 months old.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1">
      <text>
        <t xml:space="preserve">The most recent poverty headcount data we've seen that reports both national and state-level data is from a 2019 survey conducted by Nigeria's National Bureau of Statistics. We use this data to compare state-level poverty rates with the national poverty rate.</t>
      </text>
    </comment>
    <comment authorId="0" ref="E75">
      <text>
        <t xml:space="preserve">We roughly guess that the percentage point change in vitamin A deficiency per year will be equal to the average percentage point change we calculated based on Nigerian survey data in the section above.</t>
      </text>
    </comment>
    <comment authorId="0" ref="C7">
      <text>
        <t xml:space="preserve">We have low confidence in the estimates of VAD in Nigeria at the state level that we have seen (see this section of our report on VAS: https://www.givewell.org/international/technical/programs/vitamin-A#Nigerian_states). The most recent national vitamin A deficiency survey results we've seen are form 2001. In order to estimate current vitamin A deficiency rates in Nigeria at the state level, we use national and state-level data on several proxies for vitamin A deficiency (low height-for-age and weight-for-height measurements, anemia rates, and poverty rates) to approximate how vitamin A deficiency rates vary across states and have changed over time.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4">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11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111">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29">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they are leveraged</t>
      </text>
    </comment>
    <comment authorId="0" ref="E28">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90">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10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4">
      <text>
        <t xml:space="preserve">We make the simplifying assumption that the population size is equal across monthly age brackets from 0 to 59 months.</t>
      </text>
    </comment>
    <comment authorId="0" ref="E150">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84">
      <text>
        <t xml:space="preserve">For countries where survey data was available.</t>
      </text>
    </comment>
    <comment authorId="0" ref="C167">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O18">
      <text>
        <t xml:space="preserve">We use the "overall" estimate from our Helen Keller cost per supplement analysis here because we do not have direct cost information for Madagascar.</t>
      </text>
    </comment>
    <comment authorId="0" ref="E134">
      <text>
        <t xml:space="preserve">We expect that "changes in rates of vitamin A deficiency" and "changes in causes of child mortality" are not fully independent. Including both adjustments may "double penalize" our external validity adjustment for VAS. 
We apply a rough adjustment here to mitigate the impact of double penalizing VAS in our external validity adjustment. We are highly uncertain about the value we have chosen for this adjustment.</t>
      </text>
    </comment>
    <comment authorId="0" ref="E151">
      <text>
        <t xml:space="preserve">We assume that the income benefits of VAS are 20% lower than those for SMC (relative to the level of mortality averted by each program). This is a rough and subjective adjustment, based on a comparison between VAS and anti-malaria programs on three outcomes that we’d expect to be among the most likely mechanisms for income effects (growth, cognition, and disability).
Overall, we think the available literature provides somewhat stronger evidence that anti-malaria programs have an impact on outcomes that we think are plausible candidates for income effects mechanisms than VAS. This comparison is uncertain because we’re unsure about the mechanism through which child health programs lead to income effects, we haven’t considered the evidence on long-term disability in detail, and there might be factors we haven’t considered. 
See this section of our report on VAS for more: https://www.givewell.org/international/technical/programs/vitamin-A#Subjective_adjustment_for_mechanisms</t>
      </text>
    </comment>
    <comment authorId="0" ref="C52">
      <text>
        <t xml:space="preserve">We use poverty headcount data from World Bank to estimate how poverty rates have changed over time.</t>
      </text>
    </comment>
    <comment authorId="0" ref="AG18">
      <text>
        <t xml:space="preserve">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H18">
      <text>
        <t xml:space="preserve">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L150">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I18">
      <text>
        <t xml:space="preserve">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J18">
      <text>
        <t xml:space="preserve">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E86">
      <text>
        <t xml:space="preserve">We use estimates of vitamin A deficiency prevalence from GBD 2017 to derive estimates of the vitamin A deficiency prevalence rate among the age group of children eligible for VAS using a similar methodology to the one we employed for estimating mortality estimates among this age group on the "Counterfactual mortality" sheet of this CEA: https://docs.google.com/spreadsheets/d/1NcR1RR3WyCqSjbqgPHuafNXtm4hSeIz66eZlX69k_80/edit#gid=1499825091&amp;range=A7:E18
In order to do so, we make the simplifying assumption that the population size is equal across monthly age brackets from 0 to 59 months.
However, IHME made a significant methodological change between its GBD 2017 and GBD 2019 that caused VAD prevalence estimates to significantly decrease. We do not yet fully understand the reasons for this decrease, and are therefore continuing to cite GBD 2017 data. We are not able to easily link to past versions of GBD and so cannot cite the source for these GBD 2017 estimates directly. 
The vitamin A deficiency prevalence estimates shown here are the derived vitamin A deficiency prevalence estimates we calculated for 6-59-month-olds based on the GBD 2017 estimates, not the GBD 2017 estimates themselves. To see these calculations, see this spreadsheet: https://docs.google.com/spreadsheets/d/1Vh1_QS0ZohtPzH7751j_yr4Y2qw4x4BkGTUsuVDgiHo/edit#gid=58273032&amp;range=A3:K5  (Note that Chad and Madagascar are not included on this sheet, but are methodology for those calculations was the same)</t>
      </text>
    </comment>
    <comment authorId="0" ref="E53">
      <text>
        <t xml:space="preserve">Source: World Bank estimates (https://data.worldbank.org/indicator/SI.POV.DDAY?locations=NG)
2003 is the closest available estimate to the national VAD survey in 2001 used to proxy for the poverty rate at the time of the survey. 
Note: the poverty rate figures shown in the source linked above have been updated since we conducted this analysis and no longer match the poverty rate figures we use in the CEA. This is because the World Bank has since updated the international poverty line from $1.90 to $2.15 (2017 ppp). For now, we have opted to continue using the figures that are based on the $1.90 poverty line, but we may revisit this in the future when we incorporate more recent survey data into the model. Updating these figures now would have a very small effect on our estimates of vitamin A deficiency.</t>
      </text>
    </comment>
    <comment authorId="0" ref="AL19">
      <text>
        <t xml:space="preserve">“Mass distribution campaigns are the main delivery mechanism for VAS. These campaigns are organized at least every 6 months” Helen Keller, VAS overview brochure, p. 2 
(https://files.givewell.org/files/DWDA%202009/Helen_Keller_International/HKI_VAS_Overview_Brochure.pdf)</t>
      </text>
    </comment>
    <comment authorId="0" ref="E169">
      <text>
        <t xml:space="preserve">Scenario: The program is delivered to people who don't benefit or minimally benefit because they have received the program from another source.
We account for this consideration elsewhere in this CEA</t>
      </text>
    </comment>
    <comment authorId="0" ref="E70">
      <text>
        <t xml:space="preserve">"Stunting" here defined as having a height-for-age measurement more than two standard deviations below average.
Nigeria DHS 2018 Final Report, Table 11.1, pp. 271-273.
https://dhsprogram.com/pubs/pdf/FR359/FR359.pdf</t>
      </text>
    </comment>
    <comment authorId="0" ref="J37">
      <text>
        <t xml:space="preserve">We use a weighted average of mortality rates in four regions of Cameroon (Centre, Littoral, Ouest, Sud), which we think are 14% lower than the national average. We use these regions because these are the regions where Helen Keller supported VAS campaigns in the first half of 2021. 
See this spreadsheet for our calculations: https://docs.google.com/spreadsheets/d/1mOdDJyxbpTcIDMnq5rHY_YFYnhNVV1SA9cL9RwjqY2Q/edit#gid=0</t>
      </text>
    </comment>
    <comment authorId="0" ref="O37">
      <text>
        <t xml:space="preserve">We estimate that mortality rates are 17% higher in the six regions Helen Keller's program will support in Madagascar than in Madagascar as a whole. See this spreadsheet for our calculations: https://docs.google.com/spreadsheets/d/1mOdDJyxbpTcIDMnq5rHY_YFYnhNVV1SA9cL9RwjqY2Q/edit#gid=460030014</t>
      </text>
    </comment>
    <comment authorId="0" ref="E54">
      <text>
        <t xml:space="preserve">Source: World Bank estimates (https://data.worldbank.org/indicator/SI.POV.DDAY?locations=NG)
2018 is the most recent estimate used as a proxy for the current rate. 
Note: the poverty rate figures shown in the source linked above have been updated since we conducted this analysis and no longer match the poverty rate figures we use in the CEA. This is because the World Bank has since updated the international poverty line from $1.90 to $2.15 (2017 ppp). For now, we have opted to continue using the figures that are based on the $1.90 poverty line, but we may revisit this in the future when we incorporate more recent survey data into the model. Updating these figures now would have a very small effect on our estimates of vitamin A deficiency.</t>
      </text>
    </comment>
    <comment authorId="0" ref="E203">
      <text>
        <t xml:space="preserve">We estimate that each dollar of in-kind resources that domestic governments contribute to VAS campaigns would generate 0.005 units of value if used for other activities. See our analysis of the counterfactual value of other actors' spending for this calculation. 
https://docs.google.com/spreadsheets/d/1zl2r2tHhzkWBSTZJwfinBWaEBnfBn5EsKAIK_gsDMmg/edit#gid=399484065&amp;range=F48</t>
      </text>
    </comment>
    <comment authorId="0" ref="E170">
      <text>
        <t xml:space="preserve">Scenario: Pills, ITNs, etc. are poorly made, counterfeit, or otherwise largely or fully ineffective at achieving the expected outcome. 
Our understanding is that drugs are donated by manufacturers in developed countries. Seems very unlikely that drugs are lower quality than in the research studies we have relied on in our cost-effectiveness analysis.</t>
      </text>
    </comment>
    <comment authorId="0" ref="E71">
      <text>
        <t xml:space="preserve">"Wasting" here defined as having a weight-for-height measurement more than two standard deviations below average.
Nigeria DHS 2018 Final Report, Table 11.1, Pgs. 271-273.
https://dhsprogram.com/pubs/pdf/FR359/FR359.pdf </t>
      </text>
    </comment>
    <comment authorId="0" ref="E204">
      <text>
        <t xml:space="preserve">We estimate that each dollar that Nutrition International contributes to VAS campaigns via donated capsules would generate 0.006 units of value if used for other activities. This estimate is based on assuming that Nutrition International’s spending on other activities is equal to 100% of the value of domestic government spending on health. This is a very rough guess.</t>
      </text>
    </comment>
    <comment authorId="0" ref="E171">
      <text>
        <t xml:space="preserve">Not applicable. Our cost per child treated estimate uses total costs and estimates of children reached.</t>
      </text>
    </comment>
    <comment authorId="0" ref="E72">
      <text>
        <t xml:space="preserve">Nigeria DHS 2018 Final Report, Table 11.8, Pgs. 282-283.
https://dhsprogram.com/pubs/pdf/FR359/FR359.pdf </t>
      </text>
    </comment>
    <comment authorId="0" ref="C56">
      <text>
        <t xml:space="preserve">The most recent poverty headcount data we've seen that reports both national and state-level data is from a 2019 survey conducted by Nigeria's National Bureau of Statistics. We use this data to compare state-level poverty rates with the national poverty rate.</t>
      </text>
    </comment>
    <comment authorId="0" ref="E89">
      <text>
        <t xml:space="preserve">We place weight on adjusted country survey results in addition to IHME estimates when available because these inputs are more transparent than IHME values. We can understand and vet them.
We assign 50% weight to the most recent vitamin A deficiency survey in geographies for which the most recent survey was a nationally representative survey, 25% weight when it was a regional survey, and 0% weight if we have not seen vitamin A deficiency survey results from the geography.</t>
      </text>
    </comment>
    <comment authorId="0" ref="E205">
      <text>
        <t xml:space="preserve">UNICEF has been one of the main philanthropic organizations supporting VAS in the areas where Helen Keller International works in recent years.
We estimate a 50% probability that funds spent by UNICEF on Vitamin A Supplementation (VAS) that might be crowded out by Helen Keller International's program in Angola, Burkina Faso, Cameroon, Chad, Côte d'Ivoire, DRC, Guinea, Madagascar, and Togo would go towards delivering VAS in other locations, and a 50% probability that these funds would go towards delivering other health interventions.
This is because much of the funding that UNICEF spends on VAS in these countries comes from a grant from Global Affairs Canada. Our understanding is that some of this grant is earmarked for VAS, but not all of it. We would guess that funds crowded out by Helen Keller International's VAS might plausibly be redirected towards either (a) VAS in other countries or (b) other health interventions covered by the grant.
We use a lower value for the counterfactual value of these funds in the other countries where Helen Keller and UNICEF operate. This is because our understanding is that UNICEF does not receive Global Affairs Canada funding for VAS in these locations, and so we expect much of the funding comes from UNICEF’s uncommitted funding. We would expect the counterfactual value of these funds to be lower.</t>
      </text>
    </comment>
    <comment authorId="0" ref="E139">
      <text>
        <t xml:space="preserve">Vitamin A supplementation may be delivered through both routine (facility-based) systems and mass campaigns. We have heard of cases where coverage may be relatively high for 6-12 month-olds who may receive vitamin A supplementation when they visit clinics for routine vaccinations. This rough value is attempting to account for the possibilities that (a) some children receive vitamin A through campaigns supported by Helen Keller International despite having recently received it through visits to clinics; and (b) that the children most likely to receive double treatment are the youngest in the age range (because 6-12 month-olds are more likely to visit clinics as part of receiving routine vaccinations) and this may be a group where vitamin A supplementation has a higher than average impact on mortality (since mortality tends to be highest in the youngest children). Examples:
- Helen Keller International notes, 'Vitamin A supplements in Kenya are administered to children aged 6-59 months through various delivery approaches. Throughout the year, children can access VAS in primary health care facilities, but this routine coverage only accounts for around 20 percent of children, essentially children below 12 months, as many caregivers do not bring their children to the health facilities after the end of the immunization contact points at one year of age.' (Helen Keller International, Room for More Funding Report, 2021: https://files.givewell.org/files/DWDA%202009/Helen_Keller_International/Helen_Keller_Room_for_More_Funding_Report_July_2021.pdf)
- The 2021 Demographic and Health Survey in Madagascar reports (translated by Google), "Among last-born children aged 6–23 months living with their mother, 40% have received vitamin A supplements in the last 6 months [...] Between 2008–09 and 2021, the percentage of children aged 6–59 months who received vitamin A supplements decreased significantly, from 72% to 40%. This is mainly due to the change in mode of distribution of vitamin A, which went from 'campaign' mode to routine mode since 2021." https://dhsprogram.com/pubs/pdf/FR376/FR376.pdf, page 224.
- In 2022, Helen Keller conducted coverage surveys in parts of three countries where there was no external support for VAS campaigns and where Helen Keller may support in the future. These were locations that GiveWell had not yet funded because they were thought to have stronger routine delivery of VAS—they are therefore not representative of all countries supported by Helen Keller. Coverage found in these surveys was 42%, 46%, and 52%. We have not yet asked Helen Keller for permission to publish the names of these countries.
Our understanding from Helen Keller is that most of the countries it works in to deliver VAS through campaigns have particularly weak health systems, so may have lower rates of health facility-delivered VAS than the examples above.</t>
      </text>
    </comment>
    <comment authorId="0" ref="O139">
      <text>
        <t xml:space="preserve">See our separate analysis for Madagascar here for this calculation: https://docs.google.com/spreadsheets/d/1ORZc3mD_2o9HpIquGqDQTqJq83_yzAtgnhiGYSfp9dM/edit#gid=0</t>
      </text>
    </comment>
    <comment authorId="0" ref="E90">
      <text>
        <t xml:space="preserve">We assign weight to IHME's VAD estimates from GBD 2017 because IHME uses proxy variables to model vitamin A deficiency rates for countries that have never had a VAD survey or have an outdated survey. Our impression is that IHME's modeling is more intensive than we have the capacity to produce ourselves. However, we don't fully understand IHME's methodology. 
There was a significant shift in VAD rates in some locations between model releases for GBD 2017 and GBD 2019. We do not have a good understanding of why GBD’s modeling changes led to such substantial shifts in VAD estimates. Because of our uncertainty about the GBD 2019 estimates, we continue to use estimates from GBD 2017 in our analysis. 
We place more weight on IHME's estimates for countries with less reliable or no VAD survey estimates. 
"For many countries, there is either no VAD survey data available or the available data is more than 10 years old. To estimate VAD prevalence for countries and years without available survey data, IHME uses the following covariates in a predictive model (all of which are inversely related to VAD prevalence):
    - VAS coverage – IHME uses UNICEF data on the proportion of targeted populations of preschool-aged children that receive vitamin A supplements.
    - Socio-demographic Index (SDI) – IHME developed SDI as a composite of income levels, educational attainment, and fertility rates.
    - Vitamin A availability in food – In collaboration with the Food and Agriculture Organization of the United Nations, IHME developed a global database (encompassing all 195 GBD countries) for the availability of 170 different nutrients. In its model of VAD prevalence, IHME treats vitamin A availability in national food supplies as a proxy for vitamin A consumption, but it does not account for consumption of vitamin A fortified foods—fortification data is often either unavailable or incomplete."
GiveWell's non-verbatim summary of a conversation with the Institute for Health Metrics and Evaluation, April 5, 2019 (https://docs.google.com/document/d/1onOOXPbPCCrJw0yOlgxCR5bJzmejZIlnC1hsik68TTw/edit#heading=h.lwmk35tur6t2)
</t>
      </text>
    </comment>
    <comment authorId="0" ref="E57">
      <text>
        <t xml:space="preserve">Data is from the 2019 Poverty and Inequality in Nigeria Summary Report, Summary Table, pp. 14-16. Downloaded on Feb. 28, 2022 from https://nigerianstat.gov.ng/download/1092. </t>
      </text>
    </comment>
    <comment authorId="0" ref="E173">
      <text>
        <t xml:space="preserve">Scenario: Grantee sends money/goods to a country/partner and the country/partner reports back that they carried out the program and reached a certain number of people, but these results are partially or fully fabricated and we do not have monitoring results from those locations.</t>
      </text>
    </comment>
    <comment authorId="0" ref="C74">
      <text>
        <t xml:space="preserve">The most recent poverty headcount data we've seen that reports both national and state-level data is from a 2019 survey conducted by Nigeria's National Bureau of Statistics. We use this data to compare state-level poverty rates with the national poverty rate.</t>
      </text>
    </comment>
    <comment authorId="0" ref="I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E8">
      <text>
        <t xml:space="preserve">This row assumes a donation of arbitrary size ($1,000,000) across countries.</t>
      </text>
    </comment>
    <comment authorId="0" ref="J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K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L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M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N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O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P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Q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R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S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T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U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V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W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X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Y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Z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A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B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C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D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E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F173">
      <text>
        <t xml:space="preserve">The monitoring results we have seen from Helen Keller are less comprehensive than those from GiveWell’s other top charities. We have seen monitoring results for campaigns representing 64% of Helen Keller’s VAS spending in 2019, 52% in 2020 and 29% in 2021. In part, our understanding is that this fall has been because of temporary disruption resulting from the coronavirus pandemic. For more information, see our monitoring analysis here: https://docs.google.com/spreadsheets/d/1Jo0ZnCNLljWVnmwngaCnXex3aZNyYqWli1P29PTfJ58/edit#gid=389966275
We also have a concern that the monitoring results we see may not be fully reflective of the results achieved across Helen Keller’s VAS campaigns. That is because Helen Keller usually conducts monitoring for only one of the two campaign rounds it delivers per country per year, and in some cases only some regions or districts are surveyed. If VAS implementers know in advance which rounds and locations will be surveyed, they may have less incentive to ensure high coverage in other rounds and locations, as these have less oversight. 
Finally, we have heard feedback from Helen Keller that its monitoring surveys tend to take place in the non-rainy season. This raises a concern that, if coverage is lower during campaigns conducted in the rainy season, the results we see may be systematically overestimating coverage. 
These concerns mean that we use a relatively high value for this parameter compared to GiveWell’s other top charities. A detailed write up of our reasoning, accessible to GiveWell staff only, is available here: https://docs.google.com/document/d/1QNrFUhL9rFoOelHo0muvK-jBh8o-M2fFaP5hzyizU54/edit#</t>
      </text>
    </comment>
    <comment authorId="0" ref="AG173">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H173">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I173">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J173">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174">
      <text>
        <t xml:space="preserve">Scenario: The monitoring results that we've received are partially or fully fabricated or significantly biased in some way we are unaware of, leading us to believe that results are better than they actually were.</t>
      </text>
    </comment>
    <comment authorId="0" ref="E75">
      <text>
        <t xml:space="preserve">Data is from the 2019 Poverty and Inequality in Nigeria Summary Report, Summary Table, pp. 14-16. Downloaded on Feb. 28, 2022 from https://nigerianstat.gov.ng/download/1092. </t>
      </text>
    </comment>
    <comment authorId="0" ref="E42">
      <text>
        <t xml:space="preserve">Maziya-Dixon et al. 2006, Table 4, p. 2259 
https://pubmed.ncbi.nlm.nih.gov/16857850/</t>
      </text>
    </comment>
    <comment authorId="0" ref="I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J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K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L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M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N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O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P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Q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R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S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T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U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C59">
      <text>
        <t xml:space="preserve">Note: we do not put any weight on anemia as a proxy in this section because we only have 2018 data for anemia prevalence in Nigeria.</t>
      </text>
    </comment>
    <comment authorId="0" ref="V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W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X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Y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Z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A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B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C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D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E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F174">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G174">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H174">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I174">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J174">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43">
      <text>
        <t xml:space="preserve">"Data collection took place from
August to October 2001." Maziya-Dixon et al. 2006, p. 2257 (https://pubmed.ncbi.nlm.nih.gov/16857850/)</t>
      </text>
    </comment>
    <comment authorId="0" ref="E176">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t>
      </text>
    </comment>
    <comment authorId="0" ref="I176">
      <text>
        <t xml:space="preserve">As of February 2023: Over the last couple of years, Helen Keller has consistently used GiveWell grants to support VAS campaigns.</t>
      </text>
    </comment>
    <comment authorId="0" ref="J176">
      <text>
        <t xml:space="preserve">As of February 2023: Over the last couple of years, Helen Keller has consistently used GiveWell grants to support VAS campaigns.</t>
      </text>
    </comment>
    <comment authorId="0" ref="K176">
      <text>
        <t xml:space="preserve">As of February 2023: Over the last couple of years, Helen Keller has consistently used GiveWell grants to support VAS campaigns.</t>
      </text>
    </comment>
    <comment authorId="0" ref="L176">
      <text>
        <t xml:space="preserve">As of February 2023: Over the last couple of years, Helen Keller has consistently used GiveWell grants to support VAS campaigns.</t>
      </text>
    </comment>
    <comment authorId="0" ref="M176">
      <text>
        <t xml:space="preserve">As of February 2023: Over the last couple of years, Helen Keller has consistently used GiveWell grants to support VAS campaigns.</t>
      </text>
    </comment>
    <comment authorId="0" ref="N176">
      <text>
        <t xml:space="preserve">As of February 2023: Over the last couple of years, Helen Keller has consistently used GiveWell grants to support VAS campaigns.</t>
      </text>
    </comment>
    <comment authorId="0" ref="O176">
      <text>
        <t xml:space="preserve">As of February 2023: Over the last couple of years, Helen Keller has consistently used GiveWell grants to support VAS campaigns.</t>
      </text>
    </comment>
    <comment authorId="0" ref="P176">
      <text>
        <t xml:space="preserve">As of February 2023: Over the last couple of years, Helen Keller has consistently used GiveWell grants to support VAS campaigns.</t>
      </text>
    </comment>
    <comment authorId="0" ref="Q176">
      <text>
        <t xml:space="preserve">As of February 2023: Over the last couple of years, Helen Keller has consistently used GiveWell grants to support VAS campaigns.</t>
      </text>
    </comment>
    <comment authorId="0" ref="R176">
      <text>
        <t xml:space="preserve">As of February 2023: Over the last couple of years, Helen Keller has consistently used GiveWell grants to support VAS campaigns.</t>
      </text>
    </comment>
    <comment authorId="0" ref="S176">
      <text>
        <t xml:space="preserve">As of February 2023: Over the last couple of years, Helen Keller has consistently used GiveWell grants to support VAS campaigns.</t>
      </text>
    </comment>
    <comment authorId="0" ref="O11">
      <text>
        <t xml:space="preserve">We use the "overall" cost estimates from our Helen Keller cost per supplement analysis here because we do not have direct cost information for Madagascar. Because our "overall" cost estimates are averages across countries, they assume that about 13% of program costs, on average, will be covered by philanthropic actors other than Helen Keller. However, in reality, we think it's unlikely that other philanthropic actors will contribute to VAS in Madagascar, so we have instead added this 13% to the proportion of costs covered by Helen Keller and assumed that costs covered by other philanthropic actors will be 0%.</t>
      </text>
    </comment>
    <comment authorId="0" ref="T176">
      <text>
        <t xml:space="preserve">As of February 2023: Over the last couple of years, Helen Keller has consistently used GiveWell grants to support VAS campaigns.</t>
      </text>
    </comment>
    <comment authorId="0" ref="E193">
      <text>
        <t xml:space="preserve">The government would provide additional funding to fully cover the intervention. The philanthropic donation therefore "funges" with the government and value of donating is equivalent to the marginal value of government funds.</t>
      </text>
    </comment>
    <comment authorId="0" ref="U176">
      <text>
        <t xml:space="preserve">As of February 2023: Over the last couple of years, Helen Keller has consistently used GiveWell grants to support VAS campaigns.</t>
      </text>
    </comment>
    <comment authorId="0" ref="V176">
      <text>
        <t xml:space="preserve">As of February 2023: Over the last couple of years, Helen Keller has consistently used GiveWell grants to support VAS campaigns.</t>
      </text>
    </comment>
    <comment authorId="0" ref="W176">
      <text>
        <t xml:space="preserve">As of February 2023: Over the last couple of years, Helen Keller has consistently used GiveWell grants to support VAS campaigns.</t>
      </text>
    </comment>
    <comment authorId="0" ref="X176">
      <text>
        <t xml:space="preserve">As of February 2023: Over the last couple of years, Helen Keller has consistently used GiveWell grants to support VAS campaigns.</t>
      </text>
    </comment>
    <comment authorId="0" ref="Y176">
      <text>
        <t xml:space="preserve">As of February 2023: Over the last couple of years, Helen Keller has consistently used GiveWell grants to support VAS campaigns.</t>
      </text>
    </comment>
    <comment authorId="0" ref="J193">
      <text>
        <t xml:space="preserve">We estimate a modestly lower chance that the government would crowd out GiveWell funding in Cameroon compared to other countries where Helen Keller supports VAS. This is based on feedback we have previously received from Helen Keller, that “There is no funding available from the government to support VAS campaigns." Source: Helen Keller International Room for more funding report to GiveWell 2021, p. 15
https://files.givewell.org/files/DWDA%202009/Helen_Keller_International/Helen_Keller_Room_for_More_Funding_Report_July_2021.pdf</t>
      </text>
    </comment>
    <comment authorId="0" ref="Z176">
      <text>
        <t xml:space="preserve">As of February 2023: Over the last couple of years, Helen Keller has consistently used GiveWell grants to support VAS campaigns.</t>
      </text>
    </comment>
    <comment authorId="0" ref="AA176">
      <text>
        <t xml:space="preserve">As of February 2023: Over the last couple of years, Helen Keller has consistently used GiveWell grants to support VAS campaigns.</t>
      </text>
    </comment>
    <comment authorId="0" ref="AB176">
      <text>
        <t xml:space="preserve">As of February 2023: Over the last couple of years, Helen Keller has consistently used GiveWell grants to support VAS campaigns.</t>
      </text>
    </comment>
    <comment authorId="0" ref="AC176">
      <text>
        <t xml:space="preserve">As of February 2023: Over the last couple of years, Helen Keller has consistently used GiveWell grants to support VAS campaigns.</t>
      </text>
    </comment>
    <comment authorId="0" ref="AD176">
      <text>
        <t xml:space="preserve">As of February 2023: Over the last couple of years, Helen Keller has consistently used GiveWell grants to support VAS campaigns.</t>
      </text>
    </comment>
    <comment authorId="0" ref="O193">
      <text>
        <t xml:space="preserve">Our understanding is that VAS in the regions Helen Keller would support has not received external funding for several years. The government provides support for VAS in Madagascar through the health system (we account for the impact of government support on baseline coverage in our "double treatment" adjustment above), which may sometimes be delivered through community outreach programs. However, given the fairly longstanding status quo of lack of external funding, we think it's very unlikely that the government would increase its support for VAS in Helen Keller's absence to a level that is similar to what Helen Keller typically provides.
(source: Helen Keller International, VAS scoping visit - Madagascar, October 2022 https://files.givewell.org/files/DWDA%202009/Helen_Keller_International/Madagascar_HKI_VAS_scoping_visit_program_report_October_2022.pdf)</t>
      </text>
    </comment>
    <comment authorId="0" ref="AE176">
      <text>
        <t xml:space="preserve">As of February 2023: Over the last couple of years, Helen Keller has consistently used GiveWell grants to support VAS campaigns.</t>
      </text>
    </comment>
    <comment authorId="0" ref="AF176">
      <text>
        <t xml:space="preserve">As of February 2023: Over the last couple of years, Helen Keller has consistently used GiveWell grants to support VAS campaigns.</t>
      </text>
    </comment>
    <comment authorId="0" ref="AG176">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H176">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I176">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J176">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E177">
      <text>
        <t xml:space="preserve">Scenario: Grantee encounters non-funding bottlenecks to allocating funding and holds funding for a long time. At an extreme, charity is unable to spend money, draws down funding over time on work to identify opportunities to spend money for a time, and then shifts to another program.
Helen Keller has been able to spend funding quickly.</t>
      </text>
    </comment>
    <comment authorId="0" ref="E144">
      <text>
        <t xml:space="preserve">Imdad et al. 2017 is a meta-analysis of vitamin A supplementation trials in young children. A fixed-effect model suggests a relative risk (RR) of all-cause mortality of 0.88 with vitamin A supplementation. A random-effects model suggests a RR of 0.76. 
The studies in Imdad et al. 2017 involve different locations, populations, doses, time periods, etc. GiveWell finds it plausible that variations in these factors may lead to meaningful differences in vitamin A efficacy in different studies. As a result, vitamin A trials may be better suited for analysis with a random-effects model than a fixed-effect model.  
The large difference between the random-effects and fixed-effect results is primarily driven by how the two models handle the results of the DEVTA trial. DEVTA was a very large trial, and it receives the majority of the weight in the fixed-effect meta-analysis.
Additional discussion about the research on the efficacy of Vitamin A supplementation programs is available at https://www.givewell.org/international/technical/programs/vitamin-A
Link to Imdad et al. 2017: http://onlinelibrary.wiley.com/doi/10.1002/14651858.CD008524.pub3/full</t>
      </text>
    </comment>
    <comment authorId="0" ref="C45">
      <text>
        <t xml:space="preserve">We have low confidence in the estimates of VAD in Nigeria at the state level that we have seen (see this section of our report on VAS: https://www.givewell.org/international/technical/programs/vitamin-A#Nigerian_states). The most recent national vitamin A deficiency survey results we've seen are form 2001. In order to estimate current vitamin A deficiency rates in Nigeria at the state level, we use national and state-level data on several proxies for vitamin A deficiency (low height-for-age and weight-for-height measurements, anemia rates, and poverty rates) to approximate how vitamin A deficiency rates vary across states and have changed over time.
Maziya-Dixon et al. 2006 (https://doi.org/10.1093/jn/136.8.2255), the most recent national VAD survey in Nigeria we are aware of, was conducted from August to October 2001: "Data collection took place from August to October 2001." p. 2257. DHS surveys have been conducted in 1990, 2003, 2008, 2010, 2013, 2015, and 2018 (https://dhsprogram.com/Countries/Country-Main.cfm?ctry_id=30).</t>
      </text>
    </comment>
    <comment authorId="0" ref="AG11">
      <text>
        <t xml:space="preserve">We assume that Nutrition International will cover all costs that are not covered by in-kind government contributions.</t>
      </text>
    </comment>
    <comment authorId="0" ref="AH11">
      <text>
        <t xml:space="preserve">We assume that Nutrition International will cover all costs that are not covered by in-kind government contributions.</t>
      </text>
    </comment>
    <comment authorId="0" ref="AI11">
      <text>
        <t xml:space="preserve">We assume that Nutrition International will cover all costs that are not covered by in-kind government contributions.</t>
      </text>
    </comment>
    <comment authorId="0" ref="AJ11">
      <text>
        <t xml:space="preserve">We assume that Nutrition International will cover all costs that are not covered by in-kind government contributions.</t>
      </text>
    </comment>
    <comment authorId="0" ref="O12">
      <text>
        <t xml:space="preserve">We use the "overall" estimate from our Helen Keller cost per supplement analysis here because we do not have direct cost information for Madagascar.</t>
      </text>
    </comment>
    <comment authorId="0" ref="E194">
      <text>
        <t xml:space="preserve">Other philanthropic actors would provide additional funding to fully cover the intervention. The philanthropic donation therefore "funges" with those actors and value of donating is equivalent to the marginal value of the other philanthropic actors' money.</t>
      </text>
    </comment>
    <comment authorId="0" ref="I194">
      <text>
        <t xml:space="preserve">UNICEF and Helen Keller have been the main philanthropic organizations supporting VAS in Burkina Faso in recent years. In 2018-2019, UNICEF supported VAS in 10 of 13 regions in Burkina Faso while Helen Keller supported 3 regions. Since then, Helen Keller has begun to support an increasing number of regions. It supported all 13 regions in 2021 due to a UNICEF funding shortage. Our understanding is that UNICEF has since secured more funding for Burkina Faso, and from 2022 onwards Helen Keller plans to support VAS in 5 regions with UNICEF supporting the other 8 (sources: Helen Keller International, Room for More Funding Report, 2021, pp. 12-14 https://files.givewell.org/files/DWDA%202009/Helen_Keller_International/Helen_Keller_Room_for_More_Funding_Report_July_2021.pdf;
Helen Keller International Room for more funding report to GiveWell 2022, p. 8 https://files.givewell.org/files/DWDA%202009/Helen_Keller_International/Helen_Keller_Intl_Room_for_More_Funding_Report_to_GiveWell_2022_Narrative_Report.pdf). 
Our best guess is that in the absence of GiveWell funding, UNICEF could support 1 additional region from the 5 where Helen Keller is planning to support VAS, for 9 regions in total (but not the full 10 it used to support). This implies a risk of crowding out 20% of this grant (1 of 5 regions).</t>
      </text>
    </comment>
    <comment authorId="0" ref="J194">
      <text>
        <t xml:space="preserve">UNICEF, Nutrition International and Helen Keller have all contributed to supporting VAS in Cameroon in recent years. In the first round of 2022, VAS was delivered alongside a polio campaign. Helen Keller supported VAS in 6 regions, UNICEF in 4 regions, Nutrition International covered all costs related to central level supervision and the WHO covered all costs relating to Polio. Helen Keller expects that UNICEF and Nutrition International support from 2023 - 2025 will remain unchanged (source: Helen Keller International Room for more funding report to GiveWell 2022, pp. 9-10 https://files.givewell.org/files/DWDA%202009/Helen_Keller_International/Helen_Keller_Intl_Room_for_More_Funding_Report_to_GiveWell_2022_Narrative_Report.pdf).
We assume a modestly higher risk that GiveWell funding might crowd out other actors compared to most other countries where Helen Keller delivers VAS. This is because of the relatively crowded funding landscape and because all regions in Cameroon are covered for VAS.</t>
      </text>
    </comment>
    <comment authorId="0" ref="K194">
      <text>
        <t xml:space="preserve">In 2022, Helen Keller supported all operational costs for VAS in 63 districts, Nutrition International 9 districts and UNICEF 41 districts. According to Helen Keller, the funding capacity for other actors for the coming years is unclear (Helen Keller International Room for more funding report to GiveWell 2022, p. 11 https://files.givewell.org/files/DWDA%202009/Helen_Keller_International/Helen_Keller_Intl_Room_for_More_Funding_Report_to_GiveWell_2022_Narrative_Report.pdf). 
We use a modestly higher crowding out value here to reflect that there have not been unsupported regions in Côte d’Ivoire recently and because of the relatively crowded funding landscape in recent years.</t>
      </text>
    </comment>
    <comment authorId="0" ref="L194">
      <text>
        <t xml:space="preserve">In 2023, Helen Keller is planning to expand from the 3 provinces where it supported VAS to 13 provinces, following a request from the National Program for Nutrition (PRONANUT). Our understanding is that support for VAS campaigns in DRC has been limited in recent years and that many provinces have been unsupported. We therefore assume a lower risk of crowding out in DRC. (Sources: Helen Keller International Room for more funding report to GiveWell 2022, p. 12 https://files.givewell.org/files/DWDA%202009/Helen_Keller_International/Helen_Keller_Intl_Room_for_More_Funding_Report_to_GiveWell_2022_Narrative_Report.pdf; 
Helen Keller International Room for more funding report to GiveWell 2021, p. 18: https://files.givewell.org/files/DWDA%202009/Helen_Keller_International/Helen_Keller_Room_for_More_Funding_Report_July_2021.pdf).</t>
      </text>
    </comment>
    <comment authorId="0" ref="M194">
      <text>
        <t xml:space="preserve">In 2022, Helen Keller supported VAS in 5 of Guinea’s 8 regions and UNICEF supported 3 regions. Helen Keller expects to continue supporting 5 regions from 2023 to 2025, although it notes that UNICEF “intends to continue to support at least 3 out of the 8 regions in the country.” (Source: Source: Helen Keller International Room for more funding report to GiveWell 2022, p. 13 https://files.givewell.org/files/DWDA%202009/Helen_Keller_International/Helen_Keller_Intl_Room_for_More_Funding_Report_to_GiveWell_2022_Narrative_Report.pdf). 
We use a modestly higher value here compared to other countries to reflect that there have not been unsupported regions in Guinea recently and because UNICEF may be able to support “at least” 3 regions.</t>
      </text>
    </comment>
    <comment authorId="0" ref="N194">
      <text>
        <t xml:space="preserve">80% of children reached by the grant currently under consideration would be in counties that have been supported by Helen Keller International in the last few rounds. 20% would be in counties that, according to Helen Keller International, "have demonstrated low coverage over the years and are not supported consistently by UNICEF or [Nutrition International]." (Helen Keller International, Room for More Funding Report, 2021, pp. 21-22 https://files.givewell.org/files/DWDA%202009/Helen_Keller_International/Helen_Keller_Room_for_More_Funding_Report_July_2021.pdf )
In one case in the past, we learned of a funding gap in Kenya that we believe was filled by another funder (see https://www.givewell.org/sources/blog-post/q1-q2-2020-discretionary-funding-allocation#11).
We'd roughly guess that 20% of Helen Keller's funding would be replaced in currently supported countries, while 50% would be replaced in the three additional counties. This yields an estimate of about 25% overall.</t>
      </text>
    </comment>
    <comment authorId="0" ref="O194">
      <text>
        <t xml:space="preserve">To start, Helen Keller is proposing to support only a portion of the regions that lack external support. Funding gaps will continue so it's relatively unlikely that Helen Keller is crowding out other funders. (source: Helen Keller International, VAS scoping visit - Madagascar, October 2022 https://files.givewell.org/files/DWDA%202009/Helen_Keller_International/Madagascar_HKI_VAS_scoping_visit_program_report_October_2022.pdf) </t>
      </text>
    </comment>
    <comment authorId="0" ref="P194">
      <text>
        <t xml:space="preserve">In 2021, Helen Keller told us that UNICEF funding for VAS in Mali was uncertain and so Helen Keller proposed supporting VAS in more regions (5 of 11). By 2022, UNICEF had found more funding and was planning to support VAS in 8 of the 11 regions from 2023 - 2025 (with Helen Keller taking 3). 
We assume a 25% chance that GiveWell funding could crowd out other actors. That takes two considerations into account: (1) All regions in Mali are currently supported for VAS, implying higher risk of crowding out; (2) UNICEF recently increased the number of regions it is supporting, so may not be able to support any new additional regions. 
Sources: Helen Keller International Room for more funding report to GiveWell 2022, p. 15 https://files.givewell.org/files/DWDA%202009/Helen_Keller_International/Helen_Keller_Intl_Room_for_More_Funding_Report_to_GiveWell_2022_Narrative_Report.pdf); 
Helen Keller International Room for more funding report to GiveWell 2021, p. 23. https://files.givewell.org/files/DWDA%202009/Helen_Keller_International/Helen_Keller_Room_for_More_Funding_Report_July_2021.pdf</t>
      </text>
    </comment>
    <comment authorId="0" ref="Q194">
      <text>
        <t xml:space="preserve">In 2022, Helen Keller was planning to support 6 of Niger’s 8 regions with UNICEF supporting 2 regions. From 2023 onwards, Helen Keller has told us that UNICEF has no more funding to support VAS in Niger. (Source: Helen Keller International Room for more funding report to GiveWell 2022, p. 16 https://files.givewell.org/files/DWDA%202009/Helen_Keller_International/Helen_Keller_Intl_Room_for_More_Funding_Report_to_GiveWell_2022_Narrative_Report.pdf). 
Our understanding from previous discussions with Helen Keller is that Helen Keller does not receive funding from Global Affairs Canada for Niger. We therefore assume a modestly lower risk that GiveWell funding for Helen Keller could crowd out UNICEF funding.</t>
      </text>
    </comment>
    <comment authorId="0" ref="R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S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T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E178">
      <text>
        <t xml:space="preserve">Scenario: Grantee runs multiple programs and shifts funds from non-GiveWell sources or fundraising effort out of the program that we want to fund as a result of receiving GiveWell-directed funding.
Helen Keller has limited unrestricted funding relative to the size of this program. Fundraising efforts may be redirected to other programs as a result of more funding being available for this program.</t>
      </text>
    </comment>
    <comment authorId="0" ref="U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E145">
      <text>
        <t xml:space="preserve">Coverage estimates from RCTs of vitamin A supplementation included in Imdad et al 2017 meta-analysis.
See our calculations here: https://docs.google.com/spreadsheets/d/1J997Om048dWrI-H9QskHeCkcgq8FA6xff6MNlhYS6TA/edit?usp=sharing</t>
      </text>
    </comment>
    <comment authorId="0" ref="V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G12">
      <text>
        <t xml:space="preserve">This parameter is only relevant to grantees other than Nutrition International.</t>
      </text>
    </comment>
    <comment authorId="0" ref="W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H12">
      <text>
        <t xml:space="preserve">This parameter is only relevant to grantees other than Nutrition International.</t>
      </text>
    </comment>
    <comment authorId="0" ref="AL144">
      <text>
        <t xml:space="preserve">"A sensitivity analysis using a random‐effects model found a 24% reduction in mortality." Imdad et al. 2017</t>
      </text>
    </comment>
    <comment authorId="0" ref="X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I12">
      <text>
        <t xml:space="preserve">This parameter is only relevant to grantees other than Nutrition International.</t>
      </text>
    </comment>
    <comment authorId="0" ref="E46">
      <text>
        <t xml:space="preserve">"Stunting" here defined as having a height-for-age measurement more than two standard deviations below average.
Nigeria DHS 2003 Final Report, Table 11.10, p. 165
https://dhsprogram.com/pubs/pdf/FR148/FR148.pdf</t>
      </text>
    </comment>
    <comment authorId="0" ref="Y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J12">
      <text>
        <t xml:space="preserve">This parameter is only relevant to grantees other than Nutrition International.</t>
      </text>
    </comment>
    <comment authorId="0" ref="Z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A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B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C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D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E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F194">
      <text>
        <t xml:space="preserve">Helen Keller has been expanding in Nigeria in recent years and supported VAS in 7 states in 2022. But it is planning to stop supporting VAS in 2 of these states (Akwa Ibom and Ekiti) from 2023 because of low cost effectiveness. (Source: Helen Keller International Room for more funding report to GiveWell 2022, p. 17 https://www.givewell.org/files/DWDA%202009/Helen_Keller_International/Helen_Keller_Intl_Room_for_More_Funding_Report_to_GiveWell_2022_Narrative_Report.pdf). 
We have assumed a lower risk of crowding out in Nigeria than other countries because Helen Keller's decision to fund fewer states leaves other gaps in VAS support that other funders might fill instead.</t>
      </text>
    </comment>
    <comment authorId="0" ref="AG194">
      <text>
        <t xml:space="preserve">We expect to revisit this figure before deciding on a grant for this country. This is a placeholder that is roughly average for countries we've made grants to support Helen Keller International's work in.</t>
      </text>
    </comment>
    <comment authorId="0" ref="AH194">
      <text>
        <t xml:space="preserve">See discussion on grant page 
https://www.givewell.org/research/grants/nutrition-international-VAS-chad-January-2022</t>
      </text>
    </comment>
    <comment authorId="0" ref="AI194">
      <text>
        <t xml:space="preserve">We expect to revisit this figure before deciding on a grant for this country. This is a placeholder that is roughly average for countries we've made grants to support Helen Keller International's work in.</t>
      </text>
    </comment>
    <comment authorId="0" ref="O13">
      <text>
        <t xml:space="preserve">We use the "overall" cost estimates from our Helen Keller cost per supplement analysis here because we do not have direct cost information for Madagascar. Because our "overall" cost estimates are averages across countries, they assume that about 13% of program costs, on average, will be covered by philanthropic actors other than Helen Keller. However, in reality, we think it's unlikely that other philanthropic actors will contribute to VAS in Madagascar, so we have instead added this 13% to the proportion of costs covered by Helen Keller and assumed that costs covered by other philanthropic actors will be 0%.</t>
      </text>
    </comment>
    <comment authorId="0" ref="AJ194">
      <text>
        <t xml:space="preserve">We expect to revisit this figure before deciding on a grant for this country. This is a placeholder that is roughly average for countries we've made grants to support Helen Keller International's work in.</t>
      </text>
    </comment>
    <comment authorId="0" ref="E146">
      <text>
        <t xml:space="preserve">We apply a -25% internal validity adjustment to account for the risk that the main finding from the Cochrane meta-analysis is inflated because of weaknesses in the underlying trials.</t>
      </text>
    </comment>
    <comment authorId="0" ref="AG13">
      <text>
        <t xml:space="preserve">We assume there is no funding overlap with other philanthropic funders in the areas Nutrition International would support.</t>
      </text>
    </comment>
    <comment authorId="0" ref="AH13">
      <text>
        <t xml:space="preserve">We assume there is no funding overlap with other philanthropic funders in the areas Nutrition International would support.</t>
      </text>
    </comment>
    <comment authorId="0" ref="AI13">
      <text>
        <t xml:space="preserve">We assume there is no funding overlap with other philanthropic funders in the areas Nutrition International would support.</t>
      </text>
    </comment>
    <comment authorId="0" ref="E47">
      <text>
        <t xml:space="preserve">"Wasting" here defined as having a weight-for-height measurement more than two standard deviations below average.
Nigeria DHS 2003 Final Report, Table 11.10, p. 165
https://dhsprogram.com/pubs/pdf/FR148/FR148.pdf</t>
      </text>
    </comment>
    <comment authorId="0" ref="AJ13">
      <text>
        <t xml:space="preserve">We assume there is no funding overlap with other philanthropic funders in the areas Nutrition International would support.</t>
      </text>
    </comment>
    <comment authorId="0" ref="O14">
      <text>
        <t xml:space="preserve">We use the "overall" estimate from our Helen Keller cost per supplement analysis here because we do not have direct cost information for Madagascar.</t>
      </text>
    </comment>
    <comment authorId="0" ref="E130">
      <text>
        <t xml:space="preserve">We base this estimate on a literature review conducted by GiveWell Senior Researcher Stephan Guyenet: https://docs.google.com/document/d/1MwtGKIgTp9-2RmJ7zbkQ_pEggmi8s1HSoXo04JT0ivE/edit?usp=sharing.
In summary, our external validity adjustment for vitamin A supplementation uses several proxies for the disease burden associated with vitamin A deficiency because we don't feel confident in any one proxy over the others. First we generate an external validity adjustment by combining the proportion of deaths that are due to each of (a) all infectious diseases; (b) the sum of measles and diarrhea. The original literature review recommends recommends a 15/85 split between the weight placed on these respective factors. 
In 2022, we made a change to put slightly more weight (15%→20%) on infectious diseases overall, and slightly less weight on measles and diarrhea (85%→80%). We did so because we learned more about the plausibility of these proxies during our investigation of the internal validity adjustment, and concluded that it was less plausible that such a high proportion of mortality averted could be correlated with measles and diarrhea than we originally thought. However, we're uncertain about this value. </t>
      </text>
    </comment>
    <comment authorId="0" ref="H163">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C180">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
</t>
      </text>
    </comment>
    <comment authorId="0" ref="AG14">
      <text>
        <t xml:space="preserve">For Nutrition International's programs, we assume that all of the costs covered by the government will be in the form of in-kind contributions, rather than financial costs.</t>
      </text>
    </comment>
    <comment authorId="0" ref="AH14">
      <text>
        <t xml:space="preserve">For Nutrition International's programs, we assume that all of the costs covered by the government will be in the form of in-kind contributions, rather than financial costs.</t>
      </text>
    </comment>
    <comment authorId="0" ref="AI14">
      <text>
        <t xml:space="preserve">For Nutrition International's programs, we assume that all of the costs covered by the government will be in the form of in-kind contributions, rather than financial costs.</t>
      </text>
    </comment>
    <comment authorId="0" ref="E48">
      <text>
        <t xml:space="preserve">"Stunting" here defined as having a height-for-age measurement more than two standard deviations below average.
Nigeria DHS 2018 Final Report, Table 11.1, pp. 271-273.
https://dhsprogram.com/pubs/pdf/FR359/FR359.pdf</t>
      </text>
    </comment>
    <comment authorId="0" ref="AJ14">
      <text>
        <t xml:space="preserve">For Nutrition International's programs, we assume that all of the costs covered by the government will be in the form of in-kind contributions, rather than financial costs.</t>
      </text>
    </comment>
    <comment authorId="0" ref="O15">
      <text>
        <t xml:space="preserve">We use the "overall" estimate from our Helen Keller cost per supplement analysis here because we do not have direct cost information for Madagascar.</t>
      </text>
    </comment>
    <comment authorId="0" ref="E131">
      <text>
        <t xml:space="preserve">We base this estimate on a literature review conducted by GiveWell Senior Researcher Stephan Guyenet: https://docs.google.com/document/d/1MwtGKIgTp9-2RmJ7zbkQ_pEggmi8s1HSoXo04JT0ivE/edit?usp=sharing</t>
      </text>
    </comment>
    <comment authorId="0" ref="AG15">
      <text>
        <t xml:space="preserve">We assume the proportion of costs covered by in-kind government contributions for Nutrition International's programs is the same as for Helen Keller International's programs.</t>
      </text>
    </comment>
    <comment authorId="0" ref="AH15">
      <text>
        <t xml:space="preserve">We assume the proportion of costs covered by in-kind government contributions for Nutrition International's programs is the same as for Helen Keller International's programs.</t>
      </text>
    </comment>
    <comment authorId="0" ref="AI15">
      <text>
        <t xml:space="preserve">We assume the proportion of costs covered by in-kind government contributions for Nutrition International's programs is the same as for Helen Keller International's programs.</t>
      </text>
    </comment>
    <comment authorId="0" ref="E49">
      <text>
        <t xml:space="preserve">"Wasting" here defined as having a weight-for-height measurement more than two standard deviations below average.
Nigeria DHS 2018 Final Report, Table 11.1, pp. 271-273.
https://dhsprogram.com/pubs/pdf/FR359/FR359.pdf </t>
      </text>
    </comment>
    <comment authorId="0" ref="AJ15">
      <text>
        <t xml:space="preserve">We assume the proportion of costs covered by in-kind government contributions for Nutrition International's programs is the same as for Helen Keller International's programs.</t>
      </text>
    </comment>
    <comment authorId="0" ref="E33">
      <text>
        <t xml:space="preserve">We don't know the population size for 6-59 month olds, so we estimate it based on the under-5 all-cause mortality rate. 
The GBD defines the under-5 all-cause mortality rate as the ratio of the number of annual under-5 deaths to the mid-year under-5 population divided by 100,000. We use this information to back out the the mid-year under-5 population.</t>
      </text>
    </comment>
    <comment authorId="0" ref="E50">
      <text>
        <t xml:space="preserve">Nigeria DHS 2018 Final Report, Table 11.8, pp. 282-283.
https://dhsprogram.com/pubs/pdf/FR359/FR359.pdf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 authorId="0" ref="AK2">
      <text>
        <t xml:space="preserve">Source: Institute for Health Metrics and Evaluation (IHME). Used with permission. All rights reserved.</t>
      </text>
    </comment>
    <comment authorId="0" ref="X2">
      <text>
        <t xml:space="preserve">Source: Institute for Health Metrics and Evaluation (IHME). Used with permission. All rights reserved.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These intervals are based on GiveWell staff members’ subjective levels of uncertainty for each parameter. See the footnote in our intervention report for more details on our methodology: 
https://www.givewell.org/international/technical/programs/vitamin-A#confidence-interval-explanation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These intervals are based on GiveWell staff members’ subjective levels of uncertainty for each parameter. See footnote 25 in our intervention report for more details on our methodology.
https://www.givewell.org/international/technical/programs/vitamin-A#confidence-interval-explanation</t>
      </text>
    </commen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List>
</comments>
</file>

<file path=xl/sharedStrings.xml><?xml version="1.0" encoding="utf-8"?>
<sst xmlns="http://schemas.openxmlformats.org/spreadsheetml/2006/main" count="33907" uniqueCount="652">
  <si>
    <t>Guide to interpreting this cost-effectiveness analysis</t>
  </si>
  <si>
    <t>Helen Keller International</t>
  </si>
  <si>
    <t>Sheet descriptions</t>
  </si>
  <si>
    <t>Nutrition International</t>
  </si>
  <si>
    <t>Main CEA</t>
  </si>
  <si>
    <t>Burkina Faso</t>
  </si>
  <si>
    <t>Cameroon</t>
  </si>
  <si>
    <t>Côte d'Ivoire</t>
  </si>
  <si>
    <t>DRC</t>
  </si>
  <si>
    <t>Guinea</t>
  </si>
  <si>
    <t>Kenya</t>
  </si>
  <si>
    <t>Madagascar</t>
  </si>
  <si>
    <t>Mali</t>
  </si>
  <si>
    <t>Niger</t>
  </si>
  <si>
    <t>Nigeria</t>
  </si>
  <si>
    <t>This sheet contains the primary calculations that result in final cost-effectiveness estimates. This sheet draws on inputs from the "Inputs" sheet and inputs calculated in the other supplemental sheets listed below.</t>
  </si>
  <si>
    <t>Counterfactual mortality</t>
  </si>
  <si>
    <t>Angola</t>
  </si>
  <si>
    <t>This sheet contains our calculations of how high mortality rates would be in the absence of VAS campaigns.</t>
  </si>
  <si>
    <t>Chad</t>
  </si>
  <si>
    <t>Togo</t>
  </si>
  <si>
    <t>Uganda</t>
  </si>
  <si>
    <t>Supplemental calculations for counterfactual mortality rates</t>
  </si>
  <si>
    <t>External validity</t>
  </si>
  <si>
    <t>This sheet contains our calculations of the external validity adjustments we apply to the effect of VAS on mortality, based on differences between the populations treated in studies and the populations treated by grantee programs.</t>
  </si>
  <si>
    <t>Overall</t>
  </si>
  <si>
    <t>Leverage/Funging</t>
  </si>
  <si>
    <t>Adamawa</t>
  </si>
  <si>
    <t>Akwa Ibom</t>
  </si>
  <si>
    <t>This sheet contains our calculations of the impact that crowding in and crowding out funding by other contributors has on the benefits of the program.</t>
  </si>
  <si>
    <t>Anambra</t>
  </si>
  <si>
    <t>Benue</t>
  </si>
  <si>
    <t>Delta</t>
  </si>
  <si>
    <t>Ebonyi</t>
  </si>
  <si>
    <t>Edo</t>
  </si>
  <si>
    <t>Ekiti</t>
  </si>
  <si>
    <t>Imo</t>
  </si>
  <si>
    <t>Kogi</t>
  </si>
  <si>
    <t>Nasarawa</t>
  </si>
  <si>
    <t>Inputs</t>
  </si>
  <si>
    <t>Ogun</t>
  </si>
  <si>
    <t>Osun</t>
  </si>
  <si>
    <t>Rivers</t>
  </si>
  <si>
    <t>Taraba</t>
  </si>
  <si>
    <t>This sheet contains all of the manually entered input values informing the CEA, along with the sources and reasoning supporting them. This sheet also contains inputs sourced from the "GBD estimates" sheet.</t>
  </si>
  <si>
    <t>GBD estimates</t>
  </si>
  <si>
    <t>Main calculations</t>
  </si>
  <si>
    <t>This sheet contains disease burden and population datasets downloaded from the Institute of Health Metrics (IHME)'s Global Burden of Disease (GBD) project.</t>
  </si>
  <si>
    <t>Final cost-effectiveness estimate (pulled from "Main calcs" sheet for visibility)</t>
  </si>
  <si>
    <t>Simple CEA</t>
  </si>
  <si>
    <t>unit</t>
  </si>
  <si>
    <t>This sheet contains a simplified version of the CEA that is designed to be comparable to our CEAs of other programs.</t>
  </si>
  <si>
    <t>type</t>
  </si>
  <si>
    <t>Confidence intervals</t>
  </si>
  <si>
    <t>This sheet contains our best guesses of the 25th and 75th percentile values for each of the parameters of our simple CEA.</t>
  </si>
  <si>
    <t>main</t>
  </si>
  <si>
    <t>Sensitivity analysis</t>
  </si>
  <si>
    <t>This sheet contains the outputs of our sensitivity analysis that tests the cost-effectiveness ranges that would result from updating certain inputs to their 25th or 75th percentile values.</t>
  </si>
  <si>
    <t>Final cost-effectiveness estimate (pulled from below for visibility)</t>
  </si>
  <si>
    <t>Terminology key</t>
  </si>
  <si>
    <t>feed</t>
  </si>
  <si>
    <t>Terms specific to this CEA</t>
  </si>
  <si>
    <t>VAS</t>
  </si>
  <si>
    <t>Stands for vitamin A supplementation; describes an intervention in which vitamin A supplements are delivered to a population in an effort to reduce rates of vitamin A deficiency.</t>
  </si>
  <si>
    <t>VAD</t>
  </si>
  <si>
    <t>Stands for vitamin A deficiency; describes a condition resulting from insufficient dietary intake of vitamin A that is associated with increased morbidity and mortality.</t>
  </si>
  <si>
    <t>Stunting</t>
  </si>
  <si>
    <t>Describes a condition in which a child has a height-for-age measurement more than two standard deviations below average. We use rates of stunting as one of several proxies for rates of vitamin A deficiency.</t>
  </si>
  <si>
    <t>Wasting</t>
  </si>
  <si>
    <t>Describes a condition in which a child has a weight-for-age measurement more than two standard deviations below average. We use rates of wasting as one of several proxies for rates of vitamin A deficiency.</t>
  </si>
  <si>
    <t>Anemia</t>
  </si>
  <si>
    <t>Describes a condition in which a person does not have enough healthy red blood cells or hemoglobin in their blood to transport oxygen through their body. We use anemia rates as one of several proxies for rates of vitamin A deficiency.</t>
  </si>
  <si>
    <t>Poverty headcount</t>
  </si>
  <si>
    <t>Refers to the percentage of a population that has income or consumption levels lower than a given poverty benchmark.</t>
  </si>
  <si>
    <t>Fixed-effects</t>
  </si>
  <si>
    <t>A fixed-effect meta-analysis assumes that the true impact of the intervention is consistent in every study in the analysis. Differences between study results are assumed to be solely down to chance. The main estimate from the analysis can be interpreted as the typical intervention effect.</t>
  </si>
  <si>
    <t>Random-effects</t>
  </si>
  <si>
    <t>A random-effects meta-analysis assumes that the true impact of the intervention varies and follows some distribution. The main estimate from the analysis can be interpreted as the average impact of the intervention across heterogenous studies with different findings.</t>
  </si>
  <si>
    <t>Terms used across GiveWell's CEAs</t>
  </si>
  <si>
    <t>Costs</t>
  </si>
  <si>
    <t>Internal validity</t>
  </si>
  <si>
    <t>Describes an adjustment we make to the treatment effect of an intervention to account for the possibility that the treatment effects found in studies may not represent the true effect the intervention had on the populations studied.</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</si>
  <si>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</si>
  <si>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</si>
  <si>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</si>
  <si>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Mortalities per year among people under age 5</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</si>
  <si>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</si>
  <si>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</si>
  <si>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</si>
  <si>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Describes non-financial (e.g., staff time, office space) contributions to a program that might otherwise have been used for other activities or programs.</t>
  </si>
  <si>
    <t>Total mortalities per year among people under age 5</t>
  </si>
  <si>
    <t>GiveWell costs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</si>
  <si>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</si>
  <si>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</si>
  <si>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</si>
  <si>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</si>
  <si>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Grant size</t>
  </si>
  <si>
    <t>Philanthropic actors</t>
  </si>
  <si>
    <t>Non-governmental organizations (NGOs) providing funding to philanthropic programs.</t>
  </si>
  <si>
    <t>Unit and source key</t>
  </si>
  <si>
    <t>Unit labels used in the CEA</t>
  </si>
  <si>
    <t>#</t>
  </si>
  <si>
    <t>Vitamin A deficiency prevalence for Nigerian states</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</si>
  <si>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</si>
  <si>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</si>
  <si>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</si>
  <si>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</si>
  <si>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</si>
  <si>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</si>
  <si>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</si>
  <si>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</si>
  <si>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</si>
  <si>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</si>
  <si>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</si>
  <si>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</si>
  <si>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</si>
  <si>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</si>
  <si>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</si>
  <si>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</si>
  <si>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</si>
  <si>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Source labels used in the CEA</t>
  </si>
  <si>
    <t>Vitamin A deficiency prevalence in Nigeria according to the latest national survey</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</si>
  <si>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</si>
  <si>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</si>
  <si>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</si>
  <si>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</si>
  <si>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</si>
  <si>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</si>
  <si>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</si>
  <si>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</si>
  <si>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</si>
  <si>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</si>
  <si>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Total early neonatal mortalities per year (babies under 7 days old)</t>
  </si>
  <si>
    <t>GiveWell analyses informing this model</t>
  </si>
  <si>
    <t>Analyses specific to this CEA</t>
  </si>
  <si>
    <t>GiveWell's analysis of Helen Keller International's cost per supplement</t>
  </si>
  <si>
    <t>Cost breakdown</t>
  </si>
  <si>
    <t>Percentage of total costs covered by the grantee</t>
  </si>
  <si>
    <t>GiveWell's analysis of coverage estimates from RCTs of VAS from Imdad et al. 2017</t>
  </si>
  <si>
    <t>GiveWell's analysis of baseline VAS coverage in regions of Madagascar</t>
  </si>
  <si>
    <t>GW's analysis of baseline mortality for Imdad et al. 2017</t>
  </si>
  <si>
    <t>GW's analysis of recent vitamin A deficiency surveys</t>
  </si>
  <si>
    <t>Total late neonatal mortalities per year (babies between 7 and 27 days old)</t>
  </si>
  <si>
    <t>GW's analysis of disease-specific mortality effects of VAS</t>
  </si>
  <si>
    <t>Year of latest national vitamin A deficiency survey in Nigeria</t>
  </si>
  <si>
    <t>GW's analysis of baseline VAS coverage</t>
  </si>
  <si>
    <t>GW's analysis of subnational mortality rates for VAS</t>
  </si>
  <si>
    <t>Percentage of total costs covered by Nutrition International (vitamin A capsule procurement)</t>
  </si>
  <si>
    <t>GiveWell, VAS supplementary analysis, 2024</t>
  </si>
  <si>
    <t>Analyses referenced across GiveWell's CEAs</t>
  </si>
  <si>
    <t>GW's moral weights and discount rate</t>
  </si>
  <si>
    <t>GW's supplemental intervention-level adjustments</t>
  </si>
  <si>
    <t>Total post-neonatal mortalities per year (babies between 28 and 364 days old)</t>
  </si>
  <si>
    <t>GWs benchmark for evaluating cost effectiveness</t>
  </si>
  <si>
    <t>GW's analysis of the counterfactual value of other actors' spending</t>
  </si>
  <si>
    <t>National data on health proxies for vitamin A deficiency according to DHS surveys</t>
  </si>
  <si>
    <t>GW's analysis of the counterfactual value of Global Fund spending</t>
  </si>
  <si>
    <t>National proportion of people under age 5 who were experiencing stunting in 2003</t>
  </si>
  <si>
    <t>Percentage of total costs covered by other philanthropic actors</t>
  </si>
  <si>
    <t>Estimated mortalities per year among the VAS-eligible population</t>
  </si>
  <si>
    <t>Percentage of total costs covered by domestic governments (financial contributions)</t>
  </si>
  <si>
    <t>National proportion of people under age 5 who were experiencing wasting in 2003</t>
  </si>
  <si>
    <t>Supplemental calculations for the leverage/funging adjustment</t>
  </si>
  <si>
    <t>Estimated mortalities per year among 1-5-month-olds</t>
  </si>
  <si>
    <t>calc</t>
  </si>
  <si>
    <t>-</t>
  </si>
  <si>
    <t>Total mortalities per year among 6-59-month-olds</t>
  </si>
  <si>
    <t>Percentage of total costs covered by domestic governments (in-kind contributions)</t>
  </si>
  <si>
    <t>National proportion of people under age 5 who were experiencing stunting in 2018</t>
  </si>
  <si>
    <t>Proportion of mortalities among people under age 5 that occur among 6-59-month-olds</t>
  </si>
  <si>
    <t>All-cause mortality rate among the VAS-eligible population</t>
  </si>
  <si>
    <t>Total costs</t>
  </si>
  <si>
    <t>All-cause mortality rate among people under age 5</t>
  </si>
  <si>
    <t>National proportion of people under age 5 who were experiencing wasting in 2018</t>
  </si>
  <si>
    <t>Total spending by all contributors</t>
  </si>
  <si>
    <t>Implied population under age 5</t>
  </si>
  <si>
    <t>National proportion of 6-59-month-olds who were experiencing anemia in 2018</t>
  </si>
  <si>
    <t>Total spending attributable to different actors</t>
  </si>
  <si>
    <t>Total spending contributed by grantee</t>
  </si>
  <si>
    <t>Estimated proportion of people under age 5 who are 6-59-month-olds</t>
  </si>
  <si>
    <t>Total spending contributed by Nutrition International (vitamin A capsule procurement)</t>
  </si>
  <si>
    <t>Total spending contributed by other philanthropic actors</t>
  </si>
  <si>
    <t>National data on economic proxies for vitamin A deficiency according to the World Bank</t>
  </si>
  <si>
    <t>National proportion of the population below the international poverty line in 2003</t>
  </si>
  <si>
    <t>Total spending contributed by domestic governments (financial contributions)</t>
  </si>
  <si>
    <t>Estimated population of 6-59-month-olds</t>
  </si>
  <si>
    <t>Total spending contributed by domestic governments (in-kind contributions)</t>
  </si>
  <si>
    <t>Annual all-cause mortality rate among 6-59-month-olds</t>
  </si>
  <si>
    <t>Upstream / downstream spending</t>
  </si>
  <si>
    <t>National proportion of the population below the international poverty line in 2018</t>
  </si>
  <si>
    <t>Total spending causally upstream of donations to grantee</t>
  </si>
  <si>
    <t>Adjustment for differences between the national mortality rate and mortality rates in the subnational areas targeted for VAS</t>
  </si>
  <si>
    <t>Total spending causally downstream of donations to grantee</t>
  </si>
  <si>
    <t>Annual all-cause mortality rate among 6-59-month-olds in areas targeted for VAS</t>
  </si>
  <si>
    <t>National data on economic proxies for vitamin A deficiency according to a 2019 NBS survey</t>
  </si>
  <si>
    <t>National proportion of the population below Nigeria's poverty line in 2019</t>
  </si>
  <si>
    <t>Cost per child covered</t>
  </si>
  <si>
    <t>Cost per vitamin A supplement delivered</t>
  </si>
  <si>
    <t>Change in proxies for vitamin A deficiency over time</t>
  </si>
  <si>
    <t>Supplementation rounds delivered per year</t>
  </si>
  <si>
    <t>Change in rates of stunting among people under age 5 between 2003 and 2018</t>
  </si>
  <si>
    <t>Change in rates of wasting among people under age 5 between 2003 and 2018</t>
  </si>
  <si>
    <t>Total cost per child receiving a year of vitamin A supplementation (VAS)</t>
  </si>
  <si>
    <t>Change in poverty rates between 2003 and 2018 according to World Bank data</t>
  </si>
  <si>
    <t>Source</t>
  </si>
  <si>
    <t>Upstream costs per child receiving a year of VAS</t>
  </si>
  <si>
    <t>GW analysis and discussion</t>
  </si>
  <si>
    <t>Weight placed on change in rates of stunting as a proxy for changes in vitamin A deficiency</t>
  </si>
  <si>
    <t>Outputs</t>
  </si>
  <si>
    <t>Total children covered</t>
  </si>
  <si>
    <t>Total people under age 5 receiving a year of VAS</t>
  </si>
  <si>
    <t>Weight placed on change in rates of wasting as a proxy for changes in vitamin A deficiency</t>
  </si>
  <si>
    <t>Baseline proportion of people under age 5 who receive VAS from non-campaign sources</t>
  </si>
  <si>
    <t>input</t>
  </si>
  <si>
    <t>Arbitrary value</t>
  </si>
  <si>
    <t>Weight placed on change in poverty rates as a proxy for changes in vitamin A deficiency</t>
  </si>
  <si>
    <t>GW analysis</t>
  </si>
  <si>
    <t>Additional people under age 5 receiving a year of VAS as a result of the program</t>
  </si>
  <si>
    <t>Outcomes</t>
  </si>
  <si>
    <t>Mortality reduction among people under age 5</t>
  </si>
  <si>
    <t>Reduction in all-cause mortality for children under age 5 participating in VAS programs found in the Imdad et al. 2017 meta-analysis</t>
  </si>
  <si>
    <t>Approximated change in vitamin A deficiency prevalence over time</t>
  </si>
  <si>
    <t>Estimated change in vitamin A deficiency prevalence between 2003 and 2018</t>
  </si>
  <si>
    <t>Year of early data points for vitamin A deficiency proxies</t>
  </si>
  <si>
    <t>Proportion of participating children that received VAS in the trials from the Imdad et al. 2017 meta-analysis</t>
  </si>
  <si>
    <t>Mortalities per year among people under five</t>
  </si>
  <si>
    <t>Year of late data points for vitamin A deficiency proxies</t>
  </si>
  <si>
    <t>Implied reduction in all-cause mortality for children under age 5 receiving vitamin A supplementation</t>
  </si>
  <si>
    <t>Internal validity adjustment</t>
  </si>
  <si>
    <t>Years between early and late data points for vitamin A deficiency proxies</t>
  </si>
  <si>
    <t>External validity adjustment</t>
  </si>
  <si>
    <t>Approximated average change in vitamin A deficiency per year</t>
  </si>
  <si>
    <t>supp</t>
  </si>
  <si>
    <t>GBD 2019</t>
  </si>
  <si>
    <t>Expected year of the grantee's VAS campaign</t>
  </si>
  <si>
    <t>Expected reduction in all-cause mortality among 6-59-month-olds receiving vitamin A supplementation</t>
  </si>
  <si>
    <t>Years between the latest national vitamin A deficiency survey in Nigeria and the grantee's VAS campaign</t>
  </si>
  <si>
    <t>Counterfactual funding scenarios</t>
  </si>
  <si>
    <t>Probability of scenarios in the absence of philanthropic funding</t>
  </si>
  <si>
    <t>Approximated change in vitamin A deficiency since the latest national survey in Nigeria</t>
  </si>
  <si>
    <t>Scenario 1: Domestic governments would replace the grantee's costs</t>
  </si>
  <si>
    <t>National vitamin A deficiency prevalence at the time of upcoming campaigns</t>
  </si>
  <si>
    <t>Estimated national vitamin A deficiency prevalence at the time of a grantee campaign</t>
  </si>
  <si>
    <t>Scenario 2: Other philanthropic actors would replace the grantee's costs</t>
  </si>
  <si>
    <t>Proportion of people under age 5 represented in GBD 2019 disease burden estimates who received VAS</t>
  </si>
  <si>
    <t>State-level data on health proxies for vitamin A deficiency according to DHS surveys</t>
  </si>
  <si>
    <t>State-level proportion of people under age 5 who were experiencing stunting in 2018</t>
  </si>
  <si>
    <t>Scenario 3: Other actors' upstream costs would stay the same (downstream costs would shrink in proportion to the total size of the program)</t>
  </si>
  <si>
    <t>All-cause mortality rate among 6-59-month-olds in the absence of VAS</t>
  </si>
  <si>
    <t>Proportion of post-neonatal mortalities that are among 1-5-month-olds</t>
  </si>
  <si>
    <t>GW's analysis of the age breakdown of mortalities under age 1</t>
  </si>
  <si>
    <t>Total deaths averted among people under age 5</t>
  </si>
  <si>
    <t>State-level proportion of people under age 5 who were experiencing wasting in 2018</t>
  </si>
  <si>
    <t>Scenario 4: Distributions would go unfunded</t>
  </si>
  <si>
    <t>Long-term income increases for people under age 5</t>
  </si>
  <si>
    <t>Ratio of value generated from income increases to value generated from mortalities averted among people under age 15 by seasonal malaria chemoprevention (SMC)</t>
  </si>
  <si>
    <t>Proportion of the program that would still occur in each scenario</t>
  </si>
  <si>
    <t>State-level proportion of 6-59-month-olds who were experiencing anemia in 2018</t>
  </si>
  <si>
    <t>Adjustment for income increases generated by VAS compared to SMC</t>
  </si>
  <si>
    <t>GW guesstimate</t>
  </si>
  <si>
    <t>All-cause mortality rate among the VAS-eligible population in the absence of VAS</t>
  </si>
  <si>
    <t>Ratio of value generated from income increases to value generated from mortalities averted among people under age 15 by VAS</t>
  </si>
  <si>
    <t>Value assigned to averting a death of a person under age 5 with vitamin A supplementation</t>
  </si>
  <si>
    <t>State-level data on economic proxies for vitamin A deficiency according to a 2019 NBS survey</t>
  </si>
  <si>
    <t>State-level proportion of the population below Nigeria's poverty line in 2019</t>
  </si>
  <si>
    <t>Maziya-Dixon et al. 2006</t>
  </si>
  <si>
    <t>year</t>
  </si>
  <si>
    <t>2001</t>
  </si>
  <si>
    <t>Units of value generated from deaths averted among people under age 15</t>
  </si>
  <si>
    <t>Nigeria DHS 2003 Final Report</t>
  </si>
  <si>
    <t>Value of spending</t>
  </si>
  <si>
    <t>Units of value generated from long-term income increases</t>
  </si>
  <si>
    <t>Cost-effectiveness of the program (before leverage and funging)</t>
  </si>
  <si>
    <t>Adjustment for variation in vitamin A deficiency prevalence across states</t>
  </si>
  <si>
    <t>Units of value generated per dollar spent (before final adjustments)</t>
  </si>
  <si>
    <t>Nigeria DHS 2018 Final Report</t>
  </si>
  <si>
    <t>Ratio of state-level rates of stunting to the national rate of stunting</t>
  </si>
  <si>
    <t>Ratio of state-level rates of wasting to the national rate of wasting</t>
  </si>
  <si>
    <t>Value of outcomes</t>
  </si>
  <si>
    <t>World Bank Open Data</t>
  </si>
  <si>
    <t>Units of value from mortality reduction among people under age 5</t>
  </si>
  <si>
    <t>Ratio of state-level anemia rates to the national anemia rate</t>
  </si>
  <si>
    <t>Total supplemental grantee-level adjustment</t>
  </si>
  <si>
    <t>Ratio of state-level poverty rates to the national poverty rate</t>
  </si>
  <si>
    <t>Nigeria NBS 2019 Poverty and Equality Report</t>
  </si>
  <si>
    <t>Units of value from under-5 deaths averted (before accounting for leverage and funging)</t>
  </si>
  <si>
    <t>Total supplemental intervention-level adjustment</t>
  </si>
  <si>
    <t>Units of value from long-term income increases for children age 14 and under</t>
  </si>
  <si>
    <t>Units of value generated from long-term income increases per person receiving a year of VAS</t>
  </si>
  <si>
    <t>Year of early data points for vitamin A defiency proxies</t>
  </si>
  <si>
    <t>2003</t>
  </si>
  <si>
    <t>Year of late data points for vitamin A defiency proxies</t>
  </si>
  <si>
    <t>2018</t>
  </si>
  <si>
    <t>2022</t>
  </si>
  <si>
    <t>Units of value from long-term income increases (before accounting for leverage and funging)</t>
  </si>
  <si>
    <t>Units of value generated per dollar donated to grantee (after supplemental adjustments)</t>
  </si>
  <si>
    <t>Summary of outcomes and initial cost-effectiveness (before final adjustments)</t>
  </si>
  <si>
    <t>Weight placed on change in rates of anemia as a proxy for changes in vitamin A deficiency</t>
  </si>
  <si>
    <t>Summary of outcomes</t>
  </si>
  <si>
    <t>Lives saved by the program (before leverage and funging)</t>
  </si>
  <si>
    <t>Total lives saved (before final adjustments)</t>
  </si>
  <si>
    <t>Vitamin A deficiency prevalence for countries other than Nigeria</t>
  </si>
  <si>
    <t>Vitamin A deficiency prevalence found in most recent survey of people under age 5</t>
  </si>
  <si>
    <t>Value of individual outcomes</t>
  </si>
  <si>
    <t>Year of most recent vitamin A deficiency survey of people under age 5</t>
  </si>
  <si>
    <t>2010</t>
  </si>
  <si>
    <t>2009</t>
  </si>
  <si>
    <t>2007</t>
  </si>
  <si>
    <t>1999</t>
  </si>
  <si>
    <t>2011</t>
  </si>
  <si>
    <t>2000</t>
  </si>
  <si>
    <t>1997</t>
  </si>
  <si>
    <t>2008</t>
  </si>
  <si>
    <t>Vitamin A deficiency prevalence rate among 6-59-month-olds, derived from GBD 2017</t>
  </si>
  <si>
    <t>GBD 2017</t>
  </si>
  <si>
    <t>Overall adjustment for variation in vitaman A deficiency prevalence across states</t>
  </si>
  <si>
    <t>Weighting for vitamin A deficiency prevalence rates from different sources</t>
  </si>
  <si>
    <t>Weight assigned to vitamin A deficiency rates found in the most recent surveys</t>
  </si>
  <si>
    <t>Weight assigned to vitamin A deficiency rates from GBD 2017</t>
  </si>
  <si>
    <t>Total supplemental intervention-level adjustment affecting lives saved</t>
  </si>
  <si>
    <t>Vitamin A deficiency prevalence in the populations studied by trials from Imdad et al. 2017</t>
  </si>
  <si>
    <t>Estimated state-level vitamin A deficiency prevalence</t>
  </si>
  <si>
    <t>GW's VAS supplementary analysis (2024), Imdad 2017 VAD prevalence estimates</t>
  </si>
  <si>
    <t>Final estimated vitamin A deficiency prevalence rate among people under age 5</t>
  </si>
  <si>
    <t>Total value of outcomes</t>
  </si>
  <si>
    <t>Units of value from under-5 deaths averted (before final adjustments)</t>
  </si>
  <si>
    <t>Measles mortalities per year among people under five</t>
  </si>
  <si>
    <t>Measles mortalities per year among people under age 5</t>
  </si>
  <si>
    <t>Total lives saved (after supplemental adjustments)</t>
  </si>
  <si>
    <t>Units of value from long-term income increases (before final adjustments)</t>
  </si>
  <si>
    <t>Vitamin A deficiency prevalence based on the latest in-country surveys</t>
  </si>
  <si>
    <t>Counterfactual value of spending from non-philanthropic actors</t>
  </si>
  <si>
    <t>Counterfactual value per dollar spent by domestic governments on VAS programs</t>
  </si>
  <si>
    <t>Initial cost-effectiveness (before final adjustments)</t>
  </si>
  <si>
    <t>Early neonatal measles mortalities per year (babies under 7 days old)</t>
  </si>
  <si>
    <t>Total units of value from all outcomes (before final adjustments)</t>
  </si>
  <si>
    <t>Counterfactual value per dollar spent by Nutrition International</t>
  </si>
  <si>
    <t>Late neonatal measles mortalities per year (babies between 7 and 27 days old)</t>
  </si>
  <si>
    <t>Counterfactual value per dollar spent by other philanthropic actors supporting VAS campaigns</t>
  </si>
  <si>
    <t>Units of value per dollar spent, benchmark</t>
  </si>
  <si>
    <t>Post-neonatal measles mortalities per year (babies between 28 and 364 days old)</t>
  </si>
  <si>
    <t>Value generated across different counterfactual scenarios</t>
  </si>
  <si>
    <t>Cost-effectiveness in terms of multiples of our benchmark (before final adjustments)</t>
  </si>
  <si>
    <t>Scenario 1: Domestic governments would replace the grantee's spending</t>
  </si>
  <si>
    <t>Years between the most recent vitamin A deficiency survey and the grantee's VAS campaign</t>
  </si>
  <si>
    <t>Hypothetical impact of shifting government spending</t>
  </si>
  <si>
    <t>Amount of spending domestic governments would shift to the grantee program</t>
  </si>
  <si>
    <t>Diarrheal disease mortalities per year among people under five</t>
  </si>
  <si>
    <t>Expected change in vitamin A deficiency per year</t>
  </si>
  <si>
    <t>Diarrheal disease mortalities per year among people under age 5</t>
  </si>
  <si>
    <t>Value generated by shifting government spending to the grantee program</t>
  </si>
  <si>
    <t>Proportion of impact attributed to different outcomes</t>
  </si>
  <si>
    <t>Estimated change in baseline vitamin A deficiency since the most recent survey</t>
  </si>
  <si>
    <t>Proportion of total units of value attributed to mortality reduction among people under age 5</t>
  </si>
  <si>
    <t>Value lost by shifting spending away from programs domestic governments would otherwise have funded</t>
  </si>
  <si>
    <t>Proportion of total units of value attributed to long-term income increases</t>
  </si>
  <si>
    <t>Estimated vitamin A deficiency prevalence at the time of the grantee's VAS campaign</t>
  </si>
  <si>
    <t>Net value generated by shifting government spending to the grantee program</t>
  </si>
  <si>
    <t>Early neonatal diarrheal disease mortalities per year (babies under 7 days old)</t>
  </si>
  <si>
    <t>Cost per life saved (before final adjustments)</t>
  </si>
  <si>
    <t>Change in value generated by the grantee program if this scenario represented the true counterfactual</t>
  </si>
  <si>
    <t>Vitamin A deficiency prevalence based on estimates from GBD 2017</t>
  </si>
  <si>
    <t>Probability of this scenario representing the true counterfactual</t>
  </si>
  <si>
    <t>Expected change in value generated by the grantee program</t>
  </si>
  <si>
    <t>Late neonatal diarrheal disease mortalities per year (babies between 7 and 27 days old)</t>
  </si>
  <si>
    <t>Adjustments</t>
  </si>
  <si>
    <t>Scenario 2: Other philanthropic actors would replace the grantee's spending</t>
  </si>
  <si>
    <t>Hypothetical impact of shifting other philanthropic actors' spending</t>
  </si>
  <si>
    <t>Amount of spending other philanthropic actors would shift to the grantee program</t>
  </si>
  <si>
    <t>Supplemental grantee-level adjustments</t>
  </si>
  <si>
    <t>Risk of wastage</t>
  </si>
  <si>
    <t>Value generated by shifting other philanthropic actors' spending to the grantee program</t>
  </si>
  <si>
    <t>Double treatment</t>
  </si>
  <si>
    <t>Post-neonatal diarrheal disease mortalities per year (babies between 28 and 364 days old)</t>
  </si>
  <si>
    <t>Value lost by shifting spending away from programs the other philanthropic actors would otherwise have funded</t>
  </si>
  <si>
    <t>Net value generated by shifting other philanthropic actors' spending to the grantee program</t>
  </si>
  <si>
    <t>Ineffective goods</t>
  </si>
  <si>
    <t>Communicable, maternal, maternal, neonatal, and nutritional disease mortalities per year among people under five</t>
  </si>
  <si>
    <t>Communicable, maternal, maternal, neonatal, and nutritional disease mortalities per year among people under age 5</t>
  </si>
  <si>
    <t>Goods purchased and left in storage until they expire / cash doesn't receive recipients or is taken back from them inappropriately</t>
  </si>
  <si>
    <t>Estimated vitamin A deficiency prevalence</t>
  </si>
  <si>
    <t>Estimated vitamin A deficiency prevalence rate among people under age 5</t>
  </si>
  <si>
    <t>Scenario 3: Other actors would spend the same amount and the program would be smaller</t>
  </si>
  <si>
    <t>Quality of monitoring and evaluation</t>
  </si>
  <si>
    <t>Amount of spending domestic governments would shift away from the grantee program</t>
  </si>
  <si>
    <t>Misappropriation without monitoring results</t>
  </si>
  <si>
    <t>Early neonatal communicable, maternal, maternal, neonatal, and nutritional disease mortalities per year (babies under 7 days old)</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</si>
  <si>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</si>
  <si>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</si>
  <si>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</si>
  <si>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False monitoring results</t>
  </si>
  <si>
    <t>External validity adjustment implied by vitamin A deficiency prevalence</t>
  </si>
  <si>
    <t>Hypothetical impact of shifting Nutrition International's spending</t>
  </si>
  <si>
    <t>Final vitamin A deficiency prevalence estimate</t>
  </si>
  <si>
    <t>Amount of spending Nutrition International would shift away from the grantee program</t>
  </si>
  <si>
    <t>Late neonatal communicable, maternal, maternal, neonatal, and nutritional disease mortalities per year (babies between 7 and 27 days old)</t>
  </si>
  <si>
    <t>Vitamin A deficiency prevalence among people under age 5</t>
  </si>
  <si>
    <t>Confidence in funds being used for intended purpose</t>
  </si>
  <si>
    <t>Value generated by shifting spending toward programs Nutrition International would otherwise have supported</t>
  </si>
  <si>
    <t>Change of priorities</t>
  </si>
  <si>
    <t>Value lost by shifting Nutrition International's spending away from the grantee program</t>
  </si>
  <si>
    <t>Net value generated by shifting Nutrition International's spending away from the grantee program</t>
  </si>
  <si>
    <t>Post-neonatal communicable, maternal, maternal, neonatal, and nutritional disease mortalities per year (babies between 28 and 364 days old)</t>
  </si>
  <si>
    <t>Overall impact of shifting spending</t>
  </si>
  <si>
    <t>Non-funding bottlenecks</t>
  </si>
  <si>
    <t>Expected change in value generated by the program</t>
  </si>
  <si>
    <t>Within-org fungibility</t>
  </si>
  <si>
    <t>External validity adjustment based on vitamin A deficiency prevalence</t>
  </si>
  <si>
    <t>Maternal and neonatal disease mortalities per year among people under five</t>
  </si>
  <si>
    <t>Maternal and neonatal disease mortalities per year among people under age 5</t>
  </si>
  <si>
    <t>Scenario 4: The grantee program would go unfunded</t>
  </si>
  <si>
    <t>Proportion of mortalities that are susceptible to prevention through VAS</t>
  </si>
  <si>
    <t>Value generated by shifting spending to programs domestic governments would otherwise have funded</t>
  </si>
  <si>
    <t>Total mortalities among the VAS-eligible population</t>
  </si>
  <si>
    <t>Early neonatal maternal and neonatal disease mortalities per year (babies under 7 days old)</t>
  </si>
  <si>
    <t>Supplemental intervention-level adjustments</t>
  </si>
  <si>
    <t>Adjustments not affecting cost per life saved</t>
  </si>
  <si>
    <t>Short-term consequences of reduced infectious disease morbidity</t>
  </si>
  <si>
    <t>Proportion of post-neo-natal mortalities that are among 1-5-month-olds</t>
  </si>
  <si>
    <t>Late neonatal maternal and neonatal disease mortalities per year (babies between 7 and 27 days old)</t>
  </si>
  <si>
    <t>Short-term anemia effects</t>
  </si>
  <si>
    <t>Amount of spending other philanthropic actors would saway from the grantee program</t>
  </si>
  <si>
    <t>Value generated by shifting spending toward programs the other philanthropic actors would otherwise have funded</t>
  </si>
  <si>
    <t>Investment of income increases</t>
  </si>
  <si>
    <t>Post-neonatal maternal and neonatal disease mortalities per year (babies between 28 and 364 days old)</t>
  </si>
  <si>
    <t>Value lost by shifting other philanthropic actors' spending away from the grantee program</t>
  </si>
  <si>
    <t>Net value generated by shifting other philanthropic actors' spending away from the grantee program</t>
  </si>
  <si>
    <t>Vision benefits</t>
  </si>
  <si>
    <t>Nutritional deficiency mortalities per year among people under five</t>
  </si>
  <si>
    <t>Benefits from other programs supported by our funding (e.g. deworming, immunizations)</t>
  </si>
  <si>
    <t>Nutritional deficiency mortalities per year among people under age 5</t>
  </si>
  <si>
    <t>Final leverage and funging adjustment</t>
  </si>
  <si>
    <t>Change in value generated as a result of leverage and funging</t>
  </si>
  <si>
    <t>Total value generated by grantee spending before adjusting for leverage and funging</t>
  </si>
  <si>
    <t>Treatment costs averted from prevention</t>
  </si>
  <si>
    <t>Change in value generated as a result of crowding funding into the program (leverage)</t>
  </si>
  <si>
    <t>Early neonatal nutritional deficiency mortalities per year (babies under 7 days old)</t>
  </si>
  <si>
    <t>Change in value generated as a result of crowding funding out of the program (funging)</t>
  </si>
  <si>
    <t>Adjustments affecting cost per life saved</t>
  </si>
  <si>
    <t>Interaction between VAS and vaccines</t>
  </si>
  <si>
    <t>Total expected change in value generated as a result of leverage and funging</t>
  </si>
  <si>
    <t>Late neonatal nutritional deficiency mortalities per year (babies between 7 and 27 days old)</t>
  </si>
  <si>
    <t>Total value generated by grantee spending after adjusting for leverage and funging</t>
  </si>
  <si>
    <t>UOV</t>
  </si>
  <si>
    <t>Marginal funding going to lower priority areas</t>
  </si>
  <si>
    <t>Adjustment for the possibility of crowding funding into the program (leverage)</t>
  </si>
  <si>
    <t>Post-neonatal nutritional deficiency mortalities per year (babies between 28 and 364 days old)</t>
  </si>
  <si>
    <t>Estimated measles mortalities per year among 1-5-month-olds</t>
  </si>
  <si>
    <t>Adjustment for the possibility of crowding funding out of the program (funging)</t>
  </si>
  <si>
    <t>Measles mortalities per year among 6-59-month-olds</t>
  </si>
  <si>
    <t>Adjustment for leverage and funging</t>
  </si>
  <si>
    <t>Leverage and funging adjustment</t>
  </si>
  <si>
    <t>Leverage and funging adjustment for counterfactual impact estimates</t>
  </si>
  <si>
    <t xml:space="preserve">Proportion of mortalities that are susceptible to prevention through VAS for populations studied by trials from Imdad et al. 2017                                          </t>
  </si>
  <si>
    <t>Proportion of mortalities among 6-59-month-olds attributed to measles or diarrheal disease for the populations studied by trials from Imdad et al. 2017</t>
  </si>
  <si>
    <t>Proportion of mortalities among 6-59-month-olds attributed to any infectious disease for the populations studied by trials from Imdad et al. 2017</t>
  </si>
  <si>
    <t>External validity adjustment implied by the proportion of mortalities that are susceptible to prevention through VAS</t>
  </si>
  <si>
    <t>Weight placed on the assumption that VAS-susceptible mortalities are best approximated by mortalities attributed to measles and diarrheal disease</t>
  </si>
  <si>
    <t>Weight placed on the assumption that VAS-susceptible mortalities are best approximated by mortalities attributed to any infectious disease</t>
  </si>
  <si>
    <t>Final external validity adjustment</t>
  </si>
  <si>
    <t>Adjustment for non-independence of changes in rates of vitamin A deficiency and child mortality</t>
  </si>
  <si>
    <t>Overall adjustment for leverage and funging</t>
  </si>
  <si>
    <t>Imdad et al. 2017</t>
  </si>
  <si>
    <t>GW's analysis of coverage estimates from RCTs of VAS from Imdad et al. 2017</t>
  </si>
  <si>
    <t>Cost-effectiveness (after final adustments)</t>
  </si>
  <si>
    <t>GBD 2019 Results Tool: Mortalities among children under five</t>
  </si>
  <si>
    <t>Cost-effectiveness after all adjustments</t>
  </si>
  <si>
    <t>Long-term income increases for people under age 15</t>
  </si>
  <si>
    <t>GBD 2019 Results Tool: Mortality rates among children under five</t>
  </si>
  <si>
    <t>GW's SMC CEA</t>
  </si>
  <si>
    <t>GBD 2019: Mortalities among children under five (Nigerian states)</t>
  </si>
  <si>
    <t>GBD 2019: Mortality rates among children under five (Nigerian states)</t>
  </si>
  <si>
    <t>measure</t>
  </si>
  <si>
    <t>location</t>
  </si>
  <si>
    <t>sex</t>
  </si>
  <si>
    <t>age</t>
  </si>
  <si>
    <t>cause</t>
  </si>
  <si>
    <t>metric</t>
  </si>
  <si>
    <t>val</t>
  </si>
  <si>
    <t>upper</t>
  </si>
  <si>
    <t>lower</t>
  </si>
  <si>
    <t>Condition</t>
  </si>
  <si>
    <t>Sex</t>
  </si>
  <si>
    <t>Age</t>
  </si>
  <si>
    <t>Location</t>
  </si>
  <si>
    <t>Measure</t>
  </si>
  <si>
    <t>Unit</t>
  </si>
  <si>
    <t>Forecast Scenario</t>
  </si>
  <si>
    <t>Year</t>
  </si>
  <si>
    <t>Value</t>
  </si>
  <si>
    <t>Lower</t>
  </si>
  <si>
    <t>Upper</t>
  </si>
  <si>
    <t>Data Suite</t>
  </si>
  <si>
    <t>Deaths</t>
  </si>
  <si>
    <t>Both</t>
  </si>
  <si>
    <t>&lt;5 years</t>
  </si>
  <si>
    <t>All causes</t>
  </si>
  <si>
    <t>Rate</t>
  </si>
  <si>
    <t>GW value judgment</t>
  </si>
  <si>
    <t>0 to 6 days (early neonatal)</t>
  </si>
  <si>
    <t>Abia</t>
  </si>
  <si>
    <t>Past estimate</t>
  </si>
  <si>
    <t>2019</t>
  </si>
  <si>
    <t>Value assigned to doubling consumption for one person for one year</t>
  </si>
  <si>
    <t>Rate (per 100,000)</t>
  </si>
  <si>
    <t>0-6 days</t>
  </si>
  <si>
    <t>Value assigned to increasing ln(consumption) by one unit for one person for one year</t>
  </si>
  <si>
    <t>28 to 364 days (post neonatal)</t>
  </si>
  <si>
    <t>28-364 days</t>
  </si>
  <si>
    <t>7 to 27 days (late neonatal)</t>
  </si>
  <si>
    <t>Estimated diarrheal disease mortalities per year among 1-5-month-olds</t>
  </si>
  <si>
    <t>Units of value generated per dollar spent by the grantee, after accounting for all adjustments</t>
  </si>
  <si>
    <t>7-27 days</t>
  </si>
  <si>
    <t>Under 5</t>
  </si>
  <si>
    <t>Communicable, maternal, neonatal, and nutritional diseases</t>
  </si>
  <si>
    <t>Cost-effectiveness benchmark</t>
  </si>
  <si>
    <t>Diarrheal disease mortalities per year among 6-59-month-olds</t>
  </si>
  <si>
    <t>Cost-effectiveness in terms of multiples of our benchmark, after all adjustments</t>
  </si>
  <si>
    <t>Diarrheal diseases</t>
  </si>
  <si>
    <t>Maternal and neonatal disorders</t>
  </si>
  <si>
    <t>Counterfactual impact</t>
  </si>
  <si>
    <t>Measles</t>
  </si>
  <si>
    <t>Adjustments affecting program outputs (people covered)</t>
  </si>
  <si>
    <t>Nutritional deficiencies</t>
  </si>
  <si>
    <t>Bangladesh</t>
  </si>
  <si>
    <t>Overall adjustment for program outputs</t>
  </si>
  <si>
    <t>Adjustments affecting program outcomes (lives saved)</t>
  </si>
  <si>
    <t>Benin</t>
  </si>
  <si>
    <t>Estimated communicable, maternal, maternal, neonatal, and nutritional disease mortalities per year among 1-5-month-olds</t>
  </si>
  <si>
    <t>Communicable, maternal, maternal, neonatal, and nutritional disease mortalities per year among 6-59-month-olds</t>
  </si>
  <si>
    <t>Overall adjustment for program outcomes</t>
  </si>
  <si>
    <t>Bhutan</t>
  </si>
  <si>
    <t>Counterfactual program outputs</t>
  </si>
  <si>
    <t>Total people receiving vitamin A supplements who wouldn't have received VAS otherwise</t>
  </si>
  <si>
    <t>Cost per person counterfactually receiving VAS</t>
  </si>
  <si>
    <t>Bauchi</t>
  </si>
  <si>
    <t>Counterfactual program outcomes</t>
  </si>
  <si>
    <t>Total lives saved that wouldn't have been saved otherwise</t>
  </si>
  <si>
    <t>Botswana</t>
  </si>
  <si>
    <t>Cost per life counterfactually saved</t>
  </si>
  <si>
    <t>Estimated maternal and neonatal disease mortalities per year among 1-5-month-olds</t>
  </si>
  <si>
    <t>Bayelsa</t>
  </si>
  <si>
    <t>Maternal and neonatal mortalities per year among 6-59-month-olds</t>
  </si>
  <si>
    <t>Grant</t>
  </si>
  <si>
    <t>Under-five mortality benefits</t>
  </si>
  <si>
    <t>Cost per person under age five reached</t>
  </si>
  <si>
    <t>Burundi</t>
  </si>
  <si>
    <t>Number of people under age five reached</t>
  </si>
  <si>
    <t>Borno</t>
  </si>
  <si>
    <t>Proportion of reached children who would have received VAS in the absence of the program</t>
  </si>
  <si>
    <t>Estimated nutritional deficiency mortalities per year among 1-5-month-olds</t>
  </si>
  <si>
    <t>25th</t>
  </si>
  <si>
    <t>Best guess</t>
  </si>
  <si>
    <t>75th</t>
  </si>
  <si>
    <t>Nutritional deficiency mortalities per year among 6-59-month-olds</t>
  </si>
  <si>
    <t>GiveWell's 25th and 75th percentile values for key inputs</t>
  </si>
  <si>
    <t>Number of additional children receiving VAS as a result of the program</t>
  </si>
  <si>
    <t>Cabo Verde</t>
  </si>
  <si>
    <t>Mortality rate among people under age five</t>
  </si>
  <si>
    <t>Infectious disease mortalities per year among people under five</t>
  </si>
  <si>
    <t>Infectious disease mortalities per year among people under age 5</t>
  </si>
  <si>
    <t>Cross River</t>
  </si>
  <si>
    <t>Early neonatal infectious disease mortalities per year (babies under 7 days old)</t>
  </si>
  <si>
    <t>Effect of VAS on under-five mortality</t>
  </si>
  <si>
    <t>Late neonatal infectious disease mortalities per year (babies between 7 and 27 days old)</t>
  </si>
  <si>
    <t>Post-neonatal infectious disease mortalities per year (babies between 28 and 364 days old)</t>
  </si>
  <si>
    <t>Number of deaths averted among people under age five</t>
  </si>
  <si>
    <t>Estimated infectious disease mortalities per year among 1-5-month-olds</t>
  </si>
  <si>
    <t>Initial cost-effectiveness estimate</t>
  </si>
  <si>
    <t>Cost per under-five death averted</t>
  </si>
  <si>
    <t>Infectious disease mortalities per year among 6-59-month-olds</t>
  </si>
  <si>
    <t>Moral value of averting the death of a person under age five</t>
  </si>
  <si>
    <t>Proportion of mortalities that are susceptible to prevention through VAS under different assumptions</t>
  </si>
  <si>
    <t>Proportion of mortalities among 6-59-month-olds attributed to measles or diarrheal disease</t>
  </si>
  <si>
    <t>Initial cost-effectiveness in terms of multiples of our benchmark</t>
  </si>
  <si>
    <t>Proportion of mortalities among 6-59-month-olds attributed to any infectious disease</t>
  </si>
  <si>
    <t>Central African Republic</t>
  </si>
  <si>
    <t>Adjustments for other benefits</t>
  </si>
  <si>
    <t>Adjustment to account for developmental benefits (long-term income increases)</t>
  </si>
  <si>
    <t>Supplemental adjustments</t>
  </si>
  <si>
    <t>Adjustment for additional program benefits and downsides</t>
  </si>
  <si>
    <t>External validity adjustment based on the proportion of mortalities attributed to measles or diarrheal disease</t>
  </si>
  <si>
    <t>Adjustment for grantee-level factors</t>
  </si>
  <si>
    <t>External validity adjustment based on the proportion of mortalities attributed to any infectious disease</t>
  </si>
  <si>
    <t>Percentage of program impact coming from different benefits</t>
  </si>
  <si>
    <t>Mortalities averted for people under age five</t>
  </si>
  <si>
    <t>Developmental benefits (long-term income increases)</t>
  </si>
  <si>
    <t>Adjustment for leverage</t>
  </si>
  <si>
    <t>Comoros</t>
  </si>
  <si>
    <t>Adjustment for funging</t>
  </si>
  <si>
    <t>External validity adjustment based on the proportion of mortalities that are susceptible to prevention through VAS</t>
  </si>
  <si>
    <t>External validity adjustments attributed to different proxies</t>
  </si>
  <si>
    <t>Enugu</t>
  </si>
  <si>
    <t>Congo</t>
  </si>
  <si>
    <t>Final cost-effectiveness estimate</t>
  </si>
  <si>
    <t>Final cost-effectiveness in terms of multiples of our benchmark</t>
  </si>
  <si>
    <t>Final cost per life saved</t>
  </si>
  <si>
    <t>External validity adjustment to account for the proportion of mortalities that are susceptible to prevention through VAS, adjusted for non-independence of proxies</t>
  </si>
  <si>
    <t>FCT (Abuja)</t>
  </si>
  <si>
    <t>Final cost-effectiveness estimate (pulled from "Main calcs" sheet)</t>
  </si>
  <si>
    <t>25th percentile values (from sensitivity analysis)</t>
  </si>
  <si>
    <t>Sensitivity analysis results</t>
  </si>
  <si>
    <t>Gombe</t>
  </si>
  <si>
    <t>Cost-effectiveness estimate for the 25th and 75th percentile value</t>
  </si>
  <si>
    <t>Monte Carlo sheet URL</t>
  </si>
  <si>
    <t>13f1zWoSTwAIGQGJfc6JudqFQJAwQ-RsAQk5hGeGgbVw</t>
  </si>
  <si>
    <t>Djibouti</t>
  </si>
  <si>
    <t>Jigawa</t>
  </si>
  <si>
    <t>Equatorial Guinea</t>
  </si>
  <si>
    <t>Kaduna</t>
  </si>
  <si>
    <t>75th percentile values (from sensitivity analysis)</t>
  </si>
  <si>
    <t>Eritrea</t>
  </si>
  <si>
    <t>Kano</t>
  </si>
  <si>
    <t>Eswatini</t>
  </si>
  <si>
    <t>Katsina</t>
  </si>
  <si>
    <t>Ethiopia</t>
  </si>
  <si>
    <t>Kebbi</t>
  </si>
  <si>
    <t>Copy of simple CEA (for sensitivity analysis)</t>
  </si>
  <si>
    <t>Gabon</t>
  </si>
  <si>
    <t>Gambia</t>
  </si>
  <si>
    <t>Kwara</t>
  </si>
  <si>
    <t>Ghana</t>
  </si>
  <si>
    <t>Lagos</t>
  </si>
  <si>
    <t>Cost-effectiveness estimates from 25th percentile values (for sensitivity analysis)</t>
  </si>
  <si>
    <t>Cost-effectiveness estimates from 75th percentile values (for sensitivity analysis)</t>
  </si>
  <si>
    <t>Guinea-Bissau</t>
  </si>
  <si>
    <t>India</t>
  </si>
  <si>
    <t>Ondo</t>
  </si>
  <si>
    <t>Lesotho</t>
  </si>
  <si>
    <t>Oyo</t>
  </si>
  <si>
    <t>Liberia</t>
  </si>
  <si>
    <t>Plateau</t>
  </si>
  <si>
    <t>Malawi</t>
  </si>
  <si>
    <t>Sokoto</t>
  </si>
  <si>
    <t>Mauritania</t>
  </si>
  <si>
    <t>Yobe</t>
  </si>
  <si>
    <t>Mozambique</t>
  </si>
  <si>
    <t>Zamfara</t>
  </si>
  <si>
    <t>Final cost-effectiveness estimate, 25th and 75th percentiles</t>
  </si>
  <si>
    <t>Final cost-effectiveness enstimate</t>
  </si>
  <si>
    <t>Namibia</t>
  </si>
  <si>
    <t>Nepal</t>
  </si>
  <si>
    <t>Pakistan</t>
  </si>
  <si>
    <t>Rwanda</t>
  </si>
  <si>
    <t>Sao Tome and Principe</t>
  </si>
  <si>
    <t>Senegal</t>
  </si>
  <si>
    <t>Sierra Leone</t>
  </si>
  <si>
    <t>Somalia</t>
  </si>
  <si>
    <t>South Sudan</t>
  </si>
  <si>
    <t>Tanzania</t>
  </si>
  <si>
    <t>Zambia</t>
  </si>
  <si>
    <t>Zimbabwe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</si>
</sst>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quot;$&quot;#,##0"/>
    <numFmt numFmtId="166" formatCode="0.0%"/>
    <numFmt numFmtId="167" formatCode="&quot;$&quot;#,##0.00"/>
    <numFmt numFmtId="168" formatCode="#,##0.0000000"/>
    <numFmt numFmtId="169" formatCode="0.0000"/>
    <numFmt numFmtId="170" formatCode="0.0"/>
    <numFmt numFmtId="171" formatCode="0.0000%"/>
    <numFmt numFmtId="172" formatCode="0.000"/>
    <numFmt numFmtId="173" formatCode="#,##0.000"/>
  </numFmts>
  <fonts count="71">
    <font>
      <sz val="10.0"/>
      <color rgb="FF000000"/>
      <name val="Arial"/>
      <scheme val="minor"/>
    </font>
    <font>
      <b/>
      <sz val="11.0"/>
      <color theme="1"/>
      <name val="Calibri"/>
    </font>
    <font/>
    <font>
      <sz val="11.0"/>
      <color theme="1"/>
      <name val="Calibri"/>
    </font>
    <font>
      <b/>
      <sz val="11.0"/>
      <color rgb="FF000000"/>
      <name val="Calibri"/>
    </font>
    <font>
      <u/>
      <sz val="11.0"/>
      <color rgb="FF0000FF"/>
      <name val="Calibri"/>
    </font>
    <font>
      <u/>
      <sz val="11.0"/>
      <color rgb="FF0000FF"/>
      <name val="Calibri"/>
    </font>
    <font>
      <color theme="1"/>
      <name val="Arial"/>
    </font>
    <font>
      <u/>
      <sz val="11.0"/>
      <color rgb="FF0000FF"/>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u/>
      <sz val="11.0"/>
      <color rgb="FF1155CC"/>
      <name val="Calibri"/>
    </font>
    <font>
      <u/>
      <color theme="1"/>
      <name val="Arial"/>
      <scheme val="minor"/>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0.0"/>
      <color rgb="FF0000FF"/>
    </font>
    <font>
      <u/>
      <sz val="11.0"/>
      <color rgb="FF1155CC"/>
      <name val="Calibri"/>
    </font>
    <font>
      <u/>
      <sz val="11.0"/>
      <color rgb="FF1155CC"/>
      <name val="Calibri"/>
    </font>
    <font>
      <u/>
      <sz val="11.0"/>
      <color rgb="FF1155CC"/>
      <name val="Calibri"/>
    </font>
    <font>
      <u/>
      <sz val="11.0"/>
      <color theme="1"/>
      <name val="Calibri"/>
    </font>
    <font>
      <u/>
      <sz val="11.0"/>
      <color rgb="FF0000FF"/>
      <name val="Calibri"/>
    </font>
    <font>
      <u/>
      <sz val="11.0"/>
      <color theme="1"/>
      <name val="Calibri"/>
    </font>
    <font>
      <u/>
      <sz val="11.0"/>
      <color theme="1"/>
      <name val="Calibri"/>
    </font>
    <font>
      <u/>
      <sz val="11.0"/>
      <color rgb="FF0000FF"/>
      <name val="Calibri"/>
    </font>
    <font>
      <b/>
      <u/>
      <sz val="11.0"/>
      <color theme="1"/>
      <name val="Calibri"/>
    </font>
    <font>
      <u/>
      <sz val="11.0"/>
      <color theme="1"/>
      <name val="Calibri"/>
    </font>
    <font>
      <u/>
      <sz val="11.0"/>
      <color rgb="FF0000FF"/>
      <name val="Calibri"/>
    </font>
    <font>
      <u/>
      <sz val="11.0"/>
      <color rgb="FF1155CC"/>
      <name val="Calibri"/>
    </font>
    <font>
      <u/>
      <sz val="11.0"/>
      <color rgb="FF0000FF"/>
      <name val="Calibri"/>
    </font>
    <font>
      <u/>
      <sz val="11.0"/>
      <color theme="1"/>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0000FF"/>
      <name val="Calibri"/>
    </font>
    <font>
      <color theme="1"/>
      <name val="Arial"/>
      <scheme val="minor"/>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color rgb="FF000000"/>
      <name val="Arial"/>
    </font>
    <font>
      <b/>
      <u/>
      <color rgb="FF000000"/>
      <name val="Arial"/>
    </font>
    <font>
      <color rgb="FF000000"/>
      <name val="Arial"/>
      <scheme val="minor"/>
    </font>
    <font>
      <b/>
      <u/>
      <color rgb="FF000000"/>
      <name val="Arial"/>
    </font>
    <font>
      <b/>
      <color theme="1"/>
      <name val="Arial"/>
    </font>
    <font>
      <u/>
      <sz val="11.0"/>
      <color rgb="FF1155CC"/>
      <name val="Calibri"/>
    </font>
    <font>
      <u/>
      <sz val="11.0"/>
      <color rgb="FF1155CC"/>
      <name val="Calibri"/>
    </font>
    <font>
      <u/>
      <sz val="11.0"/>
      <color rgb="FF1155CC"/>
      <name val="Calibri"/>
    </font>
    <font>
      <u/>
      <sz val="11.0"/>
      <color theme="1"/>
      <name val="Calibri"/>
    </font>
    <font>
      <i/>
      <sz val="11.0"/>
      <color rgb="FF000000"/>
      <name val="Calibri"/>
    </font>
    <font>
      <u/>
      <sz val="11.0"/>
      <color rgb="FF0000FF"/>
      <name val="Calibri"/>
    </font>
    <font>
      <u/>
      <color rgb="FF0000FF"/>
    </font>
    <font>
      <u/>
      <color rgb="FF0000FF"/>
    </font>
    <font>
      <sz val="11.0"/>
      <color rgb="FF666666"/>
      <name val="Calibri"/>
    </font>
    <font>
      <u/>
      <sz val="11.0"/>
      <color theme="1"/>
      <name val="Calibri"/>
    </font>
    <font>
      <i/>
      <sz val="11.0"/>
      <color theme="1"/>
      <name val="Calibri"/>
    </font>
    <font>
      <u/>
      <sz val="11.0"/>
      <color theme="1"/>
      <name val="Calibri"/>
    </font>
    <font>
      <u/>
      <sz val="11.0"/>
      <color theme="1"/>
      <name val="Calibri"/>
    </font>
  </fonts>
  <fills count="5">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s>
  <borders count="45">
    <border/>
    <border>
      <left style="thin">
        <color rgb="FF999999"/>
      </left>
      <top style="thin">
        <color rgb="FF999999"/>
      </top>
    </border>
    <border>
      <top style="thin">
        <color rgb="FF999999"/>
      </top>
    </border>
    <border>
      <left style="thin">
        <color rgb="FF999999"/>
      </left>
      <right style="thin">
        <color rgb="FF999999"/>
      </right>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left style="thin">
        <color rgb="FF999999"/>
      </left>
      <right style="thin">
        <color rgb="FF999999"/>
      </right>
    </border>
    <border>
      <bottom style="thin">
        <color rgb="FFCCCCCC"/>
      </bottom>
    </border>
    <border>
      <right style="thin">
        <color rgb="FF999999"/>
      </right>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left style="thin">
        <color rgb="FF999999"/>
      </left>
      <bottom style="thin">
        <color rgb="FF999999"/>
      </bottom>
    </border>
    <border>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top style="thin">
        <color rgb="FFCCCCCC"/>
      </top>
      <bottom style="thin">
        <color rgb="FF999999"/>
      </bottom>
    </border>
    <border>
      <right style="thin">
        <color rgb="FF999999"/>
      </right>
      <top style="thin">
        <color rgb="FFCCCCCC"/>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top style="thin">
        <color rgb="FFCCCCCC"/>
      </top>
    </border>
    <border>
      <right style="thin">
        <color rgb="FF999999"/>
      </right>
      <top style="thin">
        <color rgb="FFCCCCCC"/>
      </top>
    </border>
    <border>
      <left style="thin">
        <color rgb="FF999999"/>
      </left>
      <right style="thin">
        <color rgb="FF999999"/>
      </right>
      <top style="thin">
        <color rgb="FFCCCCCC"/>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rder>
    <border>
      <left style="thin">
        <color rgb="FF999999"/>
      </left>
      <top style="thin">
        <color rgb="FFCCCCCC"/>
      </top>
      <bottom style="thin">
        <color rgb="FF999999"/>
      </bottom>
    </border>
    <border>
      <top style="thin">
        <color rgb="FF999999"/>
      </top>
      <bottom style="thin">
        <color rgb="FF000000"/>
      </bottom>
    </border>
    <border>
      <left style="thin">
        <color rgb="FF999999"/>
      </left>
      <right style="thin">
        <color rgb="FF000000"/>
      </right>
    </border>
    <border>
      <left style="thin">
        <color rgb="FF000000"/>
      </left>
      <bottom style="thin">
        <color rgb="FF999999"/>
      </bottom>
    </border>
    <border>
      <right style="thin">
        <color rgb="FF000000"/>
      </righ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s>
  <cellStyleXfs count="1">
    <xf borderId="0" fillId="0" fontId="0" numFmtId="0" applyAlignment="1" applyFont="1"/>
  </cellStyleXfs>
  <cellXfs count="1045">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2" fontId="1" numFmtId="0" xfId="0" applyAlignment="1" applyBorder="1" applyFill="1" applyFont="1">
      <alignment readingOrder="0"/>
    </xf>
    <xf borderId="2" fillId="0" fontId="2" numFmtId="0" xfId="0" applyBorder="1" applyFont="1"/>
    <xf borderId="2" fillId="2" fontId="1" numFmtId="0" xfId="0" applyAlignment="1" applyBorder="1" applyFill="1" applyFont="1">
      <alignment vertical="bottom"/>
    </xf>
    <xf borderId="2" fillId="2" fontId="3" numFmtId="0" xfId="0" applyBorder="1" applyFill="1" applyFont="1"/>
    <xf borderId="2" fillId="2" fontId="4" numFmtId="0" xfId="0" applyAlignment="1" applyBorder="1" applyFill="1" applyFont="1">
      <alignment shrinkToFit="0" vertical="bottom" wrapText="1"/>
    </xf>
    <xf borderId="2" fillId="2" fontId="1" numFmtId="0" xfId="0" applyAlignment="1" applyBorder="1" applyFill="1" applyFont="1">
      <alignment horizontal="right" readingOrder="0" shrinkToFit="0" vertical="bottom" wrapText="1"/>
    </xf>
    <xf borderId="3" fillId="2" fontId="4" numFmtId="0" xfId="0" applyAlignment="1" applyBorder="1" applyFill="1" applyFont="1">
      <alignment horizontal="center" readingOrder="0"/>
    </xf>
    <xf borderId="4" fillId="2" fontId="3" numFmtId="0" xfId="0" applyBorder="1" applyFill="1" applyFont="1"/>
    <xf borderId="0" fillId="2" fontId="4" numFmtId="0" xfId="0" applyAlignment="1" applyFill="1" applyFont="1">
      <alignment horizontal="center" readingOrder="0"/>
    </xf>
    <xf borderId="5" fillId="3" fontId="1" numFmtId="0" xfId="0" applyAlignment="1" applyBorder="1" applyFill="1" applyFont="1">
      <alignment horizontal="left" readingOrder="0" shrinkToFit="0" wrapText="0"/>
    </xf>
    <xf borderId="6" fillId="0" fontId="2" numFmtId="0" xfId="0" applyBorder="1" applyFont="1"/>
    <xf borderId="2" fillId="2" fontId="4" numFmtId="0" xfId="0" applyAlignment="1" applyBorder="1" applyFill="1" applyFont="1">
      <alignment horizontal="center" readingOrder="0"/>
    </xf>
    <xf borderId="4" fillId="2" fontId="1" numFmtId="0" xfId="0" applyAlignment="1" applyBorder="1" applyFill="1" applyFont="1">
      <alignment horizontal="right" readingOrder="0" shrinkToFit="0" vertical="bottom" wrapText="1"/>
    </xf>
    <xf borderId="3" fillId="2" fontId="4" numFmtId="0" xfId="0" applyAlignment="1" applyBorder="1" applyFill="1" applyFont="1">
      <alignment horizontal="right" readingOrder="0"/>
    </xf>
    <xf borderId="6" fillId="3" fontId="3" numFmtId="0" xfId="0" applyBorder="1" applyFill="1" applyFont="1"/>
    <xf borderId="4" fillId="0" fontId="2" numFmtId="0" xfId="0" applyBorder="1" applyFont="1"/>
    <xf borderId="7" fillId="3" fontId="3" numFmtId="0" xfId="0" applyBorder="1" applyFill="1" applyFont="1"/>
    <xf borderId="0" fillId="0" fontId="1" numFmtId="0" xfId="0" applyAlignment="1" applyFont="1">
      <alignment horizontal="left" readingOrder="0" shrinkToFit="0" wrapText="0"/>
    </xf>
    <xf borderId="5" fillId="2" fontId="4" numFmtId="0" xfId="0" applyAlignment="1" applyBorder="1" applyFill="1" applyFont="1">
      <alignment horizontal="center" readingOrder="0"/>
    </xf>
    <xf borderId="3" fillId="2" fontId="1" numFmtId="0" xfId="0" applyAlignment="1" applyBorder="1" applyFill="1" applyFont="1">
      <alignment vertical="bottom"/>
    </xf>
    <xf borderId="0" fillId="0" fontId="3" numFmtId="0" xfId="0" applyFont="1"/>
    <xf borderId="8" fillId="2" fontId="1" numFmtId="0" xfId="0" applyAlignment="1" applyBorder="1" applyFill="1" applyFont="1">
      <alignment readingOrder="0" vertical="bottom"/>
    </xf>
    <xf borderId="0" fillId="2" fontId="1" numFmtId="0" xfId="0" applyAlignment="1" applyFill="1" applyFont="1">
      <alignment vertical="bottom"/>
    </xf>
    <xf borderId="8" fillId="0" fontId="1" numFmtId="0" xfId="0" applyAlignment="1" applyBorder="1" applyFont="1">
      <alignment horizontal="left" readingOrder="0" shrinkToFit="0" wrapText="0"/>
    </xf>
    <xf borderId="0" fillId="2" fontId="4" numFmtId="0" xfId="0" applyAlignment="1" applyFill="1" applyFont="1">
      <alignment shrinkToFit="0" vertical="bottom" wrapText="1"/>
    </xf>
    <xf borderId="0" fillId="2" fontId="1" numFmtId="0" xfId="0" applyAlignment="1" applyFill="1" applyFont="1">
      <alignment horizontal="right" readingOrder="0" shrinkToFit="0" vertical="bottom" wrapText="1"/>
    </xf>
    <xf borderId="9" fillId="2" fontId="4" numFmtId="0" xfId="0" applyAlignment="1" applyBorder="1" applyFill="1" applyFont="1">
      <alignment horizontal="center" readingOrder="0"/>
    </xf>
    <xf borderId="2" fillId="2" fontId="4" numFmtId="0" xfId="0" applyAlignment="1" applyBorder="1" applyFill="1" applyFont="1">
      <alignment horizontal="center" readingOrder="0" shrinkToFit="0" wrapText="1"/>
    </xf>
    <xf borderId="7" fillId="0" fontId="2" numFmtId="0" xfId="0" applyBorder="1" applyFont="1"/>
    <xf borderId="3" fillId="2" fontId="1" numFmtId="0" xfId="0" applyAlignment="1" applyBorder="1" applyFill="1" applyFont="1">
      <alignment horizontal="center" vertical="bottom"/>
    </xf>
    <xf borderId="10" fillId="0" fontId="5"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0" fillId="0" fontId="3" numFmtId="0" xfId="0" applyBorder="1" applyFont="1"/>
    <xf borderId="11" fillId="2" fontId="1" numFmtId="0" xfId="0" applyAlignment="1" applyBorder="1" applyFill="1" applyFont="1">
      <alignment horizontal="right" readingOrder="0" shrinkToFit="0" vertical="bottom" wrapText="1"/>
    </xf>
    <xf borderId="12" fillId="0" fontId="3" numFmtId="0" xfId="0" applyBorder="1" applyFont="1"/>
    <xf borderId="9" fillId="2" fontId="4" numFmtId="0" xfId="0" applyAlignment="1" applyBorder="1" applyFill="1" applyFont="1">
      <alignment horizontal="right" readingOrder="0"/>
    </xf>
    <xf borderId="13" fillId="0" fontId="6" numFmtId="0" xfId="0" applyAlignment="1" applyBorder="1" applyFont="1">
      <alignment horizontal="left" readingOrder="0" shrinkToFit="0" wrapText="0"/>
    </xf>
    <xf borderId="8" fillId="2" fontId="4" numFmtId="0" xfId="0" applyAlignment="1" applyBorder="1" applyFill="1" applyFont="1">
      <alignment horizontal="center" readingOrder="0" shrinkToFit="0" wrapText="1"/>
    </xf>
    <xf borderId="13" fillId="0" fontId="3" numFmtId="0" xfId="0" applyAlignment="1" applyBorder="1" applyFont="1">
      <alignment horizontal="left" readingOrder="0" shrinkToFit="0" wrapText="0"/>
    </xf>
    <xf borderId="0" fillId="2" fontId="4" numFmtId="0" xfId="0" applyAlignment="1" applyFill="1" applyFont="1">
      <alignment horizontal="center" readingOrder="0" shrinkToFit="0" wrapText="1"/>
    </xf>
    <xf borderId="13" fillId="0" fontId="3" numFmtId="0" xfId="0" applyBorder="1" applyFont="1"/>
    <xf borderId="4" fillId="2" fontId="1" numFmtId="0" xfId="0" applyAlignment="1" applyBorder="1" applyFill="1" applyFont="1">
      <alignment vertical="bottom"/>
    </xf>
    <xf borderId="14" fillId="0" fontId="3" numFmtId="0" xfId="0" applyBorder="1" applyFont="1"/>
    <xf borderId="9" fillId="2" fontId="1" numFmtId="0" xfId="0" applyAlignment="1" applyBorder="1" applyFill="1" applyFont="1">
      <alignment vertical="bottom"/>
    </xf>
    <xf borderId="15" fillId="2" fontId="1" numFmtId="0" xfId="0" applyAlignment="1" applyBorder="1" applyFill="1" applyFont="1">
      <alignment readingOrder="0" vertical="bottom"/>
    </xf>
    <xf borderId="16" fillId="0" fontId="2" numFmtId="0" xfId="0" applyBorder="1" applyFont="1"/>
    <xf borderId="16" fillId="2" fontId="1" numFmtId="0" xfId="0" applyAlignment="1" applyBorder="1" applyFill="1" applyFont="1">
      <alignment horizontal="right" readingOrder="0" shrinkToFit="0" vertical="bottom" wrapText="1"/>
    </xf>
    <xf borderId="17" fillId="2" fontId="4" numFmtId="0" xfId="0" applyAlignment="1" applyBorder="1" applyFill="1" applyFont="1">
      <alignment horizontal="center" readingOrder="0"/>
    </xf>
    <xf borderId="16" fillId="2" fontId="4" numFmtId="0" xfId="0" applyAlignment="1" applyBorder="1" applyFill="1" applyFont="1">
      <alignment horizontal="center" readingOrder="0" shrinkToFit="0" wrapText="1"/>
    </xf>
    <xf borderId="16" fillId="2" fontId="4" numFmtId="0" xfId="0" applyAlignment="1" applyBorder="1" applyFill="1" applyFont="1">
      <alignment horizontal="center" readingOrder="0"/>
    </xf>
    <xf borderId="4" fillId="2" fontId="4" numFmtId="0" xfId="0" applyAlignment="1" applyBorder="1" applyFill="1" applyFont="1">
      <alignment horizontal="center" readingOrder="0" shrinkToFit="0" wrapText="1"/>
    </xf>
    <xf borderId="15" fillId="2" fontId="4" numFmtId="0" xfId="0" applyAlignment="1" applyBorder="1" applyFill="1" applyFont="1">
      <alignment horizontal="center" readingOrder="0" shrinkToFit="0" wrapText="1"/>
    </xf>
    <xf borderId="9" fillId="2" fontId="1" numFmtId="0" xfId="0" applyAlignment="1" applyBorder="1" applyFill="1" applyFont="1">
      <alignment horizontal="center" vertical="bottom"/>
    </xf>
    <xf borderId="17" fillId="2" fontId="1" numFmtId="0" xfId="0" applyAlignment="1" applyBorder="1" applyFill="1" applyFont="1">
      <alignment vertical="bottom"/>
    </xf>
    <xf borderId="15" fillId="3" fontId="1" numFmtId="0" xfId="0" applyAlignment="1" applyBorder="1" applyFill="1" applyFont="1">
      <alignment readingOrder="0" shrinkToFit="0" vertical="bottom" wrapText="0"/>
    </xf>
    <xf borderId="16" fillId="3" fontId="1" numFmtId="0" xfId="0" applyAlignment="1" applyBorder="1" applyFill="1" applyFont="1">
      <alignment readingOrder="0" shrinkToFit="0" vertical="bottom" wrapText="0"/>
    </xf>
    <xf borderId="16" fillId="3" fontId="4" numFmtId="0" xfId="0" applyAlignment="1" applyBorder="1" applyFill="1" applyFont="1">
      <alignment readingOrder="0" shrinkToFit="0" vertical="bottom" wrapText="1"/>
    </xf>
    <xf borderId="18" fillId="2" fontId="1" numFmtId="0" xfId="0" applyAlignment="1" applyBorder="1" applyFill="1" applyFont="1">
      <alignment horizontal="right" readingOrder="0" shrinkToFit="0" vertical="bottom" wrapText="1"/>
    </xf>
    <xf borderId="8" fillId="0" fontId="7" numFmtId="0" xfId="0" applyAlignment="1" applyBorder="1" applyFont="1">
      <alignment vertical="bottom"/>
    </xf>
    <xf borderId="0" fillId="0" fontId="7" numFmtId="0" xfId="0" applyAlignment="1" applyFont="1">
      <alignment vertical="bottom"/>
    </xf>
    <xf borderId="19" fillId="0" fontId="8" numFmtId="0" xfId="0" applyAlignment="1" applyBorder="1" applyFont="1">
      <alignment readingOrder="0" vertical="bottom"/>
    </xf>
    <xf borderId="11" fillId="2" fontId="4" numFmtId="0" xfId="0" applyAlignment="1" applyBorder="1" applyFill="1" applyFont="1">
      <alignment horizontal="center" readingOrder="0" shrinkToFit="0" wrapText="1"/>
    </xf>
    <xf borderId="10" fillId="0" fontId="3" numFmtId="0" xfId="0" applyAlignment="1" applyBorder="1" applyFont="1">
      <alignment vertical="bottom"/>
    </xf>
    <xf borderId="10" fillId="0" fontId="7" numFmtId="0" xfId="0" applyAlignment="1" applyBorder="1" applyFont="1">
      <alignment vertical="bottom"/>
    </xf>
    <xf borderId="11" fillId="2" fontId="1" numFmtId="0" xfId="0" applyAlignment="1" applyBorder="1" applyFill="1" applyFont="1">
      <alignment vertical="bottom"/>
    </xf>
    <xf borderId="16" fillId="3" fontId="1" numFmtId="0" xfId="0" applyAlignment="1" applyBorder="1" applyFill="1" applyFont="1">
      <alignment horizontal="right" readingOrder="0" shrinkToFit="0" vertical="bottom" wrapText="0"/>
    </xf>
    <xf borderId="10" fillId="0" fontId="7" numFmtId="0" xfId="0" applyAlignment="1" applyBorder="1" applyFont="1">
      <alignment vertical="bottom"/>
    </xf>
    <xf borderId="12" fillId="0" fontId="7" numFmtId="0" xfId="0" applyAlignment="1" applyBorder="1" applyFont="1">
      <alignment vertical="bottom"/>
    </xf>
    <xf borderId="18" fillId="2" fontId="4" numFmtId="0" xfId="0" applyAlignment="1" applyBorder="1" applyFill="1" applyFont="1">
      <alignment horizontal="center" readingOrder="0" shrinkToFit="0" wrapText="1"/>
    </xf>
    <xf borderId="17" fillId="3" fontId="9" numFmtId="164" xfId="0" applyAlignment="1" applyBorder="1" applyFill="1" applyFont="1" applyNumberFormat="1">
      <alignment horizontal="right" vertical="bottom"/>
    </xf>
    <xf borderId="17" fillId="2" fontId="1" numFmtId="0" xfId="0" applyAlignment="1" applyBorder="1" applyFill="1" applyFont="1">
      <alignment horizontal="center" readingOrder="0" vertical="bottom"/>
    </xf>
    <xf borderId="19" fillId="0" fontId="3" numFmtId="0" xfId="0" applyAlignment="1" applyBorder="1" applyFont="1">
      <alignment vertical="bottom"/>
    </xf>
    <xf borderId="19" fillId="0" fontId="7" numFmtId="0" xfId="0" applyAlignment="1" applyBorder="1" applyFont="1">
      <alignment vertical="bottom"/>
    </xf>
    <xf borderId="19" fillId="0" fontId="7" numFmtId="0" xfId="0" applyAlignment="1" applyBorder="1" applyFont="1">
      <alignment vertical="bottom"/>
    </xf>
    <xf borderId="16" fillId="3" fontId="4" numFmtId="164" xfId="0" applyAlignment="1" applyBorder="1" applyFill="1" applyFont="1" applyNumberFormat="1">
      <alignment horizontal="right" vertical="bottom"/>
    </xf>
    <xf borderId="20" fillId="0" fontId="7" numFmtId="0" xfId="0" applyAlignment="1" applyBorder="1" applyFont="1">
      <alignment vertical="bottom"/>
    </xf>
    <xf borderId="11" fillId="0" fontId="3" numFmtId="0" xfId="0" applyBorder="1" applyFont="1"/>
    <xf borderId="18" fillId="2" fontId="1" numFmtId="0" xfId="0" applyAlignment="1" applyBorder="1" applyFill="1" applyFont="1">
      <alignment vertical="bottom"/>
    </xf>
    <xf borderId="18" fillId="3" fontId="1" numFmtId="0" xfId="0" applyAlignment="1" applyBorder="1" applyFill="1" applyFont="1">
      <alignment horizontal="right" readingOrder="0" shrinkToFit="0" vertical="bottom" wrapText="0"/>
    </xf>
    <xf borderId="8"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0" numFmtId="0" xfId="0" applyAlignment="1" applyFont="1">
      <alignment horizontal="left" readingOrder="0" shrinkToFit="0" wrapText="0"/>
    </xf>
    <xf borderId="10" fillId="0" fontId="1" numFmtId="0" xfId="0" applyAlignment="1" applyBorder="1" applyFont="1">
      <alignment horizontal="left" readingOrder="0" shrinkToFit="0" wrapText="0"/>
    </xf>
    <xf borderId="10" fillId="0" fontId="3" numFmtId="0" xfId="0" applyAlignment="1" applyBorder="1" applyFont="1">
      <alignment horizontal="left" readingOrder="0" shrinkToFit="0" wrapText="1"/>
    </xf>
    <xf borderId="10" fillId="0" fontId="2" numFmtId="0" xfId="0" applyBorder="1" applyFont="1"/>
    <xf borderId="13" fillId="0" fontId="1" numFmtId="0" xfId="0" applyAlignment="1" applyBorder="1" applyFont="1">
      <alignment horizontal="left" readingOrder="0" shrinkToFit="0" wrapText="0"/>
    </xf>
    <xf borderId="13" fillId="0" fontId="3" numFmtId="0" xfId="0" applyAlignment="1" applyBorder="1" applyFont="1">
      <alignment horizontal="left" readingOrder="0" shrinkToFit="0" wrapText="1"/>
    </xf>
    <xf borderId="13" fillId="0" fontId="2" numFmtId="0" xfId="0" applyBorder="1" applyFont="1"/>
    <xf borderId="16" fillId="0" fontId="1" numFmtId="0" xfId="0" applyAlignment="1" applyBorder="1" applyFont="1">
      <alignment horizontal="left" readingOrder="0" shrinkToFit="0" wrapText="0"/>
    </xf>
    <xf borderId="15" fillId="3" fontId="4" numFmtId="164" xfId="0" applyAlignment="1" applyBorder="1" applyFill="1" applyFont="1" applyNumberFormat="1">
      <alignment horizontal="right" vertical="bottom"/>
    </xf>
    <xf borderId="16" fillId="0" fontId="3" numFmtId="0" xfId="0" applyAlignment="1" applyBorder="1" applyFont="1">
      <alignment horizontal="left" readingOrder="0" shrinkToFit="0" wrapText="1"/>
    </xf>
    <xf borderId="16" fillId="0" fontId="3" numFmtId="0" xfId="0" applyBorder="1" applyFont="1"/>
    <xf borderId="18" fillId="3" fontId="4" numFmtId="164" xfId="0" applyAlignment="1" applyBorder="1" applyFill="1" applyFont="1" applyNumberFormat="1">
      <alignment horizontal="right" vertical="bottom"/>
    </xf>
    <xf borderId="18" fillId="0" fontId="3" numFmtId="0" xfId="0" applyBorder="1" applyFont="1"/>
    <xf borderId="18" fillId="3" fontId="3" numFmtId="0" xfId="0" applyAlignment="1" applyBorder="1" applyFill="1" applyFont="1">
      <alignment horizontal="center" vertical="bottom"/>
    </xf>
    <xf borderId="21" fillId="3" fontId="9" numFmtId="0" xfId="0" applyAlignment="1" applyBorder="1" applyFill="1" applyFont="1">
      <alignment horizontal="right" vertical="bottom"/>
    </xf>
    <xf borderId="6" fillId="3" fontId="9" numFmtId="0" xfId="0" applyAlignment="1" applyBorder="1" applyFill="1" applyFont="1">
      <alignment horizontal="right" vertical="bottom"/>
    </xf>
    <xf borderId="5" fillId="3" fontId="1" numFmtId="0" xfId="0" applyAlignment="1" applyBorder="1" applyFill="1" applyFont="1">
      <alignment readingOrder="0" shrinkToFit="0" vertical="bottom" wrapText="0"/>
    </xf>
    <xf borderId="7" fillId="3" fontId="9" numFmtId="0" xfId="0" applyAlignment="1" applyBorder="1" applyFill="1" applyFont="1">
      <alignment horizontal="right" vertical="bottom"/>
    </xf>
    <xf borderId="8" fillId="0" fontId="3" numFmtId="0" xfId="0" applyAlignment="1" applyBorder="1" applyFont="1">
      <alignment vertical="bottom"/>
    </xf>
    <xf borderId="0" fillId="0" fontId="3" numFmtId="0" xfId="0" applyAlignment="1" applyFont="1">
      <alignment vertical="bottom"/>
    </xf>
    <xf borderId="0" fillId="0" fontId="9" numFmtId="0" xfId="0" applyAlignment="1" applyFont="1">
      <alignment shrinkToFit="0" vertical="bottom" wrapText="1"/>
    </xf>
    <xf borderId="0" fillId="0" fontId="3" numFmtId="0" xfId="0" applyAlignment="1" applyFont="1">
      <alignment horizontal="right" vertical="bottom"/>
    </xf>
    <xf borderId="9" fillId="0" fontId="9" numFmtId="0" xfId="0" applyAlignment="1" applyBorder="1" applyFont="1">
      <alignment horizontal="right"/>
    </xf>
    <xf borderId="0" fillId="0" fontId="9" numFmtId="0" xfId="0" applyAlignment="1" applyFont="1">
      <alignment horizontal="right"/>
    </xf>
    <xf borderId="11" fillId="0" fontId="9" numFmtId="0" xfId="0" applyAlignment="1" applyBorder="1" applyFont="1">
      <alignment horizontal="right"/>
    </xf>
    <xf borderId="18" fillId="3" fontId="9" numFmtId="0" xfId="0" applyAlignment="1" applyBorder="1" applyFill="1" applyFont="1">
      <alignment horizontal="right" vertical="bottom"/>
    </xf>
    <xf borderId="0" fillId="0" fontId="11" numFmtId="0" xfId="0" applyAlignment="1" applyFont="1">
      <alignment readingOrder="0" shrinkToFit="0" vertical="bottom" wrapText="0"/>
    </xf>
    <xf borderId="0" fillId="0" fontId="3" numFmtId="1" xfId="0" applyAlignment="1" applyFont="1" applyNumberFormat="1">
      <alignment horizontal="right" vertical="bottom"/>
    </xf>
    <xf borderId="11" fillId="0" fontId="3" numFmtId="0" xfId="0" applyAlignment="1" applyBorder="1" applyFont="1">
      <alignment horizontal="right" vertical="bottom"/>
    </xf>
    <xf borderId="10" fillId="0" fontId="9" numFmtId="0" xfId="0" applyAlignment="1" applyBorder="1" applyFont="1">
      <alignment readingOrder="0" shrinkToFit="0" vertical="bottom" wrapText="1"/>
    </xf>
    <xf borderId="0" fillId="0" fontId="12" numFmtId="0" xfId="0" applyAlignment="1" applyFont="1">
      <alignment readingOrder="0" shrinkToFit="0" vertical="bottom" wrapText="0"/>
    </xf>
    <xf borderId="10" fillId="0" fontId="3" numFmtId="0" xfId="0" applyAlignment="1" applyBorder="1" applyFont="1">
      <alignment horizontal="right" readingOrder="0" vertical="bottom"/>
    </xf>
    <xf borderId="11" fillId="0" fontId="3" numFmtId="1" xfId="0" applyAlignment="1" applyBorder="1" applyFont="1" applyNumberFormat="1">
      <alignment horizontal="right" vertical="bottom"/>
    </xf>
    <xf borderId="10" fillId="0" fontId="3" numFmtId="1" xfId="0" applyAlignment="1" applyBorder="1" applyFont="1" applyNumberFormat="1">
      <alignment horizontal="right" readingOrder="0" vertical="bottom"/>
    </xf>
    <xf borderId="22" fillId="0" fontId="9" numFmtId="0" xfId="0" applyAlignment="1" applyBorder="1" applyFont="1">
      <alignment horizontal="right"/>
    </xf>
    <xf borderId="10" fillId="0" fontId="9" numFmtId="3" xfId="0" applyAlignment="1" applyBorder="1" applyFont="1" applyNumberFormat="1">
      <alignment horizontal="right"/>
    </xf>
    <xf borderId="8" fillId="3" fontId="4" numFmtId="164" xfId="0" applyAlignment="1" applyBorder="1" applyFill="1" applyFont="1" applyNumberFormat="1">
      <alignment horizontal="right" vertical="bottom"/>
    </xf>
    <xf borderId="16" fillId="0" fontId="9" numFmtId="0" xfId="0" applyAlignment="1" applyBorder="1" applyFont="1">
      <alignment readingOrder="0" vertical="bottom"/>
    </xf>
    <xf borderId="16" fillId="0" fontId="3" numFmtId="0" xfId="0" applyAlignment="1" applyBorder="1" applyFont="1">
      <alignment horizontal="right" readingOrder="0" vertical="bottom"/>
    </xf>
    <xf borderId="18" fillId="0" fontId="9" numFmtId="1" xfId="0" applyAlignment="1" applyBorder="1" applyFont="1" applyNumberFormat="1">
      <alignment horizontal="right" vertical="bottom"/>
    </xf>
    <xf borderId="0" fillId="0" fontId="13" numFmtId="0" xfId="0" applyAlignment="1" applyFont="1">
      <alignment readingOrder="0"/>
    </xf>
    <xf borderId="10" fillId="0" fontId="1" numFmtId="0" xfId="0" applyAlignment="1" applyBorder="1" applyFont="1">
      <alignment readingOrder="0"/>
    </xf>
    <xf borderId="17" fillId="0" fontId="9" numFmtId="165" xfId="0" applyAlignment="1" applyBorder="1" applyFont="1" applyNumberFormat="1">
      <alignment horizontal="right" readingOrder="0"/>
    </xf>
    <xf borderId="10" fillId="0" fontId="3" numFmtId="0" xfId="0" applyAlignment="1" applyBorder="1" applyFont="1">
      <alignment readingOrder="0"/>
    </xf>
    <xf borderId="16" fillId="0" fontId="9" numFmtId="165" xfId="0" applyAlignment="1" applyBorder="1" applyFont="1" applyNumberFormat="1">
      <alignment horizontal="right" readingOrder="0"/>
    </xf>
    <xf borderId="13" fillId="0" fontId="1" numFmtId="0" xfId="0" applyAlignment="1" applyBorder="1" applyFont="1">
      <alignment readingOrder="0"/>
    </xf>
    <xf borderId="13" fillId="0" fontId="3" numFmtId="0" xfId="0" applyAlignment="1" applyBorder="1" applyFont="1">
      <alignment readingOrder="0"/>
    </xf>
    <xf borderId="0" fillId="0" fontId="14" numFmtId="0" xfId="0" applyAlignment="1" applyFont="1">
      <alignment readingOrder="0" vertical="bottom"/>
    </xf>
    <xf borderId="0" fillId="0" fontId="9" numFmtId="0" xfId="0" applyAlignment="1" applyFont="1">
      <alignment readingOrder="0" shrinkToFit="0" vertical="bottom" wrapText="1"/>
    </xf>
    <xf borderId="0" fillId="0" fontId="3" numFmtId="0" xfId="0" applyAlignment="1" applyFont="1">
      <alignment horizontal="right" readingOrder="0" vertical="bottom"/>
    </xf>
    <xf borderId="0" fillId="0" fontId="9" numFmtId="1" xfId="0" applyAlignment="1" applyFont="1" applyNumberFormat="1">
      <alignment horizontal="right" readingOrder="0" vertical="bottom"/>
    </xf>
    <xf borderId="19" fillId="0" fontId="1" numFmtId="0" xfId="0" applyAlignment="1" applyBorder="1" applyFont="1">
      <alignment readingOrder="0"/>
    </xf>
    <xf borderId="9" fillId="0" fontId="9" numFmtId="164" xfId="0" applyAlignment="1" applyBorder="1" applyFont="1" applyNumberFormat="1">
      <alignment horizontal="right" readingOrder="0"/>
    </xf>
    <xf borderId="19" fillId="0" fontId="3" numFmtId="0" xfId="0" applyAlignment="1" applyBorder="1" applyFont="1">
      <alignment readingOrder="0"/>
    </xf>
    <xf borderId="0" fillId="0" fontId="9" numFmtId="10" xfId="0" applyAlignment="1" applyFont="1" applyNumberFormat="1">
      <alignment horizontal="right" readingOrder="0"/>
    </xf>
    <xf borderId="19" fillId="0" fontId="3" numFmtId="0" xfId="0" applyBorder="1" applyFont="1"/>
    <xf borderId="20" fillId="0" fontId="3" numFmtId="0" xfId="0" applyBorder="1" applyFont="1"/>
    <xf borderId="0" fillId="0" fontId="9" numFmtId="164" xfId="0" applyAlignment="1" applyFont="1" applyNumberFormat="1">
      <alignment horizontal="right" readingOrder="0"/>
    </xf>
    <xf borderId="11" fillId="0" fontId="9" numFmtId="164" xfId="0" applyAlignment="1" applyBorder="1" applyFont="1" applyNumberFormat="1">
      <alignment horizontal="right" readingOrder="0"/>
    </xf>
    <xf borderId="12" fillId="0" fontId="9" numFmtId="3" xfId="0" applyAlignment="1" applyBorder="1" applyFont="1" applyNumberFormat="1">
      <alignment horizontal="right"/>
    </xf>
    <xf borderId="10" fillId="0" fontId="9" numFmtId="0" xfId="0" applyAlignment="1" applyBorder="1" applyFont="1">
      <alignment readingOrder="0" shrinkToFit="0" vertical="bottom" wrapText="1"/>
    </xf>
    <xf borderId="13" fillId="0" fontId="9" numFmtId="0" xfId="0" applyAlignment="1" applyBorder="1" applyFont="1">
      <alignment readingOrder="0" shrinkToFit="0" vertical="bottom" wrapText="1"/>
    </xf>
    <xf borderId="13" fillId="0" fontId="3" numFmtId="0" xfId="0" applyAlignment="1" applyBorder="1" applyFont="1">
      <alignment horizontal="right" readingOrder="0" vertical="bottom"/>
    </xf>
    <xf borderId="8" fillId="0" fontId="15" numFmtId="0" xfId="0" applyAlignment="1" applyBorder="1" applyFont="1">
      <alignment horizontal="left" readingOrder="0" shrinkToFit="0" wrapText="0"/>
    </xf>
    <xf borderId="0" fillId="0" fontId="3" numFmtId="0" xfId="0" applyAlignment="1" applyFont="1">
      <alignment horizontal="left" readingOrder="0" shrinkToFit="0" wrapText="0"/>
    </xf>
    <xf borderId="10" fillId="0" fontId="9" numFmtId="1" xfId="0" applyAlignment="1" applyBorder="1" applyFont="1" applyNumberFormat="1">
      <alignment horizontal="right" readingOrder="0" vertical="bottom"/>
    </xf>
    <xf borderId="0" fillId="0" fontId="16" numFmtId="0" xfId="0" applyAlignment="1" applyFont="1">
      <alignment readingOrder="0"/>
    </xf>
    <xf borderId="23" fillId="0" fontId="9" numFmtId="0" xfId="0" applyAlignment="1" applyBorder="1" applyFont="1">
      <alignment horizontal="right"/>
    </xf>
    <xf borderId="22" fillId="0" fontId="9" numFmtId="164" xfId="0" applyAlignment="1" applyBorder="1" applyFont="1" applyNumberFormat="1">
      <alignment horizontal="right" readingOrder="0"/>
    </xf>
    <xf borderId="18" fillId="0" fontId="9" numFmtId="165" xfId="0" applyAlignment="1" applyBorder="1" applyFont="1" applyNumberFormat="1">
      <alignment horizontal="right" readingOrder="0"/>
    </xf>
    <xf borderId="13" fillId="0" fontId="9" numFmtId="3" xfId="0" applyAlignment="1" applyBorder="1" applyFont="1" applyNumberFormat="1">
      <alignment horizontal="right"/>
    </xf>
    <xf borderId="10" fillId="0" fontId="9" numFmtId="10" xfId="0" applyAlignment="1" applyBorder="1" applyFont="1" applyNumberFormat="1">
      <alignment horizontal="right" readingOrder="0"/>
    </xf>
    <xf borderId="11" fillId="0" fontId="3" numFmtId="1" xfId="0" applyAlignment="1" applyBorder="1" applyFont="1" applyNumberFormat="1">
      <alignment horizontal="right" readingOrder="0" vertical="bottom"/>
    </xf>
    <xf borderId="0" fillId="0" fontId="3" numFmtId="0" xfId="0" applyAlignment="1" applyFont="1">
      <alignment horizontal="right" readingOrder="0"/>
    </xf>
    <xf borderId="11" fillId="0" fontId="3" numFmtId="0" xfId="0" applyAlignment="1" applyBorder="1" applyFont="1">
      <alignment horizontal="right"/>
    </xf>
    <xf borderId="10" fillId="0" fontId="17" numFmtId="0" xfId="0" applyAlignment="1" applyBorder="1" applyFont="1">
      <alignment horizontal="left" readingOrder="0" shrinkToFit="0" wrapText="0"/>
    </xf>
    <xf borderId="10" fillId="0" fontId="9" numFmtId="0" xfId="0" applyAlignment="1" applyBorder="1" applyFont="1">
      <alignment readingOrder="0"/>
    </xf>
    <xf borderId="8" fillId="0" fontId="18" numFmtId="1" xfId="0" applyAlignment="1" applyBorder="1" applyFont="1" applyNumberFormat="1">
      <alignment horizontal="left" readingOrder="0" shrinkToFit="0" vertical="bottom" wrapText="0"/>
    </xf>
    <xf borderId="10" fillId="0" fontId="9" numFmtId="9" xfId="0" applyAlignment="1" applyBorder="1" applyFont="1" applyNumberFormat="1">
      <alignment horizontal="right" readingOrder="0"/>
    </xf>
    <xf borderId="10" fillId="0" fontId="3" numFmtId="0" xfId="0" applyAlignment="1" applyBorder="1" applyFont="1">
      <alignment horizontal="right" readingOrder="0"/>
    </xf>
    <xf borderId="12" fillId="0" fontId="3" numFmtId="0" xfId="0" applyAlignment="1" applyBorder="1" applyFont="1">
      <alignment horizontal="right" readingOrder="0"/>
    </xf>
    <xf borderId="13" fillId="0" fontId="19" numFmtId="1" xfId="0" applyAlignment="1" applyBorder="1" applyFont="1" applyNumberFormat="1">
      <alignment horizontal="left" readingOrder="0" shrinkToFit="0" vertical="bottom" wrapText="0"/>
    </xf>
    <xf borderId="8" fillId="0" fontId="3" numFmtId="0" xfId="0" applyBorder="1" applyFont="1"/>
    <xf borderId="10" fillId="0" fontId="9" numFmtId="9" xfId="0" applyAlignment="1" applyBorder="1" applyFont="1" applyNumberFormat="1">
      <alignment horizontal="right"/>
    </xf>
    <xf borderId="10" fillId="0" fontId="20" numFmtId="0" xfId="0" applyAlignment="1" applyBorder="1" applyFont="1">
      <alignment readingOrder="0"/>
    </xf>
    <xf borderId="14" fillId="0" fontId="9" numFmtId="3" xfId="0" applyAlignment="1" applyBorder="1" applyFont="1" applyNumberFormat="1">
      <alignment horizontal="right"/>
    </xf>
    <xf borderId="10" fillId="0" fontId="9" numFmtId="164" xfId="0" applyAlignment="1" applyBorder="1" applyFont="1" applyNumberFormat="1">
      <alignment horizontal="right" readingOrder="0"/>
    </xf>
    <xf borderId="13" fillId="0" fontId="21" numFmtId="0" xfId="0" applyAlignment="1" applyBorder="1" applyFont="1">
      <alignment horizontal="left" readingOrder="0" shrinkToFit="0" wrapText="0"/>
    </xf>
    <xf borderId="13" fillId="0" fontId="3" numFmtId="0" xfId="0" applyAlignment="1" applyBorder="1" applyFont="1">
      <alignment horizontal="right" readingOrder="0" vertical="bottom"/>
    </xf>
    <xf borderId="13" fillId="0" fontId="3" numFmtId="1" xfId="0" applyAlignment="1" applyBorder="1" applyFont="1" applyNumberFormat="1">
      <alignment horizontal="right" readingOrder="0" vertical="bottom"/>
    </xf>
    <xf borderId="12" fillId="0" fontId="9" numFmtId="164" xfId="0" applyAlignment="1" applyBorder="1" applyFont="1" applyNumberFormat="1">
      <alignment horizontal="right" readingOrder="0"/>
    </xf>
    <xf borderId="12" fillId="0" fontId="22" numFmtId="1" xfId="0" applyAlignment="1" applyBorder="1" applyFont="1" applyNumberFormat="1">
      <alignment horizontal="left" readingOrder="0" shrinkToFit="0" vertical="bottom" wrapText="0"/>
    </xf>
    <xf borderId="19" fillId="0" fontId="9" numFmtId="0" xfId="0" applyAlignment="1" applyBorder="1" applyFont="1">
      <alignment readingOrder="0" shrinkToFit="0" vertical="bottom" wrapText="1"/>
    </xf>
    <xf borderId="19" fillId="0" fontId="3" numFmtId="0" xfId="0" applyAlignment="1" applyBorder="1" applyFont="1">
      <alignment horizontal="right" readingOrder="0" vertical="bottom"/>
    </xf>
    <xf borderId="19" fillId="0" fontId="9" numFmtId="1" xfId="0" applyAlignment="1" applyBorder="1" applyFont="1" applyNumberFormat="1">
      <alignment horizontal="right" readingOrder="0" vertical="bottom"/>
    </xf>
    <xf borderId="14" fillId="0" fontId="23" numFmtId="0" xfId="0" applyAlignment="1" applyBorder="1" applyFont="1">
      <alignment horizontal="left" readingOrder="0" shrinkToFit="0" wrapText="0"/>
    </xf>
    <xf borderId="24" fillId="0" fontId="9" numFmtId="164" xfId="0" applyAlignment="1" applyBorder="1" applyFont="1" applyNumberFormat="1">
      <alignment horizontal="right" readingOrder="0"/>
    </xf>
    <xf borderId="12" fillId="0" fontId="9" numFmtId="9" xfId="0" applyAlignment="1" applyBorder="1" applyFont="1" applyNumberFormat="1">
      <alignment horizontal="right"/>
    </xf>
    <xf borderId="19" fillId="0" fontId="9" numFmtId="10" xfId="0" applyAlignment="1" applyBorder="1" applyFont="1" applyNumberFormat="1">
      <alignment horizontal="right" readingOrder="0"/>
    </xf>
    <xf borderId="13" fillId="0" fontId="9"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horizontal="right" readingOrder="0"/>
    </xf>
    <xf borderId="19" fillId="0" fontId="24" numFmtId="0" xfId="0" applyAlignment="1" applyBorder="1" applyFont="1">
      <alignment horizontal="left" readingOrder="0" vertical="bottom"/>
    </xf>
    <xf borderId="0" fillId="0" fontId="3" numFmtId="0" xfId="0" applyAlignment="1" applyFont="1">
      <alignment readingOrder="0"/>
    </xf>
    <xf borderId="13" fillId="0" fontId="9" numFmtId="9" xfId="0" applyAlignment="1" applyBorder="1" applyFont="1" applyNumberFormat="1">
      <alignment horizontal="right"/>
    </xf>
    <xf borderId="8" fillId="0" fontId="25" numFmtId="0" xfId="0" applyAlignment="1" applyBorder="1" applyFont="1">
      <alignment horizontal="left" readingOrder="0" shrinkToFit="0" wrapText="0"/>
    </xf>
    <xf borderId="10" fillId="0" fontId="26" numFmtId="0" xfId="0" applyAlignment="1" applyBorder="1" applyFont="1">
      <alignment horizontal="left" readingOrder="0" shrinkToFit="0" wrapText="0"/>
    </xf>
    <xf borderId="19" fillId="0" fontId="9" numFmtId="0" xfId="0" applyAlignment="1" applyBorder="1" applyFont="1">
      <alignment readingOrder="0" shrinkToFit="0" vertical="bottom" wrapText="1"/>
    </xf>
    <xf borderId="25" fillId="0" fontId="27" numFmtId="0" xfId="0" applyAlignment="1" applyBorder="1" applyFont="1">
      <alignment horizontal="left" readingOrder="0" shrinkToFit="0" wrapText="0"/>
    </xf>
    <xf borderId="19" fillId="0" fontId="3" numFmtId="0" xfId="0" applyAlignment="1" applyBorder="1" applyFont="1">
      <alignment horizontal="right" readingOrder="0" vertical="bottom"/>
    </xf>
    <xf borderId="25" fillId="0" fontId="3" numFmtId="0" xfId="0" applyBorder="1" applyFont="1"/>
    <xf borderId="19" fillId="0" fontId="9" numFmtId="164" xfId="0" applyAlignment="1" applyBorder="1" applyFont="1" applyNumberFormat="1">
      <alignment horizontal="right" readingOrder="0"/>
    </xf>
    <xf borderId="26" fillId="0" fontId="3" numFmtId="0" xfId="0" applyBorder="1" applyFont="1"/>
    <xf borderId="19" fillId="0" fontId="3" numFmtId="1" xfId="0" applyAlignment="1" applyBorder="1" applyFont="1" applyNumberFormat="1">
      <alignment horizontal="right" readingOrder="0" vertical="bottom"/>
    </xf>
    <xf borderId="8" fillId="0" fontId="7" numFmtId="0" xfId="0" applyAlignment="1" applyBorder="1" applyFont="1">
      <alignment vertical="bottom"/>
    </xf>
    <xf borderId="0" fillId="0" fontId="7" numFmtId="0" xfId="0" applyAlignment="1" applyFont="1">
      <alignment vertical="bottom"/>
    </xf>
    <xf borderId="24" fillId="0" fontId="9" numFmtId="0" xfId="0" applyAlignment="1" applyBorder="1" applyFont="1">
      <alignment horizontal="right"/>
    </xf>
    <xf borderId="19" fillId="0" fontId="9" numFmtId="3" xfId="0" applyAlignment="1" applyBorder="1" applyFont="1" applyNumberFormat="1">
      <alignment horizontal="right"/>
    </xf>
    <xf borderId="20" fillId="0" fontId="9" numFmtId="164" xfId="0" applyAlignment="1" applyBorder="1" applyFont="1" applyNumberFormat="1">
      <alignment horizontal="right" readingOrder="0"/>
    </xf>
    <xf borderId="11" fillId="0" fontId="7" numFmtId="0" xfId="0" applyAlignment="1" applyBorder="1" applyFont="1">
      <alignment vertical="bottom"/>
    </xf>
    <xf borderId="0" fillId="0" fontId="28" numFmtId="0" xfId="0" applyAlignment="1" applyFont="1">
      <alignment readingOrder="0" shrinkToFit="0" vertical="bottom" wrapText="1"/>
    </xf>
    <xf borderId="14" fillId="0" fontId="9" numFmtId="9" xfId="0" applyAlignment="1" applyBorder="1" applyFont="1" applyNumberFormat="1">
      <alignment horizontal="right"/>
    </xf>
    <xf borderId="19" fillId="0" fontId="29" numFmtId="0" xfId="0" applyAlignment="1" applyBorder="1" applyFont="1">
      <alignment horizontal="left" readingOrder="0" shrinkToFit="0" wrapText="0"/>
    </xf>
    <xf borderId="15" fillId="0" fontId="3" numFmtId="0" xfId="0" applyBorder="1" applyFont="1"/>
    <xf borderId="20" fillId="0" fontId="9" numFmtId="3" xfId="0" applyAlignment="1" applyBorder="1" applyFont="1" applyNumberFormat="1">
      <alignment horizontal="right"/>
    </xf>
    <xf borderId="0" fillId="0" fontId="3" numFmtId="0" xfId="0" applyAlignment="1" applyFont="1">
      <alignment shrinkToFit="0" vertical="bottom" wrapText="0"/>
    </xf>
    <xf borderId="2" fillId="2" fontId="4" numFmtId="0" xfId="0" applyAlignment="1" applyBorder="1" applyFill="1" applyFont="1">
      <alignment shrinkToFit="0" vertical="bottom" wrapText="1"/>
    </xf>
    <xf borderId="6" fillId="2" fontId="4" numFmtId="0" xfId="0" applyAlignment="1" applyBorder="1" applyFill="1" applyFont="1">
      <alignment horizontal="center" readingOrder="0"/>
    </xf>
    <xf borderId="22" fillId="0" fontId="9" numFmtId="9" xfId="0" applyAlignment="1" applyBorder="1" applyFont="1" applyNumberFormat="1">
      <alignment horizontal="right" readingOrder="0"/>
    </xf>
    <xf borderId="10" fillId="0" fontId="9" numFmtId="3" xfId="0" applyAlignment="1" applyBorder="1" applyFont="1" applyNumberFormat="1">
      <alignment horizontal="right" readingOrder="0"/>
    </xf>
    <xf borderId="0" fillId="2" fontId="4" numFmtId="0" xfId="0" applyAlignment="1" applyFill="1" applyFont="1">
      <alignment shrinkToFit="0" vertical="bottom" wrapText="1"/>
    </xf>
    <xf borderId="25" fillId="0" fontId="3" numFmtId="0" xfId="0" applyAlignment="1" applyBorder="1" applyFont="1">
      <alignment horizontal="right" readingOrder="0"/>
    </xf>
    <xf borderId="26" fillId="0" fontId="3" numFmtId="0" xfId="0" applyAlignment="1" applyBorder="1" applyFont="1">
      <alignment horizontal="right" readingOrder="0"/>
    </xf>
    <xf borderId="27" fillId="0" fontId="9" numFmtId="0" xfId="0" applyAlignment="1" applyBorder="1" applyFont="1">
      <alignment horizontal="right"/>
    </xf>
    <xf borderId="13" fillId="0" fontId="9" numFmtId="1" xfId="0" applyAlignment="1" applyBorder="1" applyFont="1" applyNumberFormat="1">
      <alignment horizontal="right" readingOrder="0" vertical="bottom"/>
    </xf>
    <xf borderId="25" fillId="0" fontId="9" numFmtId="9" xfId="0" applyAlignment="1" applyBorder="1" applyFont="1" applyNumberFormat="1">
      <alignment horizontal="right"/>
    </xf>
    <xf borderId="23" fillId="0" fontId="9" numFmtId="164" xfId="0" applyAlignment="1" applyBorder="1" applyFont="1" applyNumberFormat="1">
      <alignment horizontal="right" readingOrder="0"/>
    </xf>
    <xf borderId="13" fillId="0" fontId="9" numFmtId="10" xfId="0" applyAlignment="1" applyBorder="1" applyFont="1" applyNumberFormat="1">
      <alignment horizontal="right" readingOrder="0"/>
    </xf>
    <xf borderId="12" fillId="0" fontId="9" numFmtId="3" xfId="0" applyAlignment="1" applyBorder="1" applyFont="1" applyNumberFormat="1">
      <alignment horizontal="right" readingOrder="0"/>
    </xf>
    <xf borderId="13" fillId="0" fontId="9" numFmtId="9" xfId="0" applyAlignment="1" applyBorder="1" applyFont="1" applyNumberFormat="1">
      <alignment horizontal="right" readingOrder="0"/>
    </xf>
    <xf borderId="23" fillId="0" fontId="9" numFmtId="0" xfId="0" applyAlignment="1" applyBorder="1" applyFont="1">
      <alignment horizontal="right" readingOrder="0"/>
    </xf>
    <xf borderId="16" fillId="3" fontId="4" numFmtId="0" xfId="0" applyAlignment="1" applyBorder="1" applyFill="1" applyFont="1">
      <alignment readingOrder="0" shrinkToFit="0" vertical="bottom" wrapText="1"/>
    </xf>
    <xf borderId="13" fillId="0" fontId="9" numFmtId="3" xfId="0" applyAlignment="1" applyBorder="1" applyFont="1" applyNumberFormat="1">
      <alignment horizontal="right" readingOrder="0"/>
    </xf>
    <xf borderId="14" fillId="0" fontId="9" numFmtId="3" xfId="0" applyAlignment="1" applyBorder="1" applyFont="1" applyNumberFormat="1">
      <alignment horizontal="right" readingOrder="0"/>
    </xf>
    <xf borderId="26" fillId="0" fontId="9" numFmtId="9" xfId="0" applyAlignment="1" applyBorder="1" applyFont="1" applyNumberFormat="1">
      <alignment horizontal="right"/>
    </xf>
    <xf borderId="13" fillId="0" fontId="9" numFmtId="164" xfId="0" applyAlignment="1" applyBorder="1" applyFont="1" applyNumberFormat="1">
      <alignment horizontal="right" readingOrder="0"/>
    </xf>
    <xf borderId="19" fillId="0" fontId="9" numFmtId="0" xfId="0" applyAlignment="1" applyBorder="1" applyFont="1">
      <alignment readingOrder="0"/>
    </xf>
    <xf borderId="19" fillId="0" fontId="3" numFmtId="0" xfId="0" applyAlignment="1" applyBorder="1" applyFont="1">
      <alignment horizontal="right" readingOrder="0"/>
    </xf>
    <xf borderId="20" fillId="0" fontId="3" numFmtId="0" xfId="0" applyAlignment="1" applyBorder="1" applyFont="1">
      <alignment horizontal="right" readingOrder="0"/>
    </xf>
    <xf borderId="14" fillId="0" fontId="9" numFmtId="164" xfId="0" applyAlignment="1" applyBorder="1" applyFont="1" applyNumberFormat="1">
      <alignment horizontal="right" readingOrder="0"/>
    </xf>
    <xf borderId="19" fillId="0" fontId="9" numFmtId="9" xfId="0" applyAlignment="1" applyBorder="1" applyFont="1" applyNumberFormat="1">
      <alignment horizontal="right"/>
    </xf>
    <xf borderId="19" fillId="0" fontId="3" numFmtId="1" xfId="0" applyAlignment="1" applyBorder="1" applyFont="1" applyNumberFormat="1">
      <alignment horizontal="right" readingOrder="0" vertical="bottom"/>
    </xf>
    <xf borderId="24" fillId="0" fontId="9" numFmtId="0" xfId="0" applyAlignment="1" applyBorder="1" applyFont="1">
      <alignment horizontal="right" readingOrder="0"/>
    </xf>
    <xf borderId="19" fillId="0" fontId="9" numFmtId="9" xfId="0" applyAlignment="1" applyBorder="1" applyFont="1" applyNumberFormat="1">
      <alignment horizontal="right" readingOrder="0"/>
    </xf>
    <xf borderId="20" fillId="0" fontId="9" numFmtId="9" xfId="0" applyAlignment="1" applyBorder="1" applyFont="1" applyNumberFormat="1">
      <alignment horizontal="right" readingOrder="0"/>
    </xf>
    <xf borderId="0" fillId="0" fontId="3" numFmtId="1" xfId="0" applyAlignment="1" applyFont="1" applyNumberFormat="1">
      <alignment horizontal="right" readingOrder="0" vertical="bottom"/>
    </xf>
    <xf borderId="20" fillId="0" fontId="9" numFmtId="9" xfId="0" applyAlignment="1" applyBorder="1" applyFont="1" applyNumberFormat="1">
      <alignment horizontal="right"/>
    </xf>
    <xf borderId="9" fillId="0" fontId="9" numFmtId="166" xfId="0" applyAlignment="1" applyBorder="1" applyFont="1" applyNumberFormat="1">
      <alignment horizontal="right"/>
    </xf>
    <xf borderId="0" fillId="0" fontId="9" numFmtId="0" xfId="0" applyAlignment="1" applyFont="1">
      <alignment shrinkToFit="0" vertical="bottom" wrapText="1"/>
    </xf>
    <xf borderId="11" fillId="0" fontId="3" numFmtId="0" xfId="0" applyAlignment="1" applyBorder="1" applyFont="1">
      <alignment horizontal="right" readingOrder="0" vertical="bottom"/>
    </xf>
    <xf borderId="9" fillId="0" fontId="9" numFmtId="165" xfId="0" applyAlignment="1" applyBorder="1" applyFont="1" applyNumberFormat="1">
      <alignment horizontal="right" readingOrder="0"/>
    </xf>
    <xf borderId="0" fillId="0" fontId="9" numFmtId="9" xfId="0" applyAlignment="1" applyFont="1" applyNumberFormat="1">
      <alignment horizontal="right" readingOrder="0"/>
    </xf>
    <xf borderId="11" fillId="0" fontId="9" numFmtId="9" xfId="0" applyAlignment="1" applyBorder="1" applyFont="1" applyNumberFormat="1">
      <alignment horizontal="right" readingOrder="0"/>
    </xf>
    <xf borderId="16" fillId="0" fontId="9" numFmtId="0" xfId="0" applyAlignment="1" applyBorder="1" applyFont="1">
      <alignment readingOrder="0" shrinkToFit="0" vertical="bottom" wrapText="1"/>
    </xf>
    <xf borderId="22" fillId="0" fontId="9" numFmtId="165" xfId="0" applyAlignment="1" applyBorder="1" applyFont="1" applyNumberFormat="1">
      <alignment horizontal="right" readingOrder="0"/>
    </xf>
    <xf borderId="18" fillId="0" fontId="3" numFmtId="0" xfId="0" applyAlignment="1" applyBorder="1" applyFont="1">
      <alignment horizontal="right" readingOrder="0" vertical="bottom"/>
    </xf>
    <xf borderId="17" fillId="0" fontId="9" numFmtId="0" xfId="0" applyAlignment="1" applyBorder="1" applyFont="1">
      <alignment horizontal="right" readingOrder="0"/>
    </xf>
    <xf borderId="17" fillId="0" fontId="9" numFmtId="165" xfId="0" applyAlignment="1" applyBorder="1" applyFont="1" applyNumberFormat="1">
      <alignment horizontal="right"/>
    </xf>
    <xf borderId="16" fillId="0" fontId="9" numFmtId="165" xfId="0" applyAlignment="1" applyBorder="1" applyFont="1" applyNumberFormat="1">
      <alignment horizontal="right"/>
    </xf>
    <xf borderId="18" fillId="0" fontId="9" numFmtId="165" xfId="0" applyAlignment="1" applyBorder="1" applyFont="1" applyNumberFormat="1">
      <alignment horizontal="right"/>
    </xf>
    <xf borderId="22" fillId="0" fontId="9" numFmtId="3" xfId="0" applyAlignment="1" applyBorder="1" applyFont="1" applyNumberFormat="1">
      <alignment horizontal="right" readingOrder="0"/>
    </xf>
    <xf borderId="0" fillId="0" fontId="9" numFmtId="0" xfId="0" applyAlignment="1" applyFont="1">
      <alignment readingOrder="0" shrinkToFit="0" wrapText="1"/>
    </xf>
    <xf borderId="12" fillId="0" fontId="3" numFmtId="1" xfId="0" applyAlignment="1" applyBorder="1" applyFont="1" applyNumberFormat="1">
      <alignment horizontal="right" readingOrder="0" vertical="bottom"/>
    </xf>
    <xf borderId="22" fillId="0" fontId="9" numFmtId="0" xfId="0" applyAlignment="1" applyBorder="1" applyFont="1">
      <alignment horizontal="right" readingOrder="0"/>
    </xf>
    <xf borderId="10" fillId="0" fontId="9" numFmtId="165" xfId="0" applyAlignment="1" applyBorder="1" applyFont="1" applyNumberFormat="1">
      <alignment horizontal="right" readingOrder="0"/>
    </xf>
    <xf borderId="10" fillId="0" fontId="9" numFmtId="0" xfId="0" applyAlignment="1" applyBorder="1" applyFont="1">
      <alignment readingOrder="0" shrinkToFit="0" wrapText="1"/>
    </xf>
    <xf borderId="12" fillId="0" fontId="9" numFmtId="165" xfId="0" applyAlignment="1" applyBorder="1" applyFont="1" applyNumberFormat="1">
      <alignment horizontal="right" readingOrder="0"/>
    </xf>
    <xf borderId="13" fillId="0" fontId="9" numFmtId="0" xfId="0" applyAlignment="1" applyBorder="1" applyFont="1">
      <alignment readingOrder="0" shrinkToFit="0" vertical="bottom" wrapText="1"/>
    </xf>
    <xf borderId="14" fillId="0" fontId="9" numFmtId="1" xfId="0" applyAlignment="1" applyBorder="1" applyFont="1" applyNumberFormat="1">
      <alignment horizontal="right" readingOrder="0" vertical="bottom"/>
    </xf>
    <xf borderId="13" fillId="0" fontId="9" numFmtId="165" xfId="0" applyAlignment="1" applyBorder="1" applyFont="1" applyNumberFormat="1">
      <alignment horizontal="right" readingOrder="0"/>
    </xf>
    <xf borderId="14" fillId="0" fontId="9" numFmtId="165" xfId="0" applyAlignment="1" applyBorder="1" applyFont="1" applyNumberFormat="1">
      <alignment horizontal="right" readingOrder="0"/>
    </xf>
    <xf borderId="12" fillId="0" fontId="9" numFmtId="9" xfId="0" applyAlignment="1" applyBorder="1" applyFont="1" applyNumberFormat="1">
      <alignment horizontal="right" readingOrder="0"/>
    </xf>
    <xf borderId="13" fillId="0" fontId="9" numFmtId="0" xfId="0" applyAlignment="1" applyBorder="1" applyFont="1">
      <alignment readingOrder="0" shrinkToFit="0" wrapText="1"/>
    </xf>
    <xf borderId="27" fillId="0" fontId="9" numFmtId="164" xfId="0" applyAlignment="1" applyBorder="1" applyFont="1" applyNumberFormat="1">
      <alignment horizontal="right" readingOrder="0"/>
    </xf>
    <xf borderId="23" fillId="0" fontId="9" numFmtId="3" xfId="0" applyAlignment="1" applyBorder="1" applyFont="1" applyNumberFormat="1">
      <alignment horizontal="right" readingOrder="0"/>
    </xf>
    <xf borderId="20" fillId="0" fontId="9" numFmtId="1" xfId="0" applyAlignment="1" applyBorder="1" applyFont="1" applyNumberFormat="1">
      <alignment horizontal="right" readingOrder="0" vertical="bottom"/>
    </xf>
    <xf borderId="19" fillId="0" fontId="9" numFmtId="165" xfId="0" applyAlignment="1" applyBorder="1" applyFont="1" applyNumberFormat="1">
      <alignment horizontal="right" readingOrder="0"/>
    </xf>
    <xf borderId="20" fillId="0" fontId="9" numFmtId="165" xfId="0" applyAlignment="1" applyBorder="1" applyFont="1" applyNumberFormat="1">
      <alignment horizontal="right" readingOrder="0"/>
    </xf>
    <xf borderId="11" fillId="0" fontId="9" numFmtId="1" xfId="0" applyAlignment="1" applyBorder="1" applyFont="1" applyNumberFormat="1">
      <alignment horizontal="right" readingOrder="0" vertical="bottom"/>
    </xf>
    <xf borderId="12" fillId="0" fontId="9" numFmtId="1" xfId="0" applyAlignment="1" applyBorder="1" applyFont="1" applyNumberFormat="1">
      <alignment horizontal="right" readingOrder="0" vertical="bottom"/>
    </xf>
    <xf borderId="14" fillId="0" fontId="9" numFmtId="10" xfId="0" applyAlignment="1" applyBorder="1" applyFont="1" applyNumberFormat="1">
      <alignment horizontal="right" readingOrder="0"/>
    </xf>
    <xf borderId="16" fillId="0" fontId="9" numFmtId="0" xfId="0" applyAlignment="1" applyBorder="1" applyFont="1">
      <alignment readingOrder="0" shrinkToFit="0" vertical="bottom" wrapText="1"/>
    </xf>
    <xf borderId="18" fillId="0" fontId="9" numFmtId="1" xfId="0" applyAlignment="1" applyBorder="1" applyFont="1" applyNumberFormat="1">
      <alignment horizontal="right" readingOrder="0" vertical="bottom"/>
    </xf>
    <xf borderId="24" fillId="0" fontId="9" numFmtId="3" xfId="0" applyAlignment="1" applyBorder="1" applyFont="1" applyNumberFormat="1">
      <alignment horizontal="right" readingOrder="0"/>
    </xf>
    <xf borderId="27" fillId="0" fontId="9" numFmtId="0" xfId="0" applyAlignment="1" applyBorder="1" applyFont="1">
      <alignment horizontal="right" readingOrder="0"/>
    </xf>
    <xf borderId="0" fillId="0" fontId="3" numFmtId="0" xfId="0" applyAlignment="1" applyFont="1">
      <alignment horizontal="right" vertical="bottom"/>
    </xf>
    <xf borderId="11" fillId="0" fontId="3" numFmtId="0" xfId="0" applyAlignment="1" applyBorder="1" applyFont="1">
      <alignment horizontal="right" vertical="bottom"/>
    </xf>
    <xf borderId="16" fillId="0" fontId="9" numFmtId="1" xfId="0" applyAlignment="1" applyBorder="1" applyFont="1" applyNumberFormat="1">
      <alignment horizontal="right" readingOrder="0" vertical="bottom"/>
    </xf>
    <xf borderId="17" fillId="0" fontId="9" numFmtId="164" xfId="0" applyAlignment="1" applyBorder="1" applyFont="1" applyNumberFormat="1">
      <alignment horizontal="right" readingOrder="0"/>
    </xf>
    <xf borderId="16" fillId="0" fontId="9" numFmtId="164" xfId="0" applyAlignment="1" applyBorder="1" applyFont="1" applyNumberFormat="1">
      <alignment horizontal="right" readingOrder="0"/>
    </xf>
    <xf borderId="0" fillId="0" fontId="30" numFmtId="0" xfId="0" applyAlignment="1" applyFont="1">
      <alignment shrinkToFit="0" vertical="bottom" wrapText="0"/>
    </xf>
    <xf borderId="0" fillId="0" fontId="3" numFmtId="0" xfId="0" applyAlignment="1" applyFont="1">
      <alignment readingOrder="0" vertical="bottom"/>
    </xf>
    <xf borderId="20" fillId="0" fontId="9" numFmtId="10" xfId="0" applyAlignment="1" applyBorder="1" applyFont="1" applyNumberFormat="1">
      <alignment horizontal="right" readingOrder="0"/>
    </xf>
    <xf borderId="12" fillId="0" fontId="3" numFmtId="0" xfId="0" applyAlignment="1" applyBorder="1" applyFont="1">
      <alignment horizontal="right" readingOrder="0" vertical="bottom"/>
    </xf>
    <xf borderId="16" fillId="0" fontId="9" numFmtId="0" xfId="0" applyAlignment="1" applyBorder="1" applyFont="1">
      <alignment shrinkToFit="0" wrapText="1"/>
    </xf>
    <xf borderId="17" fillId="0" fontId="9" numFmtId="0" xfId="0" applyAlignment="1" applyBorder="1" applyFont="1">
      <alignment horizontal="right"/>
    </xf>
    <xf borderId="16" fillId="0" fontId="9" numFmtId="0" xfId="0" applyAlignment="1" applyBorder="1" applyFont="1">
      <alignment horizontal="right"/>
    </xf>
    <xf borderId="16" fillId="0" fontId="9" numFmtId="9" xfId="0" applyAlignment="1" applyBorder="1" applyFont="1" applyNumberFormat="1">
      <alignment horizontal="right" readingOrder="0"/>
    </xf>
    <xf borderId="10" fillId="0" fontId="9" numFmtId="167" xfId="0" applyAlignment="1" applyBorder="1" applyFont="1" applyNumberFormat="1">
      <alignment horizontal="right"/>
    </xf>
    <xf borderId="18" fillId="0" fontId="9" numFmtId="0" xfId="0" applyAlignment="1" applyBorder="1" applyFont="1">
      <alignment horizontal="right"/>
    </xf>
    <xf borderId="19" fillId="0" fontId="9" numFmtId="0" xfId="0" applyAlignment="1" applyBorder="1" applyFont="1">
      <alignment readingOrder="0" shrinkToFit="0" wrapText="1"/>
    </xf>
    <xf borderId="18" fillId="0" fontId="9" numFmtId="164" xfId="0" applyAlignment="1" applyBorder="1" applyFont="1" applyNumberFormat="1">
      <alignment horizontal="right" readingOrder="0"/>
    </xf>
    <xf borderId="12" fillId="0" fontId="9" numFmtId="167" xfId="0" applyAlignment="1" applyBorder="1" applyFont="1" applyNumberFormat="1">
      <alignment horizontal="right"/>
    </xf>
    <xf borderId="2" fillId="2" fontId="1" numFmtId="0" xfId="0" applyAlignment="1" applyBorder="1" applyFill="1" applyFont="1">
      <alignment shrinkToFit="0" vertical="bottom" wrapText="1"/>
    </xf>
    <xf borderId="10" fillId="0" fontId="9" numFmtId="165" xfId="0" applyAlignment="1" applyBorder="1" applyFont="1" applyNumberFormat="1">
      <alignment horizontal="right"/>
    </xf>
    <xf borderId="1" fillId="2" fontId="1" numFmtId="0" xfId="0" applyAlignment="1" applyBorder="1" applyFill="1" applyFont="1">
      <alignment vertical="bottom"/>
    </xf>
    <xf borderId="0" fillId="0" fontId="9" numFmtId="0" xfId="0" applyAlignment="1" applyFont="1">
      <alignment readingOrder="0" shrinkToFit="0" vertical="bottom" wrapText="1"/>
    </xf>
    <xf borderId="2" fillId="2" fontId="1" numFmtId="0" xfId="0" applyAlignment="1" applyBorder="1" applyFill="1" applyFont="1">
      <alignment horizontal="left" shrinkToFit="0" vertical="bottom" wrapText="0"/>
    </xf>
    <xf borderId="4" fillId="2" fontId="1" numFmtId="0" xfId="0" applyAlignment="1" applyBorder="1" applyFill="1" applyFont="1">
      <alignment horizontal="left" shrinkToFit="0" vertical="bottom" wrapText="0"/>
    </xf>
    <xf borderId="9" fillId="0" fontId="9" numFmtId="3" xfId="0" applyAlignment="1" applyBorder="1" applyFont="1" applyNumberFormat="1">
      <alignment horizontal="right" readingOrder="0"/>
    </xf>
    <xf borderId="0" fillId="0" fontId="9" numFmtId="3" xfId="0" applyAlignment="1" applyFont="1" applyNumberFormat="1">
      <alignment horizontal="right" readingOrder="0"/>
    </xf>
    <xf borderId="0" fillId="2" fontId="1" numFmtId="0" xfId="0" applyAlignment="1" applyFill="1" applyFont="1">
      <alignment shrinkToFit="0" vertical="bottom" wrapText="1"/>
    </xf>
    <xf borderId="11" fillId="0" fontId="9" numFmtId="3" xfId="0" applyAlignment="1" applyBorder="1" applyFont="1" applyNumberFormat="1">
      <alignment horizontal="right" readingOrder="0"/>
    </xf>
    <xf borderId="12" fillId="0" fontId="9" numFmtId="165" xfId="0" applyAlignment="1" applyBorder="1" applyFont="1" applyNumberFormat="1">
      <alignment horizontal="right"/>
    </xf>
    <xf borderId="8" fillId="2" fontId="1" numFmtId="0" xfId="0" applyAlignment="1" applyBorder="1" applyFill="1" applyFont="1">
      <alignment vertical="bottom"/>
    </xf>
    <xf borderId="0" fillId="2" fontId="1" numFmtId="0" xfId="0" applyAlignment="1" applyFill="1" applyFont="1">
      <alignment horizontal="left" shrinkToFit="0" vertical="bottom" wrapText="0"/>
    </xf>
    <xf borderId="11" fillId="2" fontId="1" numFmtId="0" xfId="0" applyAlignment="1" applyBorder="1" applyFill="1" applyFont="1">
      <alignment horizontal="left" shrinkToFit="0" vertical="bottom" wrapText="0"/>
    </xf>
    <xf borderId="16" fillId="2" fontId="4" numFmtId="168" xfId="0" applyAlignment="1" applyBorder="1" applyFill="1" applyFont="1" applyNumberFormat="1">
      <alignment horizontal="center" shrinkToFit="0" wrapText="1"/>
    </xf>
    <xf borderId="15" fillId="2" fontId="1" numFmtId="0" xfId="0" applyAlignment="1" applyBorder="1" applyFill="1" applyFont="1">
      <alignment vertical="bottom"/>
    </xf>
    <xf borderId="16" fillId="2" fontId="1" numFmtId="0" xfId="0" applyAlignment="1" applyBorder="1" applyFill="1" applyFont="1">
      <alignment vertical="bottom"/>
    </xf>
    <xf borderId="18" fillId="2" fontId="1" numFmtId="0" xfId="0" applyAlignment="1" applyBorder="1" applyFill="1" applyFont="1">
      <alignment horizontal="left" readingOrder="0" shrinkToFit="0" vertical="bottom" wrapText="0"/>
    </xf>
    <xf borderId="16" fillId="3" fontId="1" numFmtId="0" xfId="0" applyAlignment="1" applyBorder="1" applyFill="1" applyFont="1">
      <alignment readingOrder="0" shrinkToFit="0" vertical="bottom" wrapText="1"/>
    </xf>
    <xf borderId="16" fillId="0" fontId="9" numFmtId="167" xfId="0" applyAlignment="1" applyBorder="1" applyFont="1" applyNumberFormat="1">
      <alignment horizontal="right"/>
    </xf>
    <xf borderId="23" fillId="0" fontId="9" numFmtId="9" xfId="0" applyAlignment="1" applyBorder="1" applyFont="1" applyNumberFormat="1">
      <alignment horizontal="right" readingOrder="0"/>
    </xf>
    <xf borderId="18" fillId="0" fontId="9" numFmtId="167" xfId="0" applyAlignment="1" applyBorder="1" applyFont="1" applyNumberFormat="1">
      <alignment horizontal="right"/>
    </xf>
    <xf borderId="21" fillId="3" fontId="9" numFmtId="1" xfId="0" applyAlignment="1" applyBorder="1" applyFill="1" applyFont="1" applyNumberFormat="1">
      <alignment horizontal="right" vertical="bottom"/>
    </xf>
    <xf borderId="6" fillId="3" fontId="9" numFmtId="1" xfId="0" applyAlignment="1" applyBorder="1" applyFill="1" applyFont="1" applyNumberFormat="1">
      <alignment horizontal="right" vertical="bottom"/>
    </xf>
    <xf borderId="7" fillId="3" fontId="9" numFmtId="1" xfId="0" applyAlignment="1" applyBorder="1" applyFill="1" applyFont="1" applyNumberFormat="1">
      <alignment horizontal="right" vertical="bottom"/>
    </xf>
    <xf borderId="11" fillId="0" fontId="3" numFmtId="169" xfId="0" applyAlignment="1" applyBorder="1" applyFont="1" applyNumberFormat="1">
      <alignment horizontal="right" vertical="bottom"/>
    </xf>
    <xf borderId="0" fillId="0" fontId="9" numFmtId="170" xfId="0" applyAlignment="1" applyFont="1" applyNumberFormat="1">
      <alignment horizontal="right"/>
    </xf>
    <xf borderId="0" fillId="0" fontId="9" numFmtId="9" xfId="0" applyAlignment="1" applyFont="1" applyNumberFormat="1">
      <alignment horizontal="right"/>
    </xf>
    <xf borderId="0" fillId="0" fontId="9" numFmtId="165" xfId="0" applyAlignment="1" applyFont="1" applyNumberFormat="1">
      <alignment horizontal="right" readingOrder="0"/>
    </xf>
    <xf borderId="11" fillId="0" fontId="9" numFmtId="165" xfId="0" applyAlignment="1" applyBorder="1" applyFont="1" applyNumberFormat="1">
      <alignment horizontal="right" readingOrder="0"/>
    </xf>
    <xf borderId="0" fillId="0" fontId="31" numFmtId="0" xfId="0" applyAlignment="1" applyFont="1">
      <alignment vertical="bottom"/>
    </xf>
    <xf borderId="15" fillId="3" fontId="3" numFmtId="0" xfId="0" applyAlignment="1" applyBorder="1" applyFill="1" applyFont="1">
      <alignment vertical="bottom"/>
    </xf>
    <xf borderId="16" fillId="3" fontId="3" numFmtId="0" xfId="0" applyAlignment="1" applyBorder="1" applyFill="1" applyFont="1">
      <alignment horizontal="left" shrinkToFit="0" vertical="bottom" wrapText="0"/>
    </xf>
    <xf borderId="11" fillId="3" fontId="3" numFmtId="0" xfId="0" applyAlignment="1" applyBorder="1" applyFill="1" applyFont="1">
      <alignment horizontal="left" shrinkToFit="0" vertical="bottom" wrapText="0"/>
    </xf>
    <xf borderId="21" fillId="3" fontId="3" numFmtId="0" xfId="0" applyAlignment="1" applyBorder="1" applyFill="1" applyFont="1">
      <alignment horizontal="right" vertical="bottom"/>
    </xf>
    <xf borderId="6" fillId="3" fontId="3" numFmtId="0" xfId="0" applyAlignment="1" applyBorder="1" applyFill="1" applyFont="1">
      <alignment horizontal="right" vertical="bottom"/>
    </xf>
    <xf borderId="5" fillId="3" fontId="3" numFmtId="0" xfId="0" applyAlignment="1" applyBorder="1" applyFill="1" applyFont="1">
      <alignment horizontal="right" vertical="bottom"/>
    </xf>
    <xf borderId="7" fillId="3" fontId="3" numFmtId="0" xfId="0" applyAlignment="1" applyBorder="1" applyFill="1" applyFont="1">
      <alignment horizontal="right" vertical="bottom"/>
    </xf>
    <xf borderId="5" fillId="3" fontId="3" numFmtId="0" xfId="0" applyAlignment="1" applyBorder="1" applyFill="1" applyFont="1">
      <alignment vertical="bottom"/>
    </xf>
    <xf borderId="13" fillId="0" fontId="9" numFmtId="9" xfId="0" applyAlignment="1" applyBorder="1" applyFont="1" applyNumberFormat="1">
      <alignment readingOrder="0" shrinkToFit="0" vertical="bottom" wrapText="1"/>
    </xf>
    <xf borderId="7" fillId="3" fontId="3" numFmtId="0" xfId="0" applyAlignment="1" applyBorder="1" applyFill="1" applyFont="1">
      <alignment horizontal="left" shrinkToFit="0" vertical="bottom" wrapText="0"/>
    </xf>
    <xf borderId="0" fillId="0" fontId="3" numFmtId="0" xfId="0" applyAlignment="1" applyFont="1">
      <alignment shrinkToFit="0" vertical="bottom" wrapText="1"/>
    </xf>
    <xf borderId="13" fillId="0" fontId="3" numFmtId="9" xfId="0" applyAlignment="1" applyBorder="1" applyFont="1" applyNumberFormat="1">
      <alignment horizontal="right" readingOrder="0" vertical="bottom"/>
    </xf>
    <xf borderId="9" fillId="0" fontId="3" numFmtId="0" xfId="0" applyAlignment="1" applyBorder="1" applyFont="1">
      <alignment horizontal="right"/>
    </xf>
    <xf borderId="0" fillId="0" fontId="3" numFmtId="0" xfId="0" applyAlignment="1" applyFont="1">
      <alignment horizontal="right"/>
    </xf>
    <xf borderId="14" fillId="0" fontId="3" numFmtId="9" xfId="0" applyAlignment="1" applyBorder="1" applyFont="1" applyNumberFormat="1">
      <alignment horizontal="right" readingOrder="0" vertical="bottom"/>
    </xf>
    <xf borderId="8" fillId="0" fontId="3" numFmtId="0" xfId="0" applyAlignment="1" applyBorder="1" applyFont="1">
      <alignment horizontal="right"/>
    </xf>
    <xf borderId="0" fillId="0" fontId="3" numFmtId="0" xfId="0" applyAlignment="1" applyFont="1">
      <alignment horizontal="left" shrinkToFit="0" wrapText="0"/>
    </xf>
    <xf borderId="11" fillId="0" fontId="3" numFmtId="0" xfId="0" applyAlignment="1" applyBorder="1" applyFont="1">
      <alignment horizontal="left" shrinkToFit="0" wrapText="0"/>
    </xf>
    <xf borderId="17" fillId="0" fontId="3" numFmtId="165" xfId="0" applyAlignment="1" applyBorder="1" applyFont="1" applyNumberFormat="1">
      <alignment horizontal="right" readingOrder="0"/>
    </xf>
    <xf borderId="16" fillId="0" fontId="3" numFmtId="165" xfId="0" applyAlignment="1" applyBorder="1" applyFont="1" applyNumberFormat="1">
      <alignment horizontal="right" readingOrder="0"/>
    </xf>
    <xf borderId="15" fillId="0" fontId="3" numFmtId="165" xfId="0" applyAlignment="1" applyBorder="1" applyFont="1" applyNumberFormat="1">
      <alignment horizontal="right" readingOrder="0"/>
    </xf>
    <xf borderId="18" fillId="0" fontId="3" numFmtId="165" xfId="0" applyAlignment="1" applyBorder="1" applyFont="1" applyNumberFormat="1">
      <alignment horizontal="right" readingOrder="0"/>
    </xf>
    <xf borderId="16" fillId="0" fontId="3" numFmtId="0" xfId="0" applyAlignment="1" applyBorder="1" applyFont="1">
      <alignment horizontal="left" readingOrder="0" shrinkToFit="0" wrapText="0"/>
    </xf>
    <xf borderId="18" fillId="0" fontId="3" numFmtId="0" xfId="0" applyAlignment="1" applyBorder="1" applyFont="1">
      <alignment horizontal="left" readingOrder="0" shrinkToFit="0" wrapText="0"/>
    </xf>
    <xf borderId="0" fillId="0" fontId="3" numFmtId="0" xfId="0" applyAlignment="1" applyFont="1">
      <alignment shrinkToFit="0" wrapText="1"/>
    </xf>
    <xf borderId="9" fillId="0" fontId="3" numFmtId="0" xfId="0" applyAlignment="1" applyBorder="1" applyFont="1">
      <alignment horizontal="right" readingOrder="0"/>
    </xf>
    <xf borderId="10" fillId="0" fontId="3" numFmtId="0" xfId="0" applyAlignment="1" applyBorder="1" applyFont="1">
      <alignment readingOrder="0" shrinkToFit="0" wrapText="1"/>
    </xf>
    <xf borderId="22" fillId="0" fontId="3" numFmtId="0" xfId="0" applyAlignment="1" applyBorder="1" applyFont="1">
      <alignment horizontal="right" readingOrder="0"/>
    </xf>
    <xf borderId="10" fillId="0" fontId="3" numFmtId="9" xfId="0" applyAlignment="1" applyBorder="1" applyFont="1" applyNumberFormat="1">
      <alignment horizontal="right" readingOrder="0"/>
    </xf>
    <xf borderId="24" fillId="0" fontId="9" numFmtId="9" xfId="0" applyAlignment="1" applyBorder="1" applyFont="1" applyNumberFormat="1">
      <alignment horizontal="right" readingOrder="0"/>
    </xf>
    <xf borderId="28" fillId="0" fontId="3" numFmtId="9" xfId="0" applyAlignment="1" applyBorder="1" applyFont="1" applyNumberFormat="1">
      <alignment horizontal="right" readingOrder="0"/>
    </xf>
    <xf borderId="12" fillId="0" fontId="3" numFmtId="9" xfId="0" applyAlignment="1" applyBorder="1" applyFont="1" applyNumberFormat="1">
      <alignment horizontal="right" readingOrder="0"/>
    </xf>
    <xf borderId="28" fillId="0" fontId="3" numFmtId="0" xfId="0" applyBorder="1" applyFont="1"/>
    <xf borderId="10" fillId="0" fontId="3" numFmtId="0" xfId="0" applyAlignment="1" applyBorder="1" applyFont="1">
      <alignment horizontal="left" readingOrder="0" shrinkToFit="0" wrapText="0"/>
    </xf>
    <xf borderId="20" fillId="0" fontId="3" numFmtId="0" xfId="0" applyAlignment="1" applyBorder="1" applyFont="1">
      <alignment horizontal="right" readingOrder="0" vertical="bottom"/>
    </xf>
    <xf borderId="19" fillId="0" fontId="9" numFmtId="3" xfId="0" applyAlignment="1" applyBorder="1" applyFont="1" applyNumberFormat="1">
      <alignment horizontal="right" readingOrder="0"/>
    </xf>
    <xf borderId="12" fillId="0" fontId="32" numFmtId="0" xfId="0" applyAlignment="1" applyBorder="1" applyFont="1">
      <alignment horizontal="left" readingOrder="0" shrinkToFit="0" wrapText="0"/>
    </xf>
    <xf borderId="13" fillId="0" fontId="3" numFmtId="0" xfId="0" applyAlignment="1" applyBorder="1" applyFont="1">
      <alignment readingOrder="0" shrinkToFit="0" wrapText="1"/>
    </xf>
    <xf borderId="23" fillId="0" fontId="3" numFmtId="0" xfId="0" applyAlignment="1" applyBorder="1" applyFont="1">
      <alignment horizontal="right" readingOrder="0"/>
    </xf>
    <xf borderId="13" fillId="0" fontId="3" numFmtId="9" xfId="0" applyAlignment="1" applyBorder="1" applyFont="1" applyNumberFormat="1">
      <alignment horizontal="right" readingOrder="0"/>
    </xf>
    <xf borderId="29"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xf>
    <xf borderId="29" fillId="0" fontId="3" numFmtId="0" xfId="0" applyBorder="1" applyFont="1"/>
    <xf borderId="13" fillId="0" fontId="3" numFmtId="0" xfId="0" applyAlignment="1" applyBorder="1" applyFont="1">
      <alignment horizontal="left" readingOrder="0" shrinkToFit="0" wrapText="0"/>
    </xf>
    <xf borderId="20" fillId="0" fontId="9" numFmtId="3" xfId="0" applyAlignment="1" applyBorder="1" applyFont="1" applyNumberFormat="1">
      <alignment horizontal="right" readingOrder="0"/>
    </xf>
    <xf borderId="25" fillId="0" fontId="3" numFmtId="0" xfId="0" applyAlignment="1" applyBorder="1" applyFont="1">
      <alignment readingOrder="0" shrinkToFit="0" wrapText="1"/>
    </xf>
    <xf borderId="27" fillId="0" fontId="3" numFmtId="0" xfId="0" applyAlignment="1" applyBorder="1" applyFont="1">
      <alignment horizontal="right" readingOrder="0"/>
    </xf>
    <xf borderId="0" fillId="0" fontId="33" numFmtId="0" xfId="0" applyAlignment="1" applyFont="1">
      <alignment readingOrder="0" vertical="bottom"/>
    </xf>
    <xf borderId="25" fillId="0" fontId="3" numFmtId="9" xfId="0" applyAlignment="1" applyBorder="1" applyFont="1" applyNumberFormat="1">
      <alignment horizontal="right" readingOrder="0"/>
    </xf>
    <xf borderId="30" fillId="0" fontId="3" numFmtId="9" xfId="0" applyAlignment="1" applyBorder="1" applyFont="1" applyNumberFormat="1">
      <alignment horizontal="right" readingOrder="0"/>
    </xf>
    <xf borderId="0" fillId="0" fontId="34" numFmtId="0" xfId="0" applyAlignment="1" applyFont="1">
      <alignment readingOrder="0" vertical="bottom"/>
    </xf>
    <xf borderId="9" fillId="0" fontId="9" numFmtId="9" xfId="0" applyAlignment="1" applyBorder="1" applyFont="1" applyNumberFormat="1">
      <alignment horizontal="right" readingOrder="0"/>
    </xf>
    <xf borderId="26" fillId="0" fontId="3" numFmtId="9" xfId="0" applyAlignment="1" applyBorder="1" applyFont="1" applyNumberFormat="1">
      <alignment horizontal="right" readingOrder="0"/>
    </xf>
    <xf borderId="30" fillId="0" fontId="3" numFmtId="0" xfId="0" applyBorder="1" applyFont="1"/>
    <xf borderId="19" fillId="0" fontId="3" numFmtId="0" xfId="0" applyAlignment="1" applyBorder="1" applyFont="1">
      <alignment readingOrder="0" shrinkToFit="0" wrapText="1"/>
    </xf>
    <xf borderId="24" fillId="0" fontId="3" numFmtId="0" xfId="0" applyAlignment="1" applyBorder="1" applyFont="1">
      <alignment horizontal="right" readingOrder="0"/>
    </xf>
    <xf borderId="19" fillId="0" fontId="3" numFmtId="9" xfId="0" applyAlignment="1" applyBorder="1" applyFont="1" applyNumberFormat="1">
      <alignment horizontal="right" readingOrder="0"/>
    </xf>
    <xf borderId="31" fillId="0" fontId="3" numFmtId="9" xfId="0" applyAlignment="1" applyBorder="1" applyFont="1" applyNumberFormat="1">
      <alignment horizontal="right" readingOrder="0"/>
    </xf>
    <xf borderId="22" fillId="0" fontId="9" numFmtId="9" xfId="0" applyAlignment="1" applyBorder="1" applyFont="1" applyNumberFormat="1">
      <alignment horizontal="right"/>
    </xf>
    <xf borderId="10" fillId="0" fontId="9" numFmtId="0" xfId="0" applyAlignment="1" applyBorder="1" applyFont="1">
      <alignment horizontal="right" readingOrder="0"/>
    </xf>
    <xf borderId="10" fillId="0" fontId="9" numFmtId="0" xfId="0" applyAlignment="1" applyBorder="1" applyFont="1">
      <alignment horizontal="right"/>
    </xf>
    <xf borderId="25" fillId="0" fontId="9" numFmtId="0" xfId="0" applyAlignment="1" applyBorder="1" applyFont="1">
      <alignment readingOrder="0" shrinkToFit="0" vertical="bottom" wrapText="1"/>
    </xf>
    <xf borderId="20" fillId="0" fontId="3" numFmtId="9" xfId="0" applyAlignment="1" applyBorder="1" applyFont="1" applyNumberFormat="1">
      <alignment horizontal="right" readingOrder="0"/>
    </xf>
    <xf borderId="25" fillId="0" fontId="3" numFmtId="0" xfId="0" applyAlignment="1" applyBorder="1" applyFont="1">
      <alignment horizontal="right" readingOrder="0" vertical="bottom"/>
    </xf>
    <xf borderId="31" fillId="0" fontId="3" numFmtId="0" xfId="0" applyBorder="1" applyFont="1"/>
    <xf borderId="26" fillId="0" fontId="9" numFmtId="1" xfId="0" applyAlignment="1" applyBorder="1" applyFont="1" applyNumberFormat="1">
      <alignment horizontal="right" readingOrder="0" vertical="bottom"/>
    </xf>
    <xf borderId="19" fillId="0" fontId="3" numFmtId="0" xfId="0" applyAlignment="1" applyBorder="1" applyFont="1">
      <alignment horizontal="left" readingOrder="0" shrinkToFit="0" wrapText="0"/>
    </xf>
    <xf borderId="18" fillId="0" fontId="35" numFmtId="0" xfId="0" applyAlignment="1" applyBorder="1" applyFont="1">
      <alignment horizontal="left" readingOrder="0" shrinkToFit="0" wrapText="0"/>
    </xf>
    <xf borderId="0" fillId="0" fontId="3" numFmtId="0" xfId="0" applyAlignment="1" applyFont="1">
      <alignment readingOrder="0" shrinkToFit="0" vertical="bottom" wrapText="0"/>
    </xf>
    <xf borderId="10" fillId="0" fontId="3" numFmtId="0" xfId="0" applyAlignment="1" applyBorder="1" applyFont="1">
      <alignment readingOrder="0" shrinkToFit="0" vertical="bottom" wrapText="1"/>
    </xf>
    <xf borderId="12" fillId="0" fontId="9" numFmtId="0" xfId="0" applyAlignment="1" applyBorder="1" applyFont="1">
      <alignment horizontal="right" readingOrder="0"/>
    </xf>
    <xf borderId="10" fillId="0" fontId="3" numFmtId="167" xfId="0" applyAlignment="1" applyBorder="1" applyFont="1" applyNumberFormat="1">
      <alignment horizontal="right" readingOrder="0"/>
    </xf>
    <xf borderId="28" fillId="0" fontId="3" numFmtId="167" xfId="0" applyAlignment="1" applyBorder="1" applyFont="1" applyNumberFormat="1">
      <alignment horizontal="right" readingOrder="0"/>
    </xf>
    <xf borderId="12" fillId="0" fontId="9" numFmtId="0" xfId="0" applyAlignment="1" applyBorder="1" applyFont="1">
      <alignment horizontal="right"/>
    </xf>
    <xf borderId="12" fillId="0" fontId="3" numFmtId="167" xfId="0" applyAlignment="1" applyBorder="1" applyFont="1" applyNumberFormat="1">
      <alignment horizontal="right" readingOrder="0"/>
    </xf>
    <xf borderId="10" fillId="0" fontId="3" numFmtId="0" xfId="0" applyAlignment="1" applyBorder="1" applyFont="1">
      <alignment horizontal="left" readingOrder="0" shrinkToFit="0" wrapText="0"/>
    </xf>
    <xf borderId="16" fillId="0" fontId="3" numFmtId="0" xfId="0" applyAlignment="1" applyBorder="1" applyFont="1">
      <alignment readingOrder="0" shrinkToFit="0" vertical="bottom" wrapText="1"/>
    </xf>
    <xf borderId="17" fillId="0" fontId="3" numFmtId="0" xfId="0" applyAlignment="1" applyBorder="1" applyFont="1">
      <alignment horizontal="right" readingOrder="0"/>
    </xf>
    <xf borderId="9" fillId="0" fontId="9" numFmtId="9" xfId="0" applyAlignment="1" applyBorder="1" applyFont="1" applyNumberFormat="1">
      <alignment horizontal="right"/>
    </xf>
    <xf borderId="18" fillId="0" fontId="3" numFmtId="0" xfId="0" applyAlignment="1" applyBorder="1" applyFont="1">
      <alignment horizontal="left" readingOrder="0" shrinkToFit="0" wrapText="0"/>
    </xf>
    <xf borderId="21" fillId="3" fontId="3" numFmtId="1" xfId="0" applyAlignment="1" applyBorder="1" applyFill="1" applyFont="1" applyNumberFormat="1">
      <alignment horizontal="right" vertical="bottom"/>
    </xf>
    <xf borderId="6" fillId="3" fontId="3" numFmtId="1" xfId="0" applyAlignment="1" applyBorder="1" applyFill="1" applyFont="1" applyNumberFormat="1">
      <alignment horizontal="right" vertical="bottom"/>
    </xf>
    <xf borderId="5" fillId="3" fontId="3" numFmtId="1" xfId="0" applyAlignment="1" applyBorder="1" applyFill="1" applyFont="1" applyNumberFormat="1">
      <alignment horizontal="right" vertical="bottom"/>
    </xf>
    <xf borderId="7" fillId="3" fontId="3" numFmtId="1" xfId="0" applyAlignment="1" applyBorder="1" applyFill="1" applyFont="1" applyNumberFormat="1">
      <alignment horizontal="right" vertical="bottom"/>
    </xf>
    <xf borderId="6" fillId="3" fontId="3" numFmtId="1" xfId="0" applyAlignment="1" applyBorder="1" applyFill="1" applyFont="1" applyNumberFormat="1">
      <alignment horizontal="left" shrinkToFit="0" vertical="bottom" wrapText="0"/>
    </xf>
    <xf borderId="7" fillId="3" fontId="3" numFmtId="1" xfId="0" applyAlignment="1" applyBorder="1" applyFill="1" applyFont="1" applyNumberFormat="1">
      <alignment horizontal="left" shrinkToFit="0" vertical="bottom" wrapText="0"/>
    </xf>
    <xf borderId="9" fillId="0" fontId="3" numFmtId="9" xfId="0" applyAlignment="1" applyBorder="1" applyFont="1" applyNumberFormat="1">
      <alignment horizontal="right" readingOrder="0"/>
    </xf>
    <xf borderId="0" fillId="0" fontId="3" numFmtId="165" xfId="0" applyAlignment="1" applyFont="1" applyNumberFormat="1">
      <alignment horizontal="right" readingOrder="0"/>
    </xf>
    <xf borderId="8" fillId="0" fontId="3" numFmtId="165" xfId="0" applyAlignment="1" applyBorder="1" applyFont="1" applyNumberFormat="1">
      <alignment horizontal="right" readingOrder="0"/>
    </xf>
    <xf borderId="11" fillId="0" fontId="3" numFmtId="165" xfId="0" applyAlignment="1" applyBorder="1" applyFont="1" applyNumberFormat="1">
      <alignment horizontal="right" readingOrder="0"/>
    </xf>
    <xf borderId="0" fillId="0" fontId="3" numFmtId="0" xfId="0" applyAlignment="1" applyFont="1">
      <alignment horizontal="left" readingOrder="0" shrinkToFit="0" wrapText="0"/>
    </xf>
    <xf borderId="11" fillId="0" fontId="3" numFmtId="0" xfId="0" applyAlignment="1" applyBorder="1" applyFont="1">
      <alignment horizontal="left" readingOrder="0" shrinkToFit="0" wrapText="0"/>
    </xf>
    <xf borderId="14" fillId="0" fontId="3" numFmtId="0" xfId="0" applyAlignment="1" applyBorder="1" applyFont="1">
      <alignment horizontal="right" readingOrder="0" vertical="bottom"/>
    </xf>
    <xf borderId="13" fillId="0" fontId="9" numFmtId="0" xfId="0" applyAlignment="1" applyBorder="1" applyFont="1">
      <alignment horizontal="right" readingOrder="0"/>
    </xf>
    <xf borderId="10" fillId="0" fontId="3" numFmtId="3" xfId="0" applyAlignment="1" applyBorder="1" applyFont="1" applyNumberFormat="1">
      <alignment horizontal="right" readingOrder="0"/>
    </xf>
    <xf borderId="14" fillId="0" fontId="9" numFmtId="0" xfId="0" applyAlignment="1" applyBorder="1" applyFont="1">
      <alignment horizontal="right" readingOrder="0"/>
    </xf>
    <xf borderId="14" fillId="0" fontId="3" numFmtId="3" xfId="0" applyAlignment="1" applyBorder="1" applyFont="1" applyNumberFormat="1">
      <alignment horizontal="right" readingOrder="0" vertical="bottom"/>
    </xf>
    <xf borderId="28" fillId="0" fontId="3" numFmtId="3" xfId="0" applyAlignment="1" applyBorder="1" applyFont="1" applyNumberFormat="1">
      <alignment horizontal="right" readingOrder="0"/>
    </xf>
    <xf borderId="12" fillId="0" fontId="3" numFmtId="3" xfId="0" applyAlignment="1" applyBorder="1" applyFont="1" applyNumberFormat="1">
      <alignment horizontal="right" readingOrder="0"/>
    </xf>
    <xf borderId="12" fillId="0" fontId="3" numFmtId="0" xfId="0" applyAlignment="1" applyBorder="1" applyFont="1">
      <alignment horizontal="left" readingOrder="0" shrinkToFit="0" wrapText="0"/>
    </xf>
    <xf borderId="13" fillId="0" fontId="9" numFmtId="166" xfId="0" applyAlignment="1" applyBorder="1" applyFont="1" applyNumberFormat="1">
      <alignment horizontal="right"/>
    </xf>
    <xf borderId="12" fillId="0" fontId="3" numFmtId="0" xfId="0" applyAlignment="1" applyBorder="1" applyFont="1">
      <alignment horizontal="left" shrinkToFit="0" wrapText="0"/>
    </xf>
    <xf borderId="14" fillId="0" fontId="9" numFmtId="166" xfId="0" applyAlignment="1" applyBorder="1" applyFont="1" applyNumberFormat="1">
      <alignment horizontal="right"/>
    </xf>
    <xf borderId="9" fillId="0" fontId="3" numFmtId="1" xfId="0" applyAlignment="1" applyBorder="1" applyFont="1" applyNumberFormat="1">
      <alignment horizontal="right" vertical="bottom"/>
    </xf>
    <xf borderId="13" fillId="0" fontId="9" numFmtId="10" xfId="0" applyAlignment="1" applyBorder="1" applyFont="1" applyNumberFormat="1">
      <alignment horizontal="right"/>
    </xf>
    <xf borderId="16" fillId="0" fontId="3" numFmtId="3" xfId="0" applyAlignment="1" applyBorder="1" applyFont="1" applyNumberFormat="1">
      <alignment horizontal="right" readingOrder="0"/>
    </xf>
    <xf borderId="14" fillId="0" fontId="9" numFmtId="10" xfId="0" applyAlignment="1" applyBorder="1" applyFont="1" applyNumberFormat="1">
      <alignment horizontal="right"/>
    </xf>
    <xf borderId="15" fillId="0" fontId="3" numFmtId="3" xfId="0" applyAlignment="1" applyBorder="1" applyFont="1" applyNumberFormat="1">
      <alignment horizontal="right" readingOrder="0"/>
    </xf>
    <xf borderId="14" fillId="0" fontId="3" numFmtId="1" xfId="0" applyAlignment="1" applyBorder="1" applyFont="1" applyNumberFormat="1">
      <alignment horizontal="right" readingOrder="0" vertical="bottom"/>
    </xf>
    <xf borderId="13" fillId="0" fontId="9" numFmtId="0" xfId="0" applyAlignment="1" applyBorder="1" applyFont="1">
      <alignment readingOrder="0" shrinkToFit="0" vertical="bottom" wrapText="1"/>
    </xf>
    <xf borderId="18" fillId="0" fontId="3" numFmtId="3" xfId="0" applyAlignment="1" applyBorder="1" applyFont="1" applyNumberFormat="1">
      <alignment horizontal="right" readingOrder="0"/>
    </xf>
    <xf borderId="18" fillId="0" fontId="3" numFmtId="0" xfId="0" applyAlignment="1" applyBorder="1" applyFont="1">
      <alignment horizontal="left" shrinkToFit="0" wrapText="0"/>
    </xf>
    <xf borderId="23" fillId="0" fontId="9" numFmtId="9" xfId="0" applyAlignment="1" applyBorder="1" applyFont="1" applyNumberFormat="1">
      <alignment horizontal="right"/>
    </xf>
    <xf borderId="0" fillId="0" fontId="3" numFmtId="0" xfId="0" applyAlignment="1" applyFont="1">
      <alignment readingOrder="0" shrinkToFit="0" vertical="bottom" wrapText="1"/>
    </xf>
    <xf borderId="9" fillId="0" fontId="3" numFmtId="164" xfId="0" applyAlignment="1" applyBorder="1" applyFont="1" applyNumberFormat="1">
      <alignment horizontal="right" readingOrder="0"/>
    </xf>
    <xf borderId="8" fillId="0" fontId="9" numFmtId="164" xfId="0" applyAlignment="1" applyBorder="1" applyFont="1" applyNumberFormat="1">
      <alignment horizontal="right" readingOrder="0"/>
    </xf>
    <xf borderId="11" fillId="0" fontId="36" numFmtId="0" xfId="0" applyAlignment="1" applyBorder="1" applyFont="1">
      <alignment horizontal="left" readingOrder="0" shrinkToFit="0" wrapText="0"/>
    </xf>
    <xf borderId="17" fillId="0" fontId="3" numFmtId="9" xfId="0" applyAlignment="1" applyBorder="1" applyFont="1" applyNumberFormat="1">
      <alignment horizontal="right" readingOrder="0"/>
    </xf>
    <xf borderId="15" fillId="0" fontId="9" numFmtId="164" xfId="0" applyAlignment="1" applyBorder="1" applyFont="1" applyNumberFormat="1">
      <alignment horizontal="right" readingOrder="0"/>
    </xf>
    <xf borderId="16" fillId="0" fontId="9" numFmtId="3" xfId="0" applyAlignment="1" applyBorder="1" applyFont="1" applyNumberFormat="1">
      <alignment horizontal="right"/>
    </xf>
    <xf borderId="16" fillId="0" fontId="37" numFmtId="0" xfId="0" applyAlignment="1" applyBorder="1" applyFont="1">
      <alignment horizontal="left" readingOrder="0" shrinkToFit="0" wrapText="0"/>
    </xf>
    <xf borderId="18" fillId="0" fontId="3" numFmtId="0" xfId="0" applyAlignment="1" applyBorder="1" applyFont="1">
      <alignment horizontal="left" readingOrder="0" shrinkToFit="0" wrapText="0"/>
    </xf>
    <xf borderId="8" fillId="0" fontId="3" numFmtId="0" xfId="0" applyAlignment="1" applyBorder="1" applyFont="1">
      <alignment horizontal="right" readingOrder="0"/>
    </xf>
    <xf borderId="11" fillId="0" fontId="3" numFmtId="0" xfId="0" applyAlignment="1" applyBorder="1" applyFont="1">
      <alignment horizontal="right" readingOrder="0"/>
    </xf>
    <xf borderId="18" fillId="0" fontId="9" numFmtId="3" xfId="0" applyAlignment="1" applyBorder="1" applyFont="1" applyNumberFormat="1">
      <alignment horizontal="right"/>
    </xf>
    <xf borderId="0" fillId="0" fontId="9" numFmtId="171" xfId="0" applyAlignment="1" applyFont="1" applyNumberFormat="1">
      <alignment horizontal="right"/>
    </xf>
    <xf borderId="0" fillId="0" fontId="9" numFmtId="0" xfId="0" applyAlignment="1" applyFont="1">
      <alignment shrinkToFit="0" wrapText="1"/>
    </xf>
    <xf borderId="0" fillId="0" fontId="38" numFmtId="0" xfId="0" applyAlignment="1" applyFont="1">
      <alignment vertical="bottom"/>
    </xf>
    <xf borderId="22" fillId="0" fontId="9" numFmtId="2" xfId="0" applyAlignment="1" applyBorder="1" applyFont="1" applyNumberFormat="1">
      <alignment horizontal="right"/>
    </xf>
    <xf borderId="10" fillId="0" fontId="3" numFmtId="0" xfId="0" applyAlignment="1" applyBorder="1" applyFont="1">
      <alignment horizontal="right" readingOrder="0"/>
    </xf>
    <xf borderId="14" fillId="0" fontId="9" numFmtId="9" xfId="0" applyAlignment="1" applyBorder="1" applyFont="1" applyNumberFormat="1">
      <alignment horizontal="right" readingOrder="0"/>
    </xf>
    <xf borderId="10" fillId="0" fontId="9" numFmtId="0" xfId="0" applyAlignment="1" applyBorder="1" applyFont="1">
      <alignment horizontal="left" readingOrder="0" shrinkToFit="0" wrapText="0"/>
    </xf>
    <xf borderId="12" fillId="0" fontId="39" numFmtId="0" xfId="0" applyAlignment="1" applyBorder="1" applyFont="1">
      <alignment horizontal="left" readingOrder="0" shrinkToFit="0" wrapText="0"/>
    </xf>
    <xf borderId="16" fillId="0" fontId="3" numFmtId="9" xfId="0" applyAlignment="1" applyBorder="1" applyFont="1" applyNumberFormat="1">
      <alignment horizontal="right" readingOrder="0"/>
    </xf>
    <xf borderId="13" fillId="0" fontId="9" numFmtId="0" xfId="0" applyAlignment="1" applyBorder="1" applyFont="1">
      <alignment readingOrder="0" shrinkToFit="0" wrapText="1"/>
    </xf>
    <xf borderId="13" fillId="0" fontId="3" numFmtId="0" xfId="0" applyAlignment="1" applyBorder="1" applyFont="1">
      <alignment horizontal="right" readingOrder="0"/>
    </xf>
    <xf borderId="15" fillId="0" fontId="3" numFmtId="9" xfId="0" applyAlignment="1" applyBorder="1" applyFont="1" applyNumberFormat="1">
      <alignment horizontal="right" readingOrder="0"/>
    </xf>
    <xf borderId="13" fillId="0" fontId="9" numFmtId="0" xfId="0" applyAlignment="1" applyBorder="1" applyFont="1">
      <alignment horizontal="right"/>
    </xf>
    <xf borderId="18" fillId="0" fontId="3" numFmtId="9" xfId="0" applyAlignment="1" applyBorder="1" applyFont="1" applyNumberFormat="1">
      <alignment horizontal="right" readingOrder="0"/>
    </xf>
    <xf borderId="16" fillId="0" fontId="9" numFmtId="0" xfId="0" applyAlignment="1" applyBorder="1" applyFont="1">
      <alignment horizontal="left" readingOrder="0" shrinkToFit="0" wrapText="0"/>
    </xf>
    <xf borderId="18" fillId="0" fontId="40" numFmtId="0" xfId="0" applyAlignment="1" applyBorder="1" applyFont="1">
      <alignment horizontal="left" readingOrder="0" shrinkToFit="0" wrapText="0"/>
    </xf>
    <xf borderId="11" fillId="0" fontId="9" numFmtId="1" xfId="0" applyAlignment="1" applyBorder="1" applyFont="1" applyNumberFormat="1">
      <alignment horizontal="right" vertical="bottom"/>
    </xf>
    <xf borderId="0" fillId="0" fontId="9" numFmtId="1" xfId="0" applyAlignment="1" applyFont="1" applyNumberFormat="1">
      <alignment horizontal="right" vertical="bottom"/>
    </xf>
    <xf borderId="16" fillId="0" fontId="3" numFmtId="0" xfId="0" applyAlignment="1" applyBorder="1" applyFont="1">
      <alignment horizontal="right" readingOrder="0"/>
    </xf>
    <xf borderId="15" fillId="0" fontId="3" numFmtId="0" xfId="0" applyAlignment="1" applyBorder="1" applyFont="1">
      <alignment horizontal="right" readingOrder="0"/>
    </xf>
    <xf borderId="18" fillId="0" fontId="3" numFmtId="0" xfId="0" applyAlignment="1" applyBorder="1" applyFont="1">
      <alignment horizontal="right" readingOrder="0"/>
    </xf>
    <xf borderId="18" fillId="0" fontId="41" numFmtId="0" xfId="0" applyAlignment="1" applyBorder="1" applyFont="1">
      <alignment horizontal="left" readingOrder="0" shrinkToFit="0" wrapText="0"/>
    </xf>
    <xf borderId="14" fillId="0" fontId="9" numFmtId="0" xfId="0" applyAlignment="1" applyBorder="1" applyFont="1">
      <alignment horizontal="right"/>
    </xf>
    <xf borderId="14" fillId="0" fontId="3" numFmtId="0" xfId="0" applyAlignment="1" applyBorder="1" applyFont="1">
      <alignment horizontal="right" readingOrder="0"/>
    </xf>
    <xf borderId="23" fillId="0" fontId="9" numFmtId="2" xfId="0" applyAlignment="1" applyBorder="1" applyFont="1" applyNumberFormat="1">
      <alignment horizontal="right"/>
    </xf>
    <xf borderId="8" fillId="0" fontId="1" numFmtId="0" xfId="0" applyAlignment="1" applyBorder="1" applyFont="1">
      <alignment readingOrder="0" shrinkToFit="0" vertical="bottom" wrapText="0"/>
    </xf>
    <xf borderId="9" fillId="0" fontId="3" numFmtId="0" xfId="0" applyAlignment="1" applyBorder="1" applyFont="1">
      <alignment horizontal="right" readingOrder="0" vertical="bottom"/>
    </xf>
    <xf borderId="0" fillId="0" fontId="3" numFmtId="170" xfId="0" applyAlignment="1" applyFont="1" applyNumberFormat="1">
      <alignment horizontal="right" readingOrder="0" vertical="bottom"/>
    </xf>
    <xf borderId="8" fillId="0" fontId="3" numFmtId="170" xfId="0" applyAlignment="1" applyBorder="1" applyFont="1" applyNumberFormat="1">
      <alignment horizontal="right" readingOrder="0" vertical="bottom"/>
    </xf>
    <xf borderId="11" fillId="0" fontId="3" numFmtId="170" xfId="0" applyAlignment="1" applyBorder="1" applyFont="1" applyNumberFormat="1">
      <alignment horizontal="right" readingOrder="0" vertical="bottom"/>
    </xf>
    <xf borderId="8" fillId="0" fontId="3" numFmtId="1" xfId="0" applyAlignment="1" applyBorder="1" applyFont="1" applyNumberFormat="1">
      <alignment horizontal="right" vertical="bottom"/>
    </xf>
    <xf borderId="0" fillId="0" fontId="3" numFmtId="1" xfId="0" applyAlignment="1" applyFont="1" applyNumberFormat="1">
      <alignment horizontal="left" readingOrder="0" shrinkToFit="0" vertical="bottom" wrapText="0"/>
    </xf>
    <xf borderId="11" fillId="0" fontId="3" numFmtId="1" xfId="0" applyAlignment="1" applyBorder="1" applyFont="1" applyNumberFormat="1">
      <alignment horizontal="left" shrinkToFit="0" vertical="bottom" wrapText="0"/>
    </xf>
    <xf borderId="23" fillId="0" fontId="9" numFmtId="1" xfId="0" applyAlignment="1" applyBorder="1" applyFont="1" applyNumberFormat="1">
      <alignment horizontal="right"/>
    </xf>
    <xf borderId="10" fillId="0" fontId="3" numFmtId="0" xfId="0" applyAlignment="1" applyBorder="1" applyFont="1">
      <alignment readingOrder="0" vertical="bottom"/>
    </xf>
    <xf borderId="22" fillId="0" fontId="3" numFmtId="0" xfId="0" applyAlignment="1" applyBorder="1" applyFont="1">
      <alignment horizontal="right" readingOrder="0" vertical="bottom"/>
    </xf>
    <xf borderId="10" fillId="0" fontId="3" numFmtId="9" xfId="0" applyAlignment="1" applyBorder="1" applyFont="1" applyNumberFormat="1">
      <alignment horizontal="right" readingOrder="0" vertical="bottom"/>
    </xf>
    <xf borderId="19" fillId="0" fontId="9" numFmtId="0" xfId="0" applyAlignment="1" applyBorder="1" applyFont="1">
      <alignment readingOrder="0" shrinkToFit="0" wrapText="1"/>
    </xf>
    <xf borderId="28" fillId="0" fontId="3" numFmtId="0" xfId="0" applyAlignment="1" applyBorder="1" applyFont="1">
      <alignment horizontal="right" readingOrder="0" vertical="bottom"/>
    </xf>
    <xf borderId="19" fillId="0" fontId="3" numFmtId="0" xfId="0" applyAlignment="1" applyBorder="1" applyFont="1">
      <alignment horizontal="right" readingOrder="0"/>
    </xf>
    <xf borderId="28" fillId="0" fontId="3" numFmtId="1" xfId="0" applyAlignment="1" applyBorder="1" applyFont="1" applyNumberFormat="1">
      <alignment horizontal="right" vertical="bottom"/>
    </xf>
    <xf borderId="16" fillId="0" fontId="9" numFmtId="10" xfId="0" applyAlignment="1" applyBorder="1" applyFont="1" applyNumberFormat="1">
      <alignment horizontal="right" readingOrder="0"/>
    </xf>
    <xf borderId="24" fillId="0" fontId="9" numFmtId="9" xfId="0" applyAlignment="1" applyBorder="1" applyFont="1" applyNumberFormat="1">
      <alignment horizontal="right"/>
    </xf>
    <xf borderId="19" fillId="0" fontId="9" numFmtId="0" xfId="0" applyAlignment="1" applyBorder="1" applyFont="1">
      <alignment horizontal="right"/>
    </xf>
    <xf borderId="10" fillId="0" fontId="42" numFmtId="1" xfId="0" applyAlignment="1" applyBorder="1" applyFont="1" applyNumberFormat="1">
      <alignment horizontal="left" readingOrder="0" shrinkToFit="0" vertical="bottom" wrapText="0"/>
    </xf>
    <xf borderId="12" fillId="0" fontId="3" numFmtId="1" xfId="0" applyAlignment="1" applyBorder="1" applyFont="1" applyNumberFormat="1">
      <alignment horizontal="left" shrinkToFit="0" vertical="bottom" wrapText="0"/>
    </xf>
    <xf borderId="19" fillId="0" fontId="3" numFmtId="0" xfId="0" applyAlignment="1" applyBorder="1" applyFont="1">
      <alignment readingOrder="0" vertical="bottom"/>
    </xf>
    <xf borderId="20" fillId="0" fontId="3" numFmtId="1" xfId="0" applyAlignment="1" applyBorder="1" applyFont="1" applyNumberFormat="1">
      <alignment horizontal="right" readingOrder="0" vertical="bottom"/>
    </xf>
    <xf borderId="24" fillId="0" fontId="3" numFmtId="0" xfId="0" applyAlignment="1" applyBorder="1" applyFont="1">
      <alignment horizontal="right" readingOrder="0" vertical="bottom"/>
    </xf>
    <xf borderId="19" fillId="0" fontId="3" numFmtId="49" xfId="0" applyAlignment="1" applyBorder="1" applyFont="1" applyNumberFormat="1">
      <alignment horizontal="right" readingOrder="0" vertical="bottom"/>
    </xf>
    <xf borderId="31" fillId="0" fontId="3" numFmtId="170" xfId="0" applyAlignment="1" applyBorder="1" applyFont="1" applyNumberFormat="1">
      <alignment horizontal="right" readingOrder="0" vertical="bottom"/>
    </xf>
    <xf borderId="19" fillId="0" fontId="3" numFmtId="170" xfId="0" applyAlignment="1" applyBorder="1" applyFont="1" applyNumberFormat="1">
      <alignment horizontal="right" readingOrder="0" vertical="bottom"/>
    </xf>
    <xf borderId="20" fillId="0" fontId="3" numFmtId="170" xfId="0" applyAlignment="1" applyBorder="1" applyFont="1" applyNumberFormat="1">
      <alignment horizontal="right" readingOrder="0" vertical="bottom"/>
    </xf>
    <xf borderId="31" fillId="0" fontId="3" numFmtId="1" xfId="0" applyAlignment="1" applyBorder="1" applyFont="1" applyNumberFormat="1">
      <alignment horizontal="right" vertical="bottom"/>
    </xf>
    <xf borderId="19" fillId="0" fontId="43" numFmtId="1" xfId="0" applyAlignment="1" applyBorder="1" applyFont="1" applyNumberFormat="1">
      <alignment horizontal="left" readingOrder="0" shrinkToFit="0" vertical="bottom" wrapText="0"/>
    </xf>
    <xf borderId="20" fillId="0" fontId="3" numFmtId="1" xfId="0" applyAlignment="1" applyBorder="1" applyFont="1" applyNumberFormat="1">
      <alignment horizontal="left" shrinkToFit="0" vertical="bottom" wrapText="0"/>
    </xf>
    <xf borderId="23" fillId="0" fontId="9" numFmtId="2" xfId="0" applyAlignment="1" applyBorder="1" applyFont="1" applyNumberFormat="1">
      <alignment horizontal="right" readingOrder="0"/>
    </xf>
    <xf borderId="20" fillId="0" fontId="9" numFmtId="0" xfId="0" applyAlignment="1" applyBorder="1" applyFont="1">
      <alignment horizontal="right"/>
    </xf>
    <xf borderId="13" fillId="0" fontId="3" numFmtId="0" xfId="0" applyAlignment="1" applyBorder="1" applyFont="1">
      <alignment readingOrder="0" vertical="bottom"/>
    </xf>
    <xf borderId="23" fillId="0" fontId="3" numFmtId="0" xfId="0" applyAlignment="1" applyBorder="1" applyFont="1">
      <alignment horizontal="right" readingOrder="0" vertical="bottom"/>
    </xf>
    <xf borderId="9" fillId="0" fontId="9" numFmtId="0" xfId="0" applyAlignment="1" applyBorder="1" applyFont="1">
      <alignment horizontal="right" vertical="bottom"/>
    </xf>
    <xf borderId="0" fillId="0" fontId="9" numFmtId="0" xfId="0" applyAlignment="1" applyFont="1">
      <alignment horizontal="right" vertical="bottom"/>
    </xf>
    <xf borderId="29" fillId="0" fontId="3" numFmtId="0" xfId="0" applyAlignment="1" applyBorder="1" applyFont="1">
      <alignment horizontal="right" readingOrder="0" vertical="bottom"/>
    </xf>
    <xf borderId="24" fillId="0" fontId="9" numFmtId="2" xfId="0" applyAlignment="1" applyBorder="1" applyFont="1" applyNumberFormat="1">
      <alignment horizontal="right" readingOrder="0"/>
    </xf>
    <xf borderId="29" fillId="0" fontId="3" numFmtId="1" xfId="0" applyAlignment="1" applyBorder="1" applyFont="1" applyNumberFormat="1">
      <alignment horizontal="right" vertical="bottom"/>
    </xf>
    <xf borderId="11" fillId="0" fontId="9" numFmtId="0" xfId="0" applyAlignment="1" applyBorder="1" applyFont="1">
      <alignment horizontal="right" vertical="bottom"/>
    </xf>
    <xf borderId="14" fillId="0" fontId="3" numFmtId="1" xfId="0" applyAlignment="1" applyBorder="1" applyFont="1" applyNumberFormat="1">
      <alignment horizontal="left" shrinkToFit="0" vertical="bottom" wrapText="0"/>
    </xf>
    <xf borderId="22" fillId="0" fontId="9" numFmtId="0" xfId="0" applyAlignment="1" applyBorder="1" applyFont="1">
      <alignment horizontal="right" readingOrder="0" vertical="bottom"/>
    </xf>
    <xf borderId="10" fillId="0" fontId="9" numFmtId="172" xfId="0" applyAlignment="1" applyBorder="1" applyFont="1" applyNumberFormat="1">
      <alignment horizontal="right" vertical="bottom"/>
    </xf>
    <xf borderId="10" fillId="0" fontId="9" numFmtId="4" xfId="0" applyAlignment="1" applyBorder="1" applyFont="1" applyNumberFormat="1">
      <alignment horizontal="right" readingOrder="0"/>
    </xf>
    <xf borderId="19" fillId="0" fontId="3" numFmtId="9" xfId="0" applyAlignment="1" applyBorder="1" applyFont="1" applyNumberFormat="1">
      <alignment horizontal="right" readingOrder="0" vertical="bottom"/>
    </xf>
    <xf borderId="31" fillId="0" fontId="3" numFmtId="0" xfId="0" applyAlignment="1" applyBorder="1" applyFont="1">
      <alignment horizontal="right" readingOrder="0" vertical="bottom"/>
    </xf>
    <xf borderId="0" fillId="0" fontId="9" numFmtId="0" xfId="0" applyAlignment="1" applyFont="1">
      <alignment shrinkToFit="0" wrapText="1"/>
    </xf>
    <xf borderId="0" fillId="0" fontId="3" numFmtId="0" xfId="0" applyAlignment="1" applyFont="1">
      <alignment readingOrder="0" vertical="bottom"/>
    </xf>
    <xf borderId="0" fillId="0" fontId="3" numFmtId="10" xfId="0" applyAlignment="1" applyFont="1" applyNumberFormat="1">
      <alignment horizontal="right" readingOrder="0" vertical="bottom"/>
    </xf>
    <xf borderId="8" fillId="0" fontId="3" numFmtId="10" xfId="0" applyAlignment="1" applyBorder="1" applyFont="1" applyNumberFormat="1">
      <alignment horizontal="right" readingOrder="0" vertical="bottom"/>
    </xf>
    <xf borderId="11" fillId="0" fontId="3" numFmtId="10" xfId="0" applyAlignment="1" applyBorder="1" applyFont="1" applyNumberFormat="1">
      <alignment horizontal="right" readingOrder="0" vertical="bottom"/>
    </xf>
    <xf borderId="13" fillId="0" fontId="9" numFmtId="4" xfId="0" applyAlignment="1" applyBorder="1" applyFont="1" applyNumberFormat="1">
      <alignment horizontal="right" readingOrder="0"/>
    </xf>
    <xf borderId="28" fillId="0" fontId="3" numFmtId="10" xfId="0" applyAlignment="1" applyBorder="1" applyFont="1" applyNumberFormat="1">
      <alignment horizontal="right" readingOrder="0" vertical="bottom"/>
    </xf>
    <xf borderId="10" fillId="0" fontId="3" numFmtId="10" xfId="0" applyAlignment="1" applyBorder="1" applyFont="1" applyNumberFormat="1">
      <alignment horizontal="right" readingOrder="0" vertical="bottom"/>
    </xf>
    <xf borderId="0" fillId="0" fontId="9" numFmtId="1" xfId="0" applyAlignment="1" applyFont="1" applyNumberFormat="1">
      <alignment horizontal="right"/>
    </xf>
    <xf borderId="12" fillId="0" fontId="3" numFmtId="10" xfId="0" applyAlignment="1" applyBorder="1" applyFont="1" applyNumberFormat="1">
      <alignment horizontal="right" readingOrder="0" vertical="bottom"/>
    </xf>
    <xf borderId="12" fillId="0" fontId="9" numFmtId="172" xfId="0" applyAlignment="1" applyBorder="1" applyFont="1" applyNumberFormat="1">
      <alignment horizontal="right" vertical="bottom"/>
    </xf>
    <xf borderId="22" fillId="0" fontId="9" numFmtId="1" xfId="0" applyAlignment="1" applyBorder="1" applyFont="1" applyNumberFormat="1">
      <alignment horizontal="right"/>
    </xf>
    <xf borderId="31" fillId="0" fontId="3" numFmtId="10" xfId="0" applyAlignment="1" applyBorder="1" applyFont="1" applyNumberFormat="1">
      <alignment horizontal="right" readingOrder="0" vertical="bottom"/>
    </xf>
    <xf borderId="19" fillId="0" fontId="3" numFmtId="10" xfId="0" applyAlignment="1" applyBorder="1" applyFont="1" applyNumberFormat="1">
      <alignment horizontal="right" readingOrder="0" vertical="bottom"/>
    </xf>
    <xf borderId="20" fillId="0" fontId="3" numFmtId="10" xfId="0" applyAlignment="1" applyBorder="1" applyFont="1" applyNumberFormat="1">
      <alignment horizontal="right" readingOrder="0" vertical="bottom"/>
    </xf>
    <xf borderId="23" fillId="0" fontId="9" numFmtId="0" xfId="0" applyAlignment="1" applyBorder="1" applyFont="1">
      <alignment horizontal="right" readingOrder="0" vertical="bottom"/>
    </xf>
    <xf borderId="13" fillId="0" fontId="9" numFmtId="9" xfId="0" applyAlignment="1" applyBorder="1" applyFont="1" applyNumberFormat="1">
      <alignment horizontal="right" vertical="bottom"/>
    </xf>
    <xf borderId="16" fillId="0" fontId="3" numFmtId="0" xfId="0" applyAlignment="1" applyBorder="1" applyFont="1">
      <alignment readingOrder="0" vertical="bottom"/>
    </xf>
    <xf borderId="18" fillId="0" fontId="3" numFmtId="1" xfId="0" applyAlignment="1" applyBorder="1" applyFont="1" applyNumberFormat="1">
      <alignment horizontal="right" readingOrder="0" vertical="bottom"/>
    </xf>
    <xf borderId="17" fillId="0" fontId="3" numFmtId="0" xfId="0" applyAlignment="1" applyBorder="1" applyFont="1">
      <alignment horizontal="right" readingOrder="0" vertical="bottom"/>
    </xf>
    <xf borderId="16" fillId="0" fontId="3" numFmtId="9" xfId="0" applyAlignment="1" applyBorder="1" applyFont="1" applyNumberFormat="1">
      <alignment horizontal="right" readingOrder="0" vertical="bottom"/>
    </xf>
    <xf borderId="15" fillId="0" fontId="3" numFmtId="10" xfId="0" applyAlignment="1" applyBorder="1" applyFont="1" applyNumberFormat="1">
      <alignment horizontal="right" readingOrder="0" vertical="bottom"/>
    </xf>
    <xf borderId="16" fillId="0" fontId="3" numFmtId="10" xfId="0" applyAlignment="1" applyBorder="1" applyFont="1" applyNumberFormat="1">
      <alignment horizontal="right" readingOrder="0" vertical="bottom"/>
    </xf>
    <xf borderId="18" fillId="0" fontId="3" numFmtId="10" xfId="0" applyAlignment="1" applyBorder="1" applyFont="1" applyNumberFormat="1">
      <alignment horizontal="right" readingOrder="0" vertical="bottom"/>
    </xf>
    <xf borderId="15" fillId="0" fontId="3" numFmtId="1" xfId="0" applyAlignment="1" applyBorder="1" applyFont="1" applyNumberFormat="1">
      <alignment horizontal="right" vertical="bottom"/>
    </xf>
    <xf borderId="16" fillId="0" fontId="44" numFmtId="1" xfId="0" applyAlignment="1" applyBorder="1" applyFont="1" applyNumberFormat="1">
      <alignment horizontal="left" readingOrder="0" shrinkToFit="0" vertical="bottom" wrapText="0"/>
    </xf>
    <xf borderId="18" fillId="0" fontId="3" numFmtId="1" xfId="0" applyAlignment="1" applyBorder="1" applyFont="1" applyNumberFormat="1">
      <alignment horizontal="left" shrinkToFit="0" vertical="bottom" wrapText="0"/>
    </xf>
    <xf borderId="24" fillId="0" fontId="9" numFmtId="1" xfId="0" applyAlignment="1" applyBorder="1" applyFont="1" applyNumberFormat="1">
      <alignment horizontal="right" readingOrder="0"/>
    </xf>
    <xf borderId="22" fillId="0" fontId="3" numFmtId="9" xfId="0" applyAlignment="1" applyBorder="1" applyFont="1" applyNumberFormat="1">
      <alignment horizontal="right" readingOrder="0" vertical="bottom"/>
    </xf>
    <xf borderId="10" fillId="0" fontId="3" numFmtId="1" xfId="0" applyAlignment="1" applyBorder="1" applyFont="1" applyNumberFormat="1">
      <alignment horizontal="left" readingOrder="0" shrinkToFit="0" vertical="bottom" wrapText="0"/>
    </xf>
    <xf borderId="23" fillId="0" fontId="3" numFmtId="9" xfId="0" applyAlignment="1" applyBorder="1" applyFont="1" applyNumberFormat="1">
      <alignment horizontal="right" readingOrder="0" vertical="bottom"/>
    </xf>
    <xf borderId="13" fillId="0" fontId="3" numFmtId="1" xfId="0" applyAlignment="1" applyBorder="1" applyFont="1" applyNumberFormat="1">
      <alignment horizontal="left" readingOrder="0" shrinkToFit="0" vertical="bottom" wrapText="0"/>
    </xf>
    <xf borderId="14" fillId="0" fontId="9" numFmtId="9" xfId="0" applyAlignment="1" applyBorder="1" applyFont="1" applyNumberFormat="1">
      <alignment horizontal="right" vertical="bottom"/>
    </xf>
    <xf borderId="24" fillId="0" fontId="3" numFmtId="9" xfId="0" applyAlignment="1" applyBorder="1" applyFont="1" applyNumberFormat="1">
      <alignment horizontal="right" readingOrder="0" vertical="bottom"/>
    </xf>
    <xf borderId="9" fillId="0" fontId="9" numFmtId="2" xfId="0" applyAlignment="1" applyBorder="1" applyFont="1" applyNumberFormat="1">
      <alignment horizontal="right"/>
    </xf>
    <xf borderId="0" fillId="0" fontId="9" numFmtId="2" xfId="0" applyAlignment="1" applyFont="1" applyNumberFormat="1">
      <alignment horizontal="right"/>
    </xf>
    <xf borderId="19" fillId="0" fontId="3" numFmtId="1" xfId="0" applyAlignment="1" applyBorder="1" applyFont="1" applyNumberFormat="1">
      <alignment horizontal="left" readingOrder="0" shrinkToFit="0" vertical="bottom" wrapText="0"/>
    </xf>
    <xf borderId="11" fillId="0" fontId="9" numFmtId="2" xfId="0" applyAlignment="1" applyBorder="1" applyFont="1" applyNumberFormat="1">
      <alignment horizontal="right"/>
    </xf>
    <xf borderId="9" fillId="0" fontId="9" numFmtId="1" xfId="0" applyAlignment="1" applyBorder="1" applyFont="1" applyNumberFormat="1">
      <alignment horizontal="right"/>
    </xf>
    <xf borderId="11" fillId="0" fontId="9" numFmtId="1" xfId="0" applyAlignment="1" applyBorder="1" applyFont="1" applyNumberFormat="1">
      <alignment horizontal="right"/>
    </xf>
    <xf borderId="10" fillId="0" fontId="3" numFmtId="49" xfId="0" applyAlignment="1" applyBorder="1" applyFont="1" applyNumberFormat="1">
      <alignment horizontal="right" readingOrder="0" vertical="bottom"/>
    </xf>
    <xf borderId="28" fillId="0" fontId="3" numFmtId="49" xfId="0" applyAlignment="1" applyBorder="1" applyFont="1" applyNumberFormat="1">
      <alignment horizontal="right" readingOrder="0" vertical="bottom"/>
    </xf>
    <xf borderId="12" fillId="0" fontId="3" numFmtId="49" xfId="0" applyAlignment="1" applyBorder="1" applyFont="1" applyNumberFormat="1">
      <alignment horizontal="right" readingOrder="0" vertical="bottom"/>
    </xf>
    <xf borderId="10" fillId="0" fontId="9" numFmtId="173" xfId="0" applyAlignment="1" applyBorder="1" applyFont="1" applyNumberFormat="1">
      <alignment horizontal="right" readingOrder="0"/>
    </xf>
    <xf borderId="13" fillId="0" fontId="3" numFmtId="49" xfId="0" applyAlignment="1" applyBorder="1" applyFont="1" applyNumberFormat="1">
      <alignment horizontal="right" readingOrder="0" vertical="bottom"/>
    </xf>
    <xf borderId="29" fillId="0" fontId="3" numFmtId="49" xfId="0" applyAlignment="1" applyBorder="1" applyFont="1" applyNumberFormat="1">
      <alignment horizontal="right" readingOrder="0" vertical="bottom"/>
    </xf>
    <xf borderId="14" fillId="0" fontId="3" numFmtId="49" xfId="0" applyAlignment="1" applyBorder="1" applyFont="1" applyNumberFormat="1">
      <alignment horizontal="right" readingOrder="0" vertical="bottom"/>
    </xf>
    <xf borderId="19" fillId="0" fontId="3" numFmtId="0" xfId="0" applyAlignment="1" applyBorder="1" applyFont="1">
      <alignment readingOrder="0" shrinkToFit="0" vertical="bottom" wrapText="1"/>
    </xf>
    <xf borderId="24" fillId="0" fontId="3" numFmtId="1" xfId="0" applyAlignment="1" applyBorder="1" applyFont="1" applyNumberFormat="1">
      <alignment horizontal="right" readingOrder="0" vertical="bottom"/>
    </xf>
    <xf borderId="19" fillId="0" fontId="3" numFmtId="49" xfId="0" applyAlignment="1" applyBorder="1" applyFont="1" applyNumberFormat="1">
      <alignment horizontal="right" readingOrder="0"/>
    </xf>
    <xf borderId="19" fillId="0" fontId="3" numFmtId="3" xfId="0" applyAlignment="1" applyBorder="1" applyFont="1" applyNumberFormat="1">
      <alignment horizontal="right" readingOrder="0"/>
    </xf>
    <xf borderId="31" fillId="0" fontId="3" numFmtId="49" xfId="0" applyAlignment="1" applyBorder="1" applyFont="1" applyNumberFormat="1">
      <alignment horizontal="right" readingOrder="0"/>
    </xf>
    <xf borderId="20" fillId="0" fontId="3" numFmtId="49" xfId="0" applyAlignment="1" applyBorder="1" applyFont="1" applyNumberFormat="1">
      <alignment horizontal="right" readingOrder="0"/>
    </xf>
    <xf borderId="20" fillId="0" fontId="45" numFmtId="0" xfId="0" applyAlignment="1" applyBorder="1" applyFont="1">
      <alignment readingOrder="0"/>
    </xf>
    <xf borderId="16" fillId="0" fontId="9" numFmtId="3" xfId="0" applyAlignment="1" applyBorder="1" applyFont="1" applyNumberFormat="1">
      <alignment horizontal="right" readingOrder="0"/>
    </xf>
    <xf borderId="24" fillId="0" fontId="9" numFmtId="0" xfId="0" applyAlignment="1" applyBorder="1" applyFont="1">
      <alignment horizontal="right" readingOrder="0" vertical="bottom"/>
    </xf>
    <xf borderId="19" fillId="0" fontId="9" numFmtId="173" xfId="0" applyAlignment="1" applyBorder="1" applyFont="1" applyNumberFormat="1">
      <alignment horizontal="right" vertical="bottom"/>
    </xf>
    <xf borderId="18" fillId="0" fontId="9" numFmtId="3" xfId="0" applyAlignment="1" applyBorder="1" applyFont="1" applyNumberFormat="1">
      <alignment horizontal="right" readingOrder="0"/>
    </xf>
    <xf borderId="20" fillId="0" fontId="9" numFmtId="173" xfId="0" applyAlignment="1" applyBorder="1" applyFont="1" applyNumberFormat="1">
      <alignment horizontal="right" vertical="bottom"/>
    </xf>
    <xf borderId="15" fillId="0" fontId="3" numFmtId="0" xfId="0" applyAlignment="1" applyBorder="1" applyFont="1">
      <alignment horizontal="right" readingOrder="0" vertical="bottom"/>
    </xf>
    <xf borderId="10" fillId="0" fontId="9" numFmtId="0" xfId="0" applyAlignment="1" applyBorder="1" applyFont="1">
      <alignment shrinkToFit="0" vertical="bottom" wrapText="1"/>
    </xf>
    <xf borderId="10" fillId="0" fontId="3" numFmtId="0" xfId="0" applyAlignment="1" applyBorder="1" applyFont="1">
      <alignment horizontal="right" vertical="bottom"/>
    </xf>
    <xf borderId="12" fillId="0" fontId="3" numFmtId="0" xfId="0" applyAlignment="1" applyBorder="1" applyFont="1">
      <alignment horizontal="right" vertical="bottom"/>
    </xf>
    <xf borderId="22" fillId="0" fontId="9" numFmtId="0" xfId="0" applyAlignment="1" applyBorder="1" applyFont="1">
      <alignment horizontal="right" vertical="bottom"/>
    </xf>
    <xf borderId="10" fillId="0" fontId="9" numFmtId="3" xfId="0" applyAlignment="1" applyBorder="1" applyFont="1" applyNumberFormat="1">
      <alignment horizontal="right" vertical="bottom"/>
    </xf>
    <xf borderId="0" fillId="0" fontId="3" numFmtId="0" xfId="0" applyAlignment="1" applyFont="1">
      <alignment shrinkToFit="0" vertical="bottom" wrapText="1"/>
    </xf>
    <xf borderId="0" fillId="0" fontId="3" numFmtId="1" xfId="0" applyAlignment="1" applyFont="1" applyNumberFormat="1">
      <alignment horizontal="left" shrinkToFit="0" vertical="bottom" wrapText="0"/>
    </xf>
    <xf borderId="22" fillId="0" fontId="3" numFmtId="1" xfId="0" applyAlignment="1" applyBorder="1" applyFont="1" applyNumberFormat="1">
      <alignment horizontal="right" readingOrder="0" vertical="bottom"/>
    </xf>
    <xf borderId="12" fillId="0" fontId="9" numFmtId="0" xfId="0" applyAlignment="1" applyBorder="1" applyFont="1">
      <alignment horizontal="right" vertical="bottom"/>
    </xf>
    <xf borderId="10" fillId="0" fontId="9" numFmtId="1" xfId="0" applyAlignment="1" applyBorder="1" applyFont="1" applyNumberFormat="1">
      <alignment horizontal="left" readingOrder="0" shrinkToFit="0" vertical="bottom" wrapText="0"/>
    </xf>
    <xf borderId="13" fillId="0" fontId="3" numFmtId="0" xfId="0" applyAlignment="1" applyBorder="1" applyFont="1">
      <alignment shrinkToFit="0" vertical="bottom" wrapText="1"/>
    </xf>
    <xf borderId="13" fillId="0" fontId="3" numFmtId="0" xfId="0" applyAlignment="1" applyBorder="1" applyFont="1">
      <alignment horizontal="right" vertical="bottom"/>
    </xf>
    <xf borderId="22" fillId="0" fontId="9" numFmtId="1" xfId="0" applyAlignment="1" applyBorder="1" applyFont="1" applyNumberFormat="1">
      <alignment horizontal="right" readingOrder="0"/>
    </xf>
    <xf borderId="14" fillId="0" fontId="3" numFmtId="0" xfId="0" applyAlignment="1" applyBorder="1" applyFont="1">
      <alignment horizontal="right" vertical="bottom"/>
    </xf>
    <xf borderId="13" fillId="0" fontId="3" numFmtId="0" xfId="0" applyAlignment="1" applyBorder="1" applyFont="1">
      <alignment readingOrder="0" shrinkToFit="0" vertical="bottom" wrapText="1"/>
    </xf>
    <xf borderId="23" fillId="0" fontId="3" numFmtId="1" xfId="0" applyAlignment="1" applyBorder="1" applyFont="1" applyNumberFormat="1">
      <alignment horizontal="right" readingOrder="0" vertical="bottom"/>
    </xf>
    <xf borderId="23" fillId="0" fontId="9" numFmtId="0" xfId="0" applyAlignment="1" applyBorder="1" applyFont="1">
      <alignment horizontal="right" vertical="bottom"/>
    </xf>
    <xf borderId="10" fillId="0" fontId="3" numFmtId="49" xfId="0" applyAlignment="1" applyBorder="1" applyFont="1" applyNumberFormat="1">
      <alignment horizontal="right" readingOrder="0"/>
    </xf>
    <xf borderId="17" fillId="0" fontId="3" numFmtId="1" xfId="0" applyAlignment="1" applyBorder="1" applyFont="1" applyNumberFormat="1">
      <alignment horizontal="right" readingOrder="0" vertical="bottom"/>
    </xf>
    <xf borderId="16" fillId="0" fontId="3" numFmtId="1" xfId="0" applyAlignment="1" applyBorder="1" applyFont="1" applyNumberFormat="1">
      <alignment horizontal="left" readingOrder="0" shrinkToFit="0" vertical="bottom" wrapText="0"/>
    </xf>
    <xf borderId="18" fillId="0" fontId="3" numFmtId="0" xfId="0" applyAlignment="1" applyBorder="1" applyFont="1">
      <alignment readingOrder="0"/>
    </xf>
    <xf borderId="0" fillId="0" fontId="3" numFmtId="3" xfId="0" applyAlignment="1" applyFont="1" applyNumberFormat="1">
      <alignment horizontal="right" vertical="bottom"/>
    </xf>
    <xf borderId="8" fillId="0" fontId="3" numFmtId="3" xfId="0" applyAlignment="1" applyBorder="1" applyFont="1" applyNumberFormat="1">
      <alignment horizontal="right" vertical="bottom"/>
    </xf>
    <xf borderId="11" fillId="0" fontId="3" numFmtId="3" xfId="0" applyAlignment="1" applyBorder="1" applyFont="1" applyNumberFormat="1">
      <alignment horizontal="right" vertical="bottom"/>
    </xf>
    <xf borderId="24" fillId="0" fontId="9" numFmtId="172" xfId="0" applyAlignment="1" applyBorder="1" applyFont="1" applyNumberFormat="1">
      <alignment horizontal="right" readingOrder="0"/>
    </xf>
    <xf borderId="19" fillId="0" fontId="9" numFmtId="172" xfId="0" applyAlignment="1" applyBorder="1" applyFont="1" applyNumberFormat="1">
      <alignment horizontal="right" readingOrder="0"/>
    </xf>
    <xf borderId="19" fillId="0" fontId="3" numFmtId="0" xfId="0" applyAlignment="1" applyBorder="1" applyFont="1">
      <alignment readingOrder="0" shrinkToFit="0" vertical="bottom" wrapText="1"/>
    </xf>
    <xf borderId="14" fillId="0" fontId="9" numFmtId="0" xfId="0" applyAlignment="1" applyBorder="1" applyFont="1">
      <alignment horizontal="right" vertical="bottom"/>
    </xf>
    <xf borderId="19" fillId="0" fontId="3" numFmtId="3" xfId="0" applyAlignment="1" applyBorder="1" applyFont="1" applyNumberFormat="1">
      <alignment horizontal="right" readingOrder="0" vertical="bottom"/>
    </xf>
    <xf borderId="13" fillId="0" fontId="9" numFmtId="0" xfId="0" applyAlignment="1" applyBorder="1" applyFont="1">
      <alignment shrinkToFit="0" vertical="bottom" wrapText="1"/>
    </xf>
    <xf borderId="31" fillId="0" fontId="3" numFmtId="9" xfId="0" applyAlignment="1" applyBorder="1" applyFont="1" applyNumberFormat="1">
      <alignment horizontal="right" readingOrder="0" vertical="bottom"/>
    </xf>
    <xf borderId="20" fillId="0" fontId="3" numFmtId="9" xfId="0" applyAlignment="1" applyBorder="1" applyFont="1" applyNumberFormat="1">
      <alignment horizontal="right" readingOrder="0" vertical="bottom"/>
    </xf>
    <xf borderId="17" fillId="0" fontId="3" numFmtId="9" xfId="0" applyAlignment="1" applyBorder="1" applyFont="1" applyNumberFormat="1">
      <alignment horizontal="right" readingOrder="0" vertical="bottom"/>
    </xf>
    <xf borderId="16" fillId="0" fontId="3" numFmtId="3" xfId="0" applyAlignment="1" applyBorder="1" applyFont="1" applyNumberFormat="1">
      <alignment horizontal="right" readingOrder="0" vertical="bottom"/>
    </xf>
    <xf borderId="0" fillId="0" fontId="9" numFmtId="1" xfId="0" applyAlignment="1" applyFont="1" applyNumberFormat="1">
      <alignment horizontal="right" readingOrder="0" vertical="bottom"/>
    </xf>
    <xf borderId="20" fillId="0" fontId="9" numFmtId="172" xfId="0" applyAlignment="1" applyBorder="1" applyFont="1" applyNumberFormat="1">
      <alignment horizontal="right" readingOrder="0"/>
    </xf>
    <xf borderId="15" fillId="0" fontId="3" numFmtId="3" xfId="0" applyAlignment="1" applyBorder="1" applyFont="1" applyNumberFormat="1">
      <alignment horizontal="right" readingOrder="0" vertical="bottom"/>
    </xf>
    <xf borderId="18" fillId="0" fontId="3" numFmtId="3" xfId="0" applyAlignment="1" applyBorder="1" applyFont="1" applyNumberFormat="1">
      <alignment horizontal="right" readingOrder="0" vertical="bottom"/>
    </xf>
    <xf borderId="18" fillId="0" fontId="46" numFmtId="1" xfId="0" applyAlignment="1" applyBorder="1" applyFont="1" applyNumberFormat="1">
      <alignment horizontal="left" readingOrder="0" shrinkToFit="0" vertical="bottom" wrapText="0"/>
    </xf>
    <xf borderId="0" fillId="0" fontId="3" numFmtId="3" xfId="0" applyAlignment="1" applyFont="1" applyNumberFormat="1">
      <alignment horizontal="right" readingOrder="0" vertical="bottom"/>
    </xf>
    <xf borderId="10" fillId="0" fontId="3" numFmtId="3" xfId="0" applyAlignment="1" applyBorder="1" applyFont="1" applyNumberFormat="1">
      <alignment horizontal="right" readingOrder="0" vertical="bottom"/>
    </xf>
    <xf borderId="19" fillId="0" fontId="3" numFmtId="0" xfId="0" applyAlignment="1" applyBorder="1" applyFont="1">
      <alignment shrinkToFit="0" vertical="bottom" wrapText="1"/>
    </xf>
    <xf borderId="19" fillId="0" fontId="3" numFmtId="0" xfId="0" applyAlignment="1" applyBorder="1" applyFont="1">
      <alignment horizontal="right" vertical="bottom"/>
    </xf>
    <xf borderId="20" fillId="0" fontId="3" numFmtId="0" xfId="0" applyAlignment="1" applyBorder="1" applyFont="1">
      <alignment horizontal="right" vertical="bottom"/>
    </xf>
    <xf borderId="19" fillId="0" fontId="9" numFmtId="1" xfId="0" applyAlignment="1" applyBorder="1" applyFont="1" applyNumberFormat="1">
      <alignment horizontal="right" vertical="bottom"/>
    </xf>
    <xf borderId="20" fillId="0" fontId="9" numFmtId="0" xfId="0" applyAlignment="1" applyBorder="1" applyFont="1">
      <alignment horizontal="right" vertical="bottom"/>
    </xf>
    <xf borderId="28" fillId="0" fontId="3" numFmtId="3" xfId="0" applyAlignment="1" applyBorder="1" applyFont="1" applyNumberFormat="1">
      <alignment horizontal="right" readingOrder="0" vertical="bottom"/>
    </xf>
    <xf borderId="22" fillId="0" fontId="9" numFmtId="172" xfId="0" applyAlignment="1" applyBorder="1" applyFont="1" applyNumberFormat="1">
      <alignment horizontal="right" vertical="bottom"/>
    </xf>
    <xf borderId="10" fillId="0" fontId="9" numFmtId="0" xfId="0" applyAlignment="1" applyBorder="1" applyFont="1">
      <alignment horizontal="right" vertical="bottom"/>
    </xf>
    <xf borderId="12" fillId="0" fontId="3" numFmtId="3"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13" fillId="0" fontId="3" numFmtId="1" xfId="0" applyAlignment="1" applyBorder="1" applyFont="1" applyNumberFormat="1">
      <alignment horizontal="right" readingOrder="0" vertical="bottom"/>
    </xf>
    <xf borderId="25" fillId="0" fontId="9" numFmtId="0" xfId="0" applyAlignment="1" applyBorder="1" applyFont="1">
      <alignment readingOrder="0" shrinkToFit="0" vertical="bottom" wrapText="1"/>
    </xf>
    <xf borderId="23" fillId="0" fontId="9" numFmtId="1" xfId="0" applyAlignment="1" applyBorder="1" applyFont="1" applyNumberFormat="1">
      <alignment horizontal="right" readingOrder="0"/>
    </xf>
    <xf borderId="26" fillId="0" fontId="3" numFmtId="0" xfId="0" applyAlignment="1" applyBorder="1" applyFont="1">
      <alignment horizontal="right" readingOrder="0" vertical="bottom"/>
    </xf>
    <xf borderId="13" fillId="0" fontId="9" numFmtId="49" xfId="0" applyAlignment="1" applyBorder="1" applyFont="1" applyNumberFormat="1">
      <alignment horizontal="right"/>
    </xf>
    <xf borderId="29" fillId="0" fontId="3" numFmtId="3" xfId="0" applyAlignment="1" applyBorder="1" applyFont="1" applyNumberFormat="1">
      <alignment horizontal="right" readingOrder="0" vertical="bottom"/>
    </xf>
    <xf borderId="25" fillId="0" fontId="9" numFmtId="173" xfId="0" applyAlignment="1" applyBorder="1" applyFont="1" applyNumberFormat="1">
      <alignment horizontal="right"/>
    </xf>
    <xf borderId="26" fillId="0" fontId="9" numFmtId="173" xfId="0" applyAlignment="1" applyBorder="1" applyFont="1" applyNumberFormat="1">
      <alignment horizontal="right"/>
    </xf>
    <xf borderId="17" fillId="0" fontId="9" numFmtId="172" xfId="0" applyAlignment="1" applyBorder="1" applyFont="1" applyNumberFormat="1">
      <alignment horizontal="right" vertical="bottom"/>
    </xf>
    <xf borderId="16" fillId="0" fontId="9" numFmtId="172" xfId="0" applyAlignment="1" applyBorder="1" applyFont="1" applyNumberFormat="1">
      <alignment horizontal="right" vertical="bottom"/>
    </xf>
    <xf borderId="27" fillId="0" fontId="9" numFmtId="172" xfId="0" applyAlignment="1" applyBorder="1" applyFont="1" applyNumberFormat="1">
      <alignment horizontal="right"/>
    </xf>
    <xf borderId="25" fillId="0" fontId="9" numFmtId="170" xfId="0" applyAlignment="1" applyBorder="1" applyFont="1" applyNumberFormat="1">
      <alignment horizontal="right"/>
    </xf>
    <xf borderId="18" fillId="0" fontId="9" numFmtId="172" xfId="0" applyAlignment="1" applyBorder="1" applyFont="1" applyNumberFormat="1">
      <alignment horizontal="right" vertical="bottom"/>
    </xf>
    <xf borderId="8" fillId="0" fontId="3" numFmtId="0" xfId="0" applyAlignment="1" applyBorder="1" applyFont="1">
      <alignment vertical="bottom"/>
    </xf>
    <xf borderId="26" fillId="0" fontId="9" numFmtId="170" xfId="0" applyAlignment="1" applyBorder="1" applyFont="1" applyNumberFormat="1">
      <alignment horizontal="right"/>
    </xf>
    <xf borderId="0" fillId="0" fontId="3" numFmtId="0" xfId="0" applyAlignment="1" applyFont="1">
      <alignment vertical="bottom"/>
    </xf>
    <xf borderId="0" fillId="0" fontId="3" numFmtId="0" xfId="0" applyAlignment="1" applyFont="1">
      <alignment horizontal="right" readingOrder="0" vertical="bottom"/>
    </xf>
    <xf borderId="11" fillId="0" fontId="3" numFmtId="0" xfId="0" applyAlignment="1" applyBorder="1" applyFont="1">
      <alignment horizontal="right" readingOrder="0" vertical="bottom"/>
    </xf>
    <xf borderId="9" fillId="0" fontId="9" numFmtId="0" xfId="0" applyAlignment="1" applyBorder="1" applyFont="1">
      <alignment horizontal="right" readingOrder="0"/>
    </xf>
    <xf borderId="0" fillId="0" fontId="9" numFmtId="3" xfId="0" applyAlignment="1" applyFont="1" applyNumberFormat="1">
      <alignment horizontal="right"/>
    </xf>
    <xf borderId="14" fillId="0" fontId="9" numFmtId="49" xfId="0" applyAlignment="1" applyBorder="1" applyFont="1" applyNumberFormat="1">
      <alignment horizontal="right"/>
    </xf>
    <xf borderId="11" fillId="0" fontId="9" numFmtId="3" xfId="0" applyAlignment="1" applyBorder="1" applyFont="1" applyNumberFormat="1">
      <alignment horizontal="right"/>
    </xf>
    <xf borderId="25" fillId="0" fontId="3" numFmtId="0" xfId="0" applyAlignment="1" applyBorder="1" applyFont="1">
      <alignment horizontal="right" readingOrder="0" vertical="bottom"/>
    </xf>
    <xf borderId="19" fillId="0" fontId="9" numFmtId="170" xfId="0" applyAlignment="1" applyBorder="1" applyFont="1" applyNumberFormat="1">
      <alignment horizontal="right"/>
    </xf>
    <xf borderId="25" fillId="0" fontId="3" numFmtId="1" xfId="0" applyAlignment="1" applyBorder="1" applyFont="1" applyNumberFormat="1">
      <alignment horizontal="right" readingOrder="0" vertical="bottom"/>
    </xf>
    <xf borderId="10"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25" fillId="0" fontId="9" numFmtId="0" xfId="0" applyAlignment="1" applyBorder="1" applyFont="1">
      <alignment horizontal="right"/>
    </xf>
    <xf borderId="31" fillId="0" fontId="3" numFmtId="3" xfId="0" applyAlignment="1" applyBorder="1" applyFont="1" applyNumberFormat="1">
      <alignment horizontal="right" readingOrder="0" vertical="bottom"/>
    </xf>
    <xf borderId="20" fillId="0" fontId="3" numFmtId="3" xfId="0" applyAlignment="1" applyBorder="1" applyFont="1" applyNumberFormat="1">
      <alignment horizontal="right" readingOrder="0" vertical="bottom"/>
    </xf>
    <xf borderId="26" fillId="0" fontId="9" numFmtId="0" xfId="0" applyAlignment="1" applyBorder="1" applyFont="1">
      <alignment horizontal="right"/>
    </xf>
    <xf borderId="20" fillId="0" fontId="9" numFmtId="170" xfId="0" applyAlignment="1" applyBorder="1" applyFont="1" applyNumberFormat="1">
      <alignment horizontal="right"/>
    </xf>
    <xf borderId="14" fillId="0" fontId="3" numFmtId="0" xfId="0" applyAlignment="1" applyBorder="1" applyFont="1">
      <alignment horizontal="right" readingOrder="0" vertical="bottom"/>
    </xf>
    <xf borderId="27" fillId="0" fontId="9" numFmtId="10" xfId="0" applyAlignment="1" applyBorder="1" applyFont="1" applyNumberFormat="1">
      <alignment horizontal="right" readingOrder="0"/>
    </xf>
    <xf borderId="25" fillId="0" fontId="9" numFmtId="0" xfId="0" applyAlignment="1" applyBorder="1" applyFont="1">
      <alignment horizontal="right" readingOrder="0"/>
    </xf>
    <xf borderId="26" fillId="0" fontId="9" numFmtId="0" xfId="0" applyAlignment="1" applyBorder="1" applyFont="1">
      <alignment horizontal="right" readingOrder="0"/>
    </xf>
    <xf borderId="10"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16" fillId="0" fontId="3" numFmtId="1" xfId="0" applyAlignment="1" applyBorder="1" applyFont="1" applyNumberFormat="1">
      <alignment horizontal="right" readingOrder="0" vertical="bottom"/>
    </xf>
    <xf borderId="17" fillId="0" fontId="9" numFmtId="1" xfId="0" applyAlignment="1" applyBorder="1" applyFont="1" applyNumberFormat="1">
      <alignment horizontal="right"/>
    </xf>
    <xf borderId="16" fillId="0" fontId="9" numFmtId="9" xfId="0" applyAlignment="1" applyBorder="1" applyFont="1" applyNumberFormat="1">
      <alignment horizontal="right"/>
    </xf>
    <xf borderId="20" fillId="0" fontId="3" numFmtId="0" xfId="0" applyAlignment="1" applyBorder="1" applyFont="1">
      <alignment horizontal="right" readingOrder="0" vertical="bottom"/>
    </xf>
    <xf borderId="19" fillId="0" fontId="9" numFmtId="165" xfId="0" applyAlignment="1" applyBorder="1" applyFont="1" applyNumberFormat="1">
      <alignment horizontal="right"/>
    </xf>
    <xf borderId="20" fillId="0" fontId="9" numFmtId="165" xfId="0" applyAlignment="1" applyBorder="1" applyFont="1" applyNumberFormat="1">
      <alignment horizontal="right"/>
    </xf>
    <xf borderId="18" fillId="0" fontId="9" numFmtId="9" xfId="0" applyAlignment="1" applyBorder="1" applyFont="1" applyNumberFormat="1">
      <alignment horizontal="right"/>
    </xf>
    <xf borderId="0" fillId="0" fontId="9" numFmtId="10" xfId="0" applyAlignment="1" applyFont="1" applyNumberFormat="1">
      <alignment horizontal="right"/>
    </xf>
    <xf borderId="10" fillId="0" fontId="3" numFmtId="0" xfId="0" applyAlignment="1" applyBorder="1" applyFont="1">
      <alignment readingOrder="0" vertical="bottom"/>
    </xf>
    <xf borderId="10" fillId="0" fontId="3" numFmtId="0" xfId="0" applyAlignment="1" applyBorder="1" applyFont="1">
      <alignment horizontal="right" vertical="bottom"/>
    </xf>
    <xf borderId="10" fillId="0" fontId="3" numFmtId="0" xfId="0" applyAlignment="1" applyBorder="1" applyFont="1">
      <alignment readingOrder="0" shrinkToFit="0" vertical="bottom" wrapText="1"/>
    </xf>
    <xf borderId="13" fillId="0" fontId="3" numFmtId="0" xfId="0" applyAlignment="1" applyBorder="1" applyFont="1">
      <alignment horizontal="right" vertical="bottom"/>
    </xf>
    <xf borderId="13" fillId="0" fontId="3" numFmtId="0" xfId="0" applyAlignment="1" applyBorder="1" applyFont="1">
      <alignment readingOrder="0" shrinkToFit="0" vertical="bottom" wrapText="1"/>
    </xf>
    <xf borderId="18" fillId="0" fontId="9" numFmtId="9" xfId="0" applyAlignment="1" applyBorder="1" applyFont="1" applyNumberFormat="1">
      <alignment horizontal="right" readingOrder="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13" fillId="0" fontId="9" numFmtId="165" xfId="0" applyAlignment="1" applyBorder="1" applyFont="1" applyNumberFormat="1">
      <alignment horizontal="right"/>
    </xf>
    <xf borderId="16" fillId="0" fontId="3" numFmtId="0" xfId="0" applyAlignment="1" applyBorder="1" applyFont="1">
      <alignment readingOrder="0" shrinkToFit="0" vertical="bottom" wrapText="1"/>
    </xf>
    <xf borderId="17" fillId="0" fontId="3" numFmtId="1" xfId="0" applyAlignment="1" applyBorder="1" applyFont="1" applyNumberFormat="1">
      <alignment horizontal="right" vertical="bottom"/>
    </xf>
    <xf borderId="14" fillId="0" fontId="9" numFmtId="165" xfId="0" applyAlignment="1" applyBorder="1" applyFont="1" applyNumberFormat="1">
      <alignment horizontal="right"/>
    </xf>
    <xf borderId="8" fillId="0" fontId="3" numFmtId="0" xfId="0" applyAlignment="1" applyBorder="1" applyFont="1">
      <alignment readingOrder="0" shrinkToFit="0" vertical="bottom" wrapText="0"/>
    </xf>
    <xf borderId="10" fillId="0" fontId="3" numFmtId="0" xfId="0" applyAlignment="1" applyBorder="1" applyFont="1">
      <alignment horizontal="right" readingOrder="0" shrinkToFit="0" vertical="bottom" wrapText="0"/>
    </xf>
    <xf borderId="22" fillId="0" fontId="9" numFmtId="9" xfId="0" applyAlignment="1" applyBorder="1" applyFont="1" applyNumberFormat="1">
      <alignment horizontal="right" vertical="bottom"/>
    </xf>
    <xf borderId="12" fillId="0" fontId="9" numFmtId="3" xfId="0" applyAlignment="1" applyBorder="1" applyFont="1" applyNumberFormat="1">
      <alignment horizontal="right" vertical="bottom"/>
    </xf>
    <xf borderId="19" fillId="0" fontId="3" numFmtId="0" xfId="0" applyAlignment="1" applyBorder="1" applyFont="1">
      <alignment horizontal="right" readingOrder="0" shrinkToFit="0" vertical="bottom" wrapText="0"/>
    </xf>
    <xf borderId="19" fillId="0" fontId="9" numFmtId="9" xfId="0" applyAlignment="1" applyBorder="1" applyFont="1" applyNumberFormat="1">
      <alignment horizontal="right" vertical="bottom"/>
    </xf>
    <xf borderId="20" fillId="0" fontId="9" numFmtId="9" xfId="0" applyAlignment="1" applyBorder="1" applyFont="1" applyNumberFormat="1">
      <alignment horizontal="right" vertical="bottom"/>
    </xf>
    <xf borderId="0" fillId="0" fontId="3" numFmtId="0" xfId="0" applyAlignment="1" applyFont="1">
      <alignment horizontal="right" readingOrder="0" shrinkToFit="0" vertical="bottom" wrapText="0"/>
    </xf>
    <xf borderId="0" fillId="0" fontId="3" numFmtId="0" xfId="0" applyAlignment="1" applyFont="1">
      <alignment readingOrder="0" vertical="bottom"/>
    </xf>
    <xf borderId="0" fillId="0" fontId="9" numFmtId="0" xfId="0" applyAlignment="1" applyFont="1">
      <alignment readingOrder="0" vertical="bottom"/>
    </xf>
    <xf borderId="16" fillId="0" fontId="3" numFmtId="0" xfId="0" applyAlignment="1" applyBorder="1" applyFont="1">
      <alignment readingOrder="0" vertical="bottom"/>
    </xf>
    <xf borderId="17" fillId="0" fontId="9" numFmtId="9" xfId="0" applyAlignment="1" applyBorder="1" applyFont="1" applyNumberFormat="1">
      <alignment horizontal="right" readingOrder="0"/>
    </xf>
    <xf borderId="23" fillId="0" fontId="9" numFmtId="0" xfId="0" applyAlignment="1" applyBorder="1" applyFont="1">
      <alignment horizontal="right" readingOrder="0"/>
    </xf>
    <xf borderId="5" fillId="3" fontId="1" numFmtId="0" xfId="0" applyAlignment="1" applyBorder="1" applyFill="1" applyFont="1">
      <alignment readingOrder="0" vertical="bottom"/>
    </xf>
    <xf borderId="21" fillId="3" fontId="9" numFmtId="0" xfId="0" applyAlignment="1" applyBorder="1" applyFill="1" applyFont="1">
      <alignment horizontal="right" readingOrder="0"/>
    </xf>
    <xf borderId="6" fillId="3" fontId="9" numFmtId="3" xfId="0" applyAlignment="1" applyBorder="1" applyFill="1" applyFont="1" applyNumberFormat="1">
      <alignment horizontal="right"/>
    </xf>
    <xf borderId="7" fillId="3" fontId="9" numFmtId="3" xfId="0" applyAlignment="1" applyBorder="1" applyFill="1" applyFont="1" applyNumberFormat="1">
      <alignment horizontal="right"/>
    </xf>
    <xf borderId="0" fillId="0" fontId="9" numFmtId="4" xfId="0" applyAlignment="1" applyFont="1" applyNumberFormat="1">
      <alignment horizontal="right"/>
    </xf>
    <xf borderId="16" fillId="0" fontId="3" numFmtId="0" xfId="0" applyAlignment="1" applyBorder="1" applyFont="1">
      <alignment horizontal="right" readingOrder="0" vertical="bottom"/>
    </xf>
    <xf borderId="9" fillId="0" fontId="9" numFmtId="0" xfId="0" applyAlignment="1" applyBorder="1" applyFont="1">
      <alignment horizontal="right" readingOrder="0"/>
    </xf>
    <xf borderId="11" fillId="0" fontId="9" numFmtId="9" xfId="0" applyAlignment="1" applyBorder="1" applyFont="1" applyNumberFormat="1">
      <alignment horizontal="right"/>
    </xf>
    <xf borderId="11" fillId="0" fontId="47" numFmtId="0" xfId="0" applyBorder="1" applyFont="1"/>
    <xf borderId="0" fillId="0" fontId="3" numFmtId="10" xfId="0" applyAlignment="1" applyFont="1" applyNumberFormat="1">
      <alignment horizontal="right" vertical="bottom"/>
    </xf>
    <xf borderId="12" fillId="0" fontId="48" numFmtId="0" xfId="0" applyAlignment="1" applyBorder="1" applyFont="1">
      <alignment readingOrder="0"/>
    </xf>
    <xf borderId="20" fillId="0" fontId="49" numFmtId="0" xfId="0" applyAlignment="1" applyBorder="1" applyFont="1">
      <alignment readingOrder="0"/>
    </xf>
    <xf borderId="10" fillId="0" fontId="3" numFmtId="170" xfId="0" applyAlignment="1" applyBorder="1" applyFont="1" applyNumberFormat="1">
      <alignment horizontal="right" readingOrder="0" vertical="bottom"/>
    </xf>
    <xf borderId="15" fillId="0" fontId="3" numFmtId="0" xfId="0" applyAlignment="1" applyBorder="1" applyFont="1">
      <alignment vertical="bottom"/>
    </xf>
    <xf borderId="16" fillId="0" fontId="3" numFmtId="0" xfId="0" applyAlignment="1" applyBorder="1" applyFont="1">
      <alignment vertical="bottom"/>
    </xf>
    <xf borderId="28" fillId="0" fontId="3" numFmtId="170" xfId="0" applyAlignment="1" applyBorder="1" applyFont="1" applyNumberFormat="1">
      <alignment horizontal="right" readingOrder="0" vertical="bottom"/>
    </xf>
    <xf borderId="17" fillId="0" fontId="9" numFmtId="0" xfId="0" applyAlignment="1" applyBorder="1" applyFont="1">
      <alignment horizontal="right" readingOrder="0"/>
    </xf>
    <xf borderId="12" fillId="0" fontId="3" numFmtId="170" xfId="0" applyAlignment="1" applyBorder="1" applyFont="1" applyNumberFormat="1">
      <alignment horizontal="right" readingOrder="0" vertical="bottom"/>
    </xf>
    <xf borderId="20" fillId="0" fontId="50" numFmtId="1" xfId="0" applyAlignment="1" applyBorder="1" applyFont="1" applyNumberFormat="1">
      <alignment horizontal="left" readingOrder="0" shrinkToFit="0" vertical="bottom" wrapText="0"/>
    </xf>
    <xf borderId="0" fillId="0" fontId="3" numFmtId="0" xfId="0" applyAlignment="1" applyFont="1">
      <alignment readingOrder="0" shrinkToFit="0" vertical="bottom" wrapText="1"/>
    </xf>
    <xf borderId="16" fillId="0" fontId="3" numFmtId="170" xfId="0" applyAlignment="1" applyBorder="1" applyFont="1" applyNumberFormat="1">
      <alignment horizontal="right" readingOrder="0" vertical="bottom"/>
    </xf>
    <xf borderId="15" fillId="0" fontId="3" numFmtId="170" xfId="0" applyAlignment="1" applyBorder="1" applyFont="1" applyNumberFormat="1">
      <alignment horizontal="right" readingOrder="0" vertical="bottom"/>
    </xf>
    <xf borderId="18" fillId="0" fontId="3" numFmtId="170" xfId="0" applyAlignment="1" applyBorder="1" applyFont="1" applyNumberFormat="1">
      <alignment horizontal="right" readingOrder="0" vertical="bottom"/>
    </xf>
    <xf borderId="15" fillId="0" fontId="3" numFmtId="9" xfId="0" applyAlignment="1" applyBorder="1" applyFont="1" applyNumberFormat="1">
      <alignment horizontal="right" readingOrder="0" vertical="bottom"/>
    </xf>
    <xf borderId="18" fillId="0" fontId="3" numFmtId="9" xfId="0" applyAlignment="1" applyBorder="1" applyFont="1" applyNumberFormat="1">
      <alignment horizontal="right" readingOrder="0" vertical="bottom"/>
    </xf>
    <xf borderId="0" fillId="0" fontId="51" numFmtId="0" xfId="0" applyAlignment="1" applyFont="1">
      <alignment horizontal="left" readingOrder="0" shrinkToFit="0" wrapText="0"/>
    </xf>
    <xf borderId="23" fillId="0" fontId="3" numFmtId="9" xfId="0" applyAlignment="1" applyBorder="1" applyFont="1" applyNumberFormat="1">
      <alignment horizontal="right" readingOrder="0"/>
    </xf>
    <xf borderId="29" fillId="0" fontId="3" numFmtId="0" xfId="0" applyAlignment="1" applyBorder="1" applyFont="1">
      <alignment horizontal="right" readingOrder="0"/>
    </xf>
    <xf borderId="13" fillId="0" fontId="3" numFmtId="0" xfId="0" applyAlignment="1" applyBorder="1" applyFont="1">
      <alignment horizontal="left" readingOrder="0" shrinkToFit="0" wrapText="0"/>
    </xf>
    <xf borderId="1" fillId="0" fontId="7" numFmtId="0" xfId="0" applyAlignment="1" applyBorder="1" applyFont="1">
      <alignment vertical="bottom"/>
    </xf>
    <xf borderId="32" fillId="0" fontId="7" numFmtId="0" xfId="0" applyAlignment="1" applyBorder="1" applyFont="1">
      <alignment vertical="bottom"/>
    </xf>
    <xf borderId="14" fillId="0" fontId="52" numFmtId="1" xfId="0" applyAlignment="1" applyBorder="1" applyFont="1" applyNumberFormat="1">
      <alignment horizontal="left" readingOrder="0" shrinkToFit="0" vertical="bottom" wrapText="0"/>
    </xf>
    <xf borderId="32" fillId="0" fontId="7" numFmtId="3" xfId="0" applyAlignment="1" applyBorder="1" applyFont="1" applyNumberFormat="1">
      <alignment vertical="bottom"/>
    </xf>
    <xf borderId="2" fillId="0" fontId="47" numFmtId="0" xfId="0" applyBorder="1" applyFont="1"/>
    <xf borderId="14" fillId="0" fontId="3" numFmtId="1" xfId="0" applyAlignment="1" applyBorder="1" applyFont="1" applyNumberFormat="1">
      <alignment horizontal="left" readingOrder="0" shrinkToFit="0" vertical="bottom" wrapText="0"/>
    </xf>
    <xf borderId="32" fillId="0" fontId="7" numFmtId="49" xfId="0" applyAlignment="1" applyBorder="1" applyFont="1" applyNumberFormat="1">
      <alignment vertical="bottom"/>
    </xf>
    <xf borderId="4" fillId="0" fontId="47" numFmtId="0" xfId="0" applyBorder="1" applyFont="1"/>
    <xf borderId="33" fillId="0" fontId="53" numFmtId="0" xfId="0" applyAlignment="1" applyBorder="1" applyFont="1">
      <alignment vertical="bottom"/>
    </xf>
    <xf borderId="0" fillId="0" fontId="3" numFmtId="3" xfId="0" applyAlignment="1" applyFont="1" applyNumberFormat="1">
      <alignment horizontal="right"/>
    </xf>
    <xf borderId="8" fillId="0" fontId="3" numFmtId="3" xfId="0" applyAlignment="1" applyBorder="1" applyFont="1" applyNumberFormat="1">
      <alignment horizontal="right"/>
    </xf>
    <xf borderId="11" fillId="0" fontId="3" numFmtId="3" xfId="0" applyAlignment="1" applyBorder="1" applyFont="1" applyNumberFormat="1">
      <alignment horizontal="right"/>
    </xf>
    <xf borderId="10" fillId="0" fontId="9" numFmtId="0" xfId="0" applyAlignment="1" applyBorder="1" applyFont="1">
      <alignment readingOrder="0" vertical="bottom"/>
    </xf>
    <xf borderId="34" fillId="3" fontId="54" numFmtId="0" xfId="0" applyAlignment="1" applyBorder="1" applyFill="1" applyFont="1">
      <alignment horizontal="center" readingOrder="0" vertical="bottom"/>
    </xf>
    <xf borderId="22" fillId="0" fontId="3" numFmtId="2" xfId="0" applyAlignment="1" applyBorder="1" applyFont="1" applyNumberFormat="1">
      <alignment horizontal="right" readingOrder="0"/>
    </xf>
    <xf borderId="35" fillId="0" fontId="2" numFmtId="0" xfId="0" applyBorder="1" applyFont="1"/>
    <xf borderId="0" fillId="0" fontId="55" numFmtId="0" xfId="0" applyFont="1"/>
    <xf borderId="24" fillId="0" fontId="3" numFmtId="9" xfId="0" applyAlignment="1" applyBorder="1" applyFont="1" applyNumberFormat="1">
      <alignment horizontal="right" readingOrder="0"/>
    </xf>
    <xf borderId="31" fillId="0" fontId="3" numFmtId="3" xfId="0" applyAlignment="1" applyBorder="1" applyFont="1" applyNumberFormat="1">
      <alignment horizontal="right" readingOrder="0"/>
    </xf>
    <xf borderId="36" fillId="3" fontId="56" numFmtId="0" xfId="0" applyAlignment="1" applyBorder="1" applyFill="1" applyFont="1">
      <alignment horizontal="center" readingOrder="0" vertical="bottom"/>
    </xf>
    <xf borderId="20" fillId="0" fontId="3" numFmtId="3" xfId="0" applyAlignment="1" applyBorder="1" applyFont="1" applyNumberFormat="1">
      <alignment horizontal="right" readingOrder="0"/>
    </xf>
    <xf borderId="37" fillId="0" fontId="2" numFmtId="0" xfId="0" applyBorder="1" applyFont="1"/>
    <xf borderId="19" fillId="0" fontId="3" numFmtId="0" xfId="0" applyAlignment="1" applyBorder="1" applyFont="1">
      <alignment horizontal="left" readingOrder="0" shrinkToFit="0" wrapText="0"/>
    </xf>
    <xf borderId="20" fillId="0" fontId="3" numFmtId="0" xfId="0" applyAlignment="1" applyBorder="1" applyFont="1">
      <alignment horizontal="left" shrinkToFit="0" wrapText="0"/>
    </xf>
    <xf borderId="38" fillId="0" fontId="2" numFmtId="0" xfId="0" applyBorder="1" applyFont="1"/>
    <xf borderId="11" fillId="0" fontId="55" numFmtId="0" xfId="0" applyBorder="1" applyFont="1"/>
    <xf borderId="33" fillId="0" fontId="7" numFmtId="0" xfId="0" applyAlignment="1" applyBorder="1" applyFont="1">
      <alignment vertical="bottom"/>
    </xf>
    <xf borderId="39" fillId="2" fontId="57" numFmtId="0" xfId="0" applyAlignment="1" applyBorder="1" applyFill="1" applyFont="1">
      <alignment readingOrder="0" vertical="bottom"/>
    </xf>
    <xf borderId="17" fillId="2" fontId="57" numFmtId="0" xfId="0" applyAlignment="1" applyBorder="1" applyFill="1" applyFont="1">
      <alignment readingOrder="0" vertical="bottom"/>
    </xf>
    <xf borderId="6" fillId="3" fontId="3" numFmtId="0" xfId="0" applyAlignment="1" applyBorder="1" applyFill="1" applyFont="1">
      <alignment horizontal="left" shrinkToFit="0" vertical="bottom" wrapText="0"/>
    </xf>
    <xf borderId="17" fillId="2" fontId="57" numFmtId="3" xfId="0" applyAlignment="1" applyBorder="1" applyFill="1" applyFont="1" applyNumberFormat="1">
      <alignment readingOrder="0" vertical="bottom"/>
    </xf>
    <xf borderId="40" fillId="2" fontId="57" numFmtId="3" xfId="0" applyAlignment="1" applyBorder="1" applyFill="1" applyFont="1" applyNumberFormat="1">
      <alignment readingOrder="0" vertical="bottom"/>
    </xf>
    <xf borderId="22" fillId="0" fontId="3" numFmtId="1" xfId="0" applyAlignment="1" applyBorder="1" applyFont="1" applyNumberFormat="1">
      <alignment horizontal="right" readingOrder="0"/>
    </xf>
    <xf borderId="17" fillId="2" fontId="57" numFmtId="49" xfId="0" applyAlignment="1" applyBorder="1" applyFill="1" applyFont="1" applyNumberFormat="1">
      <alignment readingOrder="0" vertical="bottom"/>
    </xf>
    <xf borderId="41" fillId="0" fontId="47" numFmtId="0" xfId="0" applyAlignment="1" applyBorder="1" applyFont="1">
      <alignment readingOrder="0"/>
    </xf>
    <xf borderId="9" fillId="0" fontId="47" numFmtId="0" xfId="0" applyAlignment="1" applyBorder="1" applyFont="1">
      <alignment readingOrder="0"/>
    </xf>
    <xf borderId="9" fillId="0" fontId="47" numFmtId="3" xfId="0" applyAlignment="1" applyBorder="1" applyFont="1" applyNumberFormat="1">
      <alignment readingOrder="0"/>
    </xf>
    <xf borderId="33" fillId="0" fontId="47" numFmtId="3" xfId="0" applyAlignment="1" applyBorder="1" applyFont="1" applyNumberFormat="1">
      <alignment readingOrder="0"/>
    </xf>
    <xf borderId="28" fillId="0" fontId="3" numFmtId="0" xfId="0" applyAlignment="1" applyBorder="1" applyFont="1">
      <alignment horizontal="right" readingOrder="0"/>
    </xf>
    <xf borderId="12" fillId="0" fontId="3" numFmtId="0" xfId="0" applyAlignment="1" applyBorder="1" applyFont="1">
      <alignment horizontal="right" readingOrder="0"/>
    </xf>
    <xf borderId="28" fillId="0" fontId="3" numFmtId="0" xfId="0" applyAlignment="1" applyBorder="1" applyFont="1">
      <alignment horizontal="left" readingOrder="0" shrinkToFit="0" wrapText="0"/>
    </xf>
    <xf borderId="41" fillId="3" fontId="7" numFmtId="0" xfId="0" applyAlignment="1" applyBorder="1" applyFill="1" applyFont="1">
      <alignment readingOrder="0" vertical="bottom"/>
    </xf>
    <xf borderId="9" fillId="3" fontId="7" numFmtId="0" xfId="0" applyAlignment="1" applyBorder="1" applyFill="1" applyFont="1">
      <alignment readingOrder="0" vertical="bottom"/>
    </xf>
    <xf borderId="9" fillId="3" fontId="7" numFmtId="0" xfId="0" applyAlignment="1" applyBorder="1" applyFill="1" applyFont="1">
      <alignment horizontal="right" readingOrder="0" vertical="bottom"/>
    </xf>
    <xf borderId="9" fillId="4" fontId="7" numFmtId="49" xfId="0" applyAlignment="1" applyBorder="1" applyFill="1" applyFont="1" applyNumberFormat="1">
      <alignment horizontal="right" readingOrder="0" vertical="bottom"/>
    </xf>
    <xf borderId="9" fillId="3" fontId="7" numFmtId="3" xfId="0" applyAlignment="1" applyBorder="1" applyFill="1" applyFont="1" applyNumberFormat="1">
      <alignment horizontal="right" readingOrder="0" vertical="bottom"/>
    </xf>
    <xf borderId="12" fillId="0" fontId="58" numFmtId="0" xfId="0" applyAlignment="1" applyBorder="1" applyFont="1">
      <alignment horizontal="left" readingOrder="0" shrinkToFit="0" wrapText="0"/>
    </xf>
    <xf borderId="33" fillId="3" fontId="7" numFmtId="3" xfId="0" applyAlignment="1" applyBorder="1" applyFill="1" applyFont="1" applyNumberFormat="1">
      <alignment horizontal="right" readingOrder="0" vertical="bottom"/>
    </xf>
    <xf borderId="22" fillId="0" fontId="3" numFmtId="170" xfId="0" applyAlignment="1" applyBorder="1" applyFont="1" applyNumberFormat="1">
      <alignment horizontal="right" readingOrder="0"/>
    </xf>
    <xf borderId="9" fillId="4" fontId="7" numFmtId="49" xfId="0" applyAlignment="1" applyBorder="1" applyFill="1" applyFont="1" applyNumberFormat="1">
      <alignment horizontal="left" readingOrder="0" vertical="bottom"/>
    </xf>
    <xf borderId="24" fillId="0" fontId="3" numFmtId="170" xfId="0" applyAlignment="1" applyBorder="1" applyFont="1" applyNumberFormat="1">
      <alignment horizontal="right" readingOrder="0"/>
    </xf>
    <xf borderId="41" fillId="4" fontId="7" numFmtId="0" xfId="0" applyAlignment="1" applyBorder="1" applyFill="1" applyFont="1">
      <alignment readingOrder="0" vertical="bottom"/>
    </xf>
    <xf borderId="9" fillId="4" fontId="7" numFmtId="0" xfId="0" applyAlignment="1" applyBorder="1" applyFill="1" applyFont="1">
      <alignment readingOrder="0" vertical="bottom"/>
    </xf>
    <xf borderId="9" fillId="4" fontId="7" numFmtId="0" xfId="0" applyAlignment="1" applyBorder="1" applyFill="1" applyFont="1">
      <alignment horizontal="right" readingOrder="0" vertical="bottom"/>
    </xf>
    <xf borderId="9" fillId="4" fontId="7" numFmtId="3" xfId="0" applyAlignment="1" applyBorder="1" applyFill="1" applyFont="1" applyNumberFormat="1">
      <alignment horizontal="right" readingOrder="0" vertical="bottom"/>
    </xf>
    <xf borderId="33" fillId="4" fontId="7" numFmtId="3" xfId="0" applyAlignment="1" applyBorder="1" applyFill="1" applyFont="1" applyNumberFormat="1">
      <alignment horizontal="right" readingOrder="0" vertical="bottom"/>
    </xf>
    <xf borderId="31" fillId="0" fontId="3" numFmtId="0" xfId="0" applyAlignment="1" applyBorder="1" applyFont="1">
      <alignment horizontal="right" readingOrder="0"/>
    </xf>
    <xf borderId="20" fillId="0" fontId="3" numFmtId="0" xfId="0" applyAlignment="1" applyBorder="1" applyFont="1">
      <alignment horizontal="right" readingOrder="0"/>
    </xf>
    <xf borderId="18" fillId="0" fontId="59" numFmtId="0" xfId="0" applyAlignment="1" applyBorder="1" applyFont="1">
      <alignment horizontal="left" readingOrder="0" shrinkToFit="0" wrapText="0"/>
    </xf>
    <xf borderId="23" fillId="0" fontId="9" numFmtId="173" xfId="0" applyAlignment="1" applyBorder="1" applyFont="1" applyNumberFormat="1">
      <alignment horizontal="right" readingOrder="0"/>
    </xf>
    <xf borderId="9" fillId="0" fontId="3" numFmtId="170" xfId="0" applyAlignment="1" applyBorder="1" applyFont="1" applyNumberFormat="1">
      <alignment horizontal="right" readingOrder="0"/>
    </xf>
    <xf borderId="0" fillId="0" fontId="3" numFmtId="170" xfId="0" applyAlignment="1" applyFont="1" applyNumberFormat="1">
      <alignment horizontal="right" readingOrder="0"/>
    </xf>
    <xf borderId="8" fillId="0" fontId="3" numFmtId="170" xfId="0" applyAlignment="1" applyBorder="1" applyFont="1" applyNumberFormat="1">
      <alignment horizontal="right" readingOrder="0"/>
    </xf>
    <xf borderId="13" fillId="0" fontId="9" numFmtId="173" xfId="0" applyAlignment="1" applyBorder="1" applyFont="1" applyNumberFormat="1">
      <alignment horizontal="right"/>
    </xf>
    <xf borderId="11" fillId="0" fontId="3" numFmtId="170" xfId="0" applyAlignment="1" applyBorder="1" applyFont="1" applyNumberFormat="1">
      <alignment horizontal="right" readingOrder="0"/>
    </xf>
    <xf borderId="11" fillId="0" fontId="60" numFmtId="0" xfId="0" applyAlignment="1" applyBorder="1" applyFont="1">
      <alignment horizontal="left" readingOrder="0" shrinkToFit="0" wrapText="0"/>
    </xf>
    <xf borderId="0" fillId="0" fontId="61" numFmtId="0" xfId="0" applyAlignment="1" applyFont="1">
      <alignment vertical="bottom"/>
    </xf>
    <xf borderId="16" fillId="0" fontId="3" numFmtId="0" xfId="0" applyAlignment="1" applyBorder="1" applyFont="1">
      <alignment shrinkToFit="0" vertical="bottom" wrapText="1"/>
    </xf>
    <xf borderId="17" fillId="0" fontId="3" numFmtId="172" xfId="0" applyAlignment="1" applyBorder="1" applyFont="1" applyNumberFormat="1">
      <alignment horizontal="right" readingOrder="0"/>
    </xf>
    <xf borderId="16" fillId="0" fontId="3" numFmtId="170" xfId="0" applyAlignment="1" applyBorder="1" applyFont="1" applyNumberFormat="1">
      <alignment horizontal="right" readingOrder="0"/>
    </xf>
    <xf borderId="15" fillId="0" fontId="3" numFmtId="170" xfId="0" applyAlignment="1" applyBorder="1" applyFont="1" applyNumberFormat="1">
      <alignment horizontal="right" readingOrder="0"/>
    </xf>
    <xf borderId="18" fillId="0" fontId="3" numFmtId="170" xfId="0" applyAlignment="1" applyBorder="1" applyFont="1" applyNumberFormat="1">
      <alignment horizontal="right" readingOrder="0"/>
    </xf>
    <xf borderId="14" fillId="0" fontId="9" numFmtId="173" xfId="0" applyAlignment="1" applyBorder="1" applyFont="1" applyNumberFormat="1">
      <alignment horizontal="right"/>
    </xf>
    <xf borderId="19" fillId="0" fontId="4" numFmtId="0" xfId="0" applyAlignment="1" applyBorder="1" applyFont="1">
      <alignment readingOrder="0" shrinkToFit="0" vertical="bottom" wrapText="1"/>
    </xf>
    <xf borderId="19" fillId="0" fontId="1" numFmtId="0" xfId="0" applyAlignment="1" applyBorder="1" applyFont="1">
      <alignment horizontal="right" readingOrder="0" vertical="bottom"/>
    </xf>
    <xf borderId="20" fillId="0" fontId="1" numFmtId="0" xfId="0" applyAlignment="1" applyBorder="1" applyFont="1">
      <alignment horizontal="right" readingOrder="0" vertical="bottom"/>
    </xf>
    <xf borderId="24" fillId="0" fontId="4" numFmtId="164" xfId="0" applyAlignment="1" applyBorder="1" applyFont="1" applyNumberFormat="1">
      <alignment horizontal="right" readingOrder="0"/>
    </xf>
    <xf borderId="19" fillId="0" fontId="4" numFmtId="164" xfId="0" applyAlignment="1" applyBorder="1" applyFont="1" applyNumberFormat="1">
      <alignment horizontal="right"/>
    </xf>
    <xf borderId="22" fillId="0" fontId="3" numFmtId="9" xfId="0" applyAlignment="1" applyBorder="1" applyFont="1" applyNumberFormat="1">
      <alignment horizontal="right" readingOrder="0"/>
    </xf>
    <xf borderId="10" fillId="0" fontId="3" numFmtId="0" xfId="0" applyAlignment="1" applyBorder="1" applyFont="1">
      <alignment horizontal="left" shrinkToFit="0" wrapText="0"/>
    </xf>
    <xf borderId="12" fillId="0" fontId="3" numFmtId="0" xfId="0" applyAlignment="1" applyBorder="1" applyFont="1">
      <alignment readingOrder="0"/>
    </xf>
    <xf borderId="20" fillId="0" fontId="4" numFmtId="164" xfId="0" applyAlignment="1" applyBorder="1" applyFont="1" applyNumberFormat="1">
      <alignment horizontal="right"/>
    </xf>
    <xf borderId="14" fillId="0" fontId="3" numFmtId="0" xfId="0" applyAlignment="1" applyBorder="1" applyFont="1">
      <alignment horizontal="left" readingOrder="0" shrinkToFit="0" wrapText="0"/>
    </xf>
    <xf borderId="0" fillId="0" fontId="62" numFmtId="0" xfId="0" applyAlignment="1" applyFont="1">
      <alignment readingOrder="0" shrinkToFit="0" vertical="bottom" wrapText="1"/>
    </xf>
    <xf borderId="0" fillId="0" fontId="1" numFmtId="0" xfId="0" applyAlignment="1" applyFont="1">
      <alignment horizontal="right" readingOrder="0" vertical="bottom"/>
    </xf>
    <xf borderId="11" fillId="0" fontId="1" numFmtId="0" xfId="0" applyAlignment="1" applyBorder="1" applyFont="1">
      <alignment horizontal="right" readingOrder="0" vertical="bottom"/>
    </xf>
    <xf borderId="9" fillId="0" fontId="4" numFmtId="164" xfId="0" applyAlignment="1" applyBorder="1" applyFont="1" applyNumberFormat="1">
      <alignment horizontal="right" readingOrder="0"/>
    </xf>
    <xf borderId="0" fillId="0" fontId="62" numFmtId="164" xfId="0" applyAlignment="1" applyFont="1" applyNumberFormat="1">
      <alignment horizontal="right" readingOrder="0"/>
    </xf>
    <xf borderId="23" fillId="0" fontId="3" numFmtId="9" xfId="0" applyAlignment="1" applyBorder="1" applyFont="1" applyNumberFormat="1">
      <alignment horizontal="right"/>
    </xf>
    <xf borderId="11" fillId="0" fontId="62" numFmtId="164" xfId="0" applyAlignment="1" applyBorder="1" applyFont="1" applyNumberFormat="1">
      <alignment horizontal="right" readingOrder="0"/>
    </xf>
    <xf borderId="13" fillId="0" fontId="3" numFmtId="9" xfId="0" applyAlignment="1" applyBorder="1" applyFont="1" applyNumberFormat="1">
      <alignment horizontal="right"/>
    </xf>
    <xf borderId="29" fillId="0" fontId="3" numFmtId="9" xfId="0" applyAlignment="1" applyBorder="1" applyFont="1" applyNumberFormat="1">
      <alignment horizontal="right"/>
    </xf>
    <xf borderId="14" fillId="0" fontId="3" numFmtId="9" xfId="0" applyAlignment="1" applyBorder="1" applyFont="1" applyNumberFormat="1">
      <alignment horizontal="right"/>
    </xf>
    <xf borderId="13" fillId="0" fontId="3" numFmtId="0" xfId="0" applyAlignment="1" applyBorder="1" applyFont="1">
      <alignment horizontal="left" shrinkToFit="0" wrapText="0"/>
    </xf>
    <xf borderId="14" fillId="0" fontId="3" numFmtId="0" xfId="0" applyAlignment="1" applyBorder="1" applyFont="1">
      <alignment horizontal="left" shrinkToFit="0" wrapText="0"/>
    </xf>
    <xf borderId="13" fillId="0" fontId="9" numFmtId="0" xfId="0" applyAlignment="1" applyBorder="1" applyFont="1">
      <alignment readingOrder="0" shrinkToFit="0" vertical="bottom" wrapText="1"/>
    </xf>
    <xf borderId="20" fillId="0" fontId="3" numFmtId="0" xfId="0" applyAlignment="1" applyBorder="1" applyFont="1">
      <alignment horizontal="left" readingOrder="0" shrinkToFit="0" wrapText="0"/>
    </xf>
    <xf borderId="0" fillId="0" fontId="3" numFmtId="9" xfId="0" applyAlignment="1" applyFont="1" applyNumberFormat="1">
      <alignment horizontal="right"/>
    </xf>
    <xf borderId="12" fillId="0" fontId="63" numFmtId="0" xfId="0" applyAlignment="1" applyBorder="1" applyFont="1">
      <alignment horizontal="left" readingOrder="0" shrinkToFit="0" wrapText="0"/>
    </xf>
    <xf borderId="8" fillId="0" fontId="47" numFmtId="0" xfId="0" applyBorder="1" applyFont="1"/>
    <xf borderId="0" fillId="0" fontId="47" numFmtId="0" xfId="0" applyAlignment="1" applyFont="1">
      <alignment shrinkToFit="0" wrapText="1"/>
    </xf>
    <xf borderId="9" fillId="0" fontId="47" numFmtId="0" xfId="0" applyBorder="1" applyFont="1"/>
    <xf borderId="19" fillId="0" fontId="3" numFmtId="0" xfId="0" applyAlignment="1" applyBorder="1" applyFont="1">
      <alignment readingOrder="0" shrinkToFit="0" wrapText="1"/>
    </xf>
    <xf borderId="22" fillId="0" fontId="3" numFmtId="172" xfId="0" applyAlignment="1" applyBorder="1" applyFont="1" applyNumberFormat="1">
      <alignment horizontal="right" readingOrder="0"/>
    </xf>
    <xf borderId="28" fillId="0" fontId="3" numFmtId="0" xfId="0" applyAlignment="1" applyBorder="1" applyFont="1">
      <alignment horizontal="right" readingOrder="0"/>
    </xf>
    <xf borderId="12" fillId="0" fontId="64" numFmtId="0" xfId="0" applyAlignment="1" applyBorder="1" applyFont="1">
      <alignment readingOrder="0"/>
    </xf>
    <xf borderId="16" fillId="0" fontId="3" numFmtId="172" xfId="0" applyAlignment="1" applyBorder="1" applyFont="1" applyNumberFormat="1">
      <alignment horizontal="right" readingOrder="0"/>
    </xf>
    <xf borderId="15" fillId="0" fontId="3" numFmtId="172" xfId="0" applyAlignment="1" applyBorder="1" applyFont="1" applyNumberFormat="1">
      <alignment horizontal="right" readingOrder="0"/>
    </xf>
    <xf borderId="18" fillId="0" fontId="3" numFmtId="172" xfId="0" applyAlignment="1" applyBorder="1" applyFont="1" applyNumberFormat="1">
      <alignment horizontal="right" readingOrder="0"/>
    </xf>
    <xf borderId="18" fillId="0" fontId="65" numFmtId="0" xfId="0" applyAlignment="1" applyBorder="1" applyFont="1">
      <alignment readingOrder="0"/>
    </xf>
    <xf borderId="15" fillId="0" fontId="3" numFmtId="0" xfId="0" applyAlignment="1" applyBorder="1" applyFont="1">
      <alignment vertical="bottom"/>
    </xf>
    <xf borderId="16" fillId="0" fontId="3" numFmtId="0" xfId="0" applyAlignment="1" applyBorder="1" applyFont="1">
      <alignment vertical="bottom"/>
    </xf>
    <xf borderId="16" fillId="0" fontId="3" numFmtId="0" xfId="0" applyAlignment="1" applyBorder="1" applyFont="1">
      <alignment shrinkToFit="0" vertical="bottom" wrapText="1"/>
    </xf>
    <xf borderId="16" fillId="0" fontId="3" numFmtId="0" xfId="0" applyAlignment="1" applyBorder="1" applyFont="1">
      <alignment horizontal="right" vertical="bottom"/>
    </xf>
    <xf borderId="18" fillId="0" fontId="3" numFmtId="0" xfId="0" applyAlignment="1" applyBorder="1" applyFont="1">
      <alignment horizontal="right" vertical="bottom"/>
    </xf>
    <xf borderId="17" fillId="0" fontId="3" numFmtId="9" xfId="0" applyAlignment="1" applyBorder="1" applyFont="1" applyNumberFormat="1">
      <alignment horizontal="right"/>
    </xf>
    <xf borderId="16" fillId="0" fontId="3" numFmtId="0" xfId="0" applyAlignment="1" applyBorder="1" applyFont="1">
      <alignment horizontal="right"/>
    </xf>
    <xf borderId="18" fillId="0" fontId="3" numFmtId="0" xfId="0" applyAlignment="1" applyBorder="1" applyFont="1">
      <alignment horizontal="right"/>
    </xf>
    <xf borderId="15" fillId="0" fontId="3" numFmtId="0" xfId="0" applyAlignment="1" applyBorder="1" applyFont="1">
      <alignment horizontal="right"/>
    </xf>
    <xf borderId="16" fillId="0" fontId="3" numFmtId="0" xfId="0" applyAlignment="1" applyBorder="1" applyFont="1">
      <alignment horizontal="left" shrinkToFit="0" wrapText="0"/>
    </xf>
    <xf borderId="16" fillId="0" fontId="9" numFmtId="167" xfId="0" applyAlignment="1" applyBorder="1" applyFont="1" applyNumberFormat="1">
      <alignment horizontal="right"/>
    </xf>
    <xf borderId="18" fillId="0" fontId="9" numFmtId="167" xfId="0" applyAlignment="1" applyBorder="1" applyFont="1" applyNumberFormat="1">
      <alignment horizontal="right"/>
    </xf>
    <xf borderId="16" fillId="0" fontId="9" numFmtId="0" xfId="0" applyAlignment="1" applyBorder="1" applyFont="1">
      <alignment shrinkToFit="0" vertical="bottom" wrapText="1"/>
    </xf>
    <xf borderId="41" fillId="0" fontId="7" numFmtId="0" xfId="0" applyAlignment="1" applyBorder="1" applyFont="1">
      <alignment readingOrder="0" vertical="bottom"/>
    </xf>
    <xf borderId="9" fillId="0" fontId="7" numFmtId="0" xfId="0" applyAlignment="1" applyBorder="1" applyFont="1">
      <alignment readingOrder="0" vertical="bottom"/>
    </xf>
    <xf borderId="9" fillId="0" fontId="7" numFmtId="3" xfId="0" applyAlignment="1" applyBorder="1" applyFont="1" applyNumberFormat="1">
      <alignment readingOrder="0" vertical="bottom"/>
    </xf>
    <xf borderId="33" fillId="0" fontId="7" numFmtId="3" xfId="0" applyAlignment="1" applyBorder="1" applyFont="1" applyNumberFormat="1">
      <alignment readingOrder="0" vertical="bottom"/>
    </xf>
    <xf borderId="8" fillId="2" fontId="4" numFmtId="0" xfId="0" applyAlignment="1" applyBorder="1" applyFill="1" applyFont="1">
      <alignment horizontal="center" readingOrder="0"/>
    </xf>
    <xf borderId="15" fillId="2" fontId="4" numFmtId="0" xfId="0" applyAlignment="1" applyBorder="1" applyFill="1" applyFont="1">
      <alignment horizontal="center" readingOrder="0"/>
    </xf>
    <xf borderId="6" fillId="3" fontId="9" numFmtId="0" xfId="0" applyAlignment="1" applyBorder="1" applyFill="1" applyFont="1">
      <alignment horizontal="right" shrinkToFit="0" vertical="bottom" wrapText="1"/>
    </xf>
    <xf borderId="7" fillId="3" fontId="9" numFmtId="0" xfId="0" applyAlignment="1" applyBorder="1" applyFill="1" applyFont="1">
      <alignment horizontal="right" shrinkToFit="0" vertical="bottom" wrapText="1"/>
    </xf>
    <xf borderId="0" fillId="0" fontId="9" numFmtId="0" xfId="0" applyAlignment="1" applyFont="1">
      <alignment horizontal="right" shrinkToFit="0" wrapText="1"/>
    </xf>
    <xf borderId="11" fillId="0" fontId="9" numFmtId="0" xfId="0" applyAlignment="1" applyBorder="1" applyFont="1">
      <alignment horizontal="right" shrinkToFit="0" wrapText="1"/>
    </xf>
    <xf borderId="1" fillId="2" fontId="7" numFmtId="0" xfId="0" applyAlignment="1" applyBorder="1" applyFill="1" applyFont="1">
      <alignment vertical="bottom"/>
    </xf>
    <xf borderId="2" fillId="2" fontId="7" numFmtId="0" xfId="0" applyAlignment="1" applyBorder="1" applyFill="1" applyFont="1">
      <alignment vertical="bottom"/>
    </xf>
    <xf borderId="1" fillId="2" fontId="1" numFmtId="0" xfId="0" applyAlignment="1" applyBorder="1" applyFill="1" applyFont="1">
      <alignment horizontal="center" vertical="bottom"/>
    </xf>
    <xf borderId="3" fillId="2" fontId="7" numFmtId="0" xfId="0" applyAlignment="1" applyBorder="1" applyFill="1" applyFont="1">
      <alignment vertical="bottom"/>
    </xf>
    <xf borderId="8" fillId="2" fontId="7" numFmtId="0" xfId="0" applyAlignment="1" applyBorder="1" applyFill="1" applyFont="1">
      <alignment vertical="bottom"/>
    </xf>
    <xf borderId="0" fillId="2" fontId="7" numFmtId="0" xfId="0" applyAlignment="1" applyFill="1" applyFont="1">
      <alignment vertical="bottom"/>
    </xf>
    <xf borderId="1" fillId="2" fontId="1" numFmtId="0" xfId="0" applyAlignment="1" applyBorder="1" applyFill="1" applyFont="1">
      <alignment horizontal="center" shrinkToFit="0" vertical="bottom" wrapText="1"/>
    </xf>
    <xf borderId="11" fillId="2" fontId="7" numFmtId="0" xfId="0" applyAlignment="1" applyBorder="1" applyFill="1" applyFont="1">
      <alignment vertical="bottom"/>
    </xf>
    <xf borderId="8" fillId="2" fontId="1" numFmtId="0" xfId="0" applyAlignment="1" applyBorder="1" applyFill="1" applyFont="1">
      <alignment vertical="bottom"/>
    </xf>
    <xf borderId="0" fillId="2" fontId="7" numFmtId="0" xfId="0" applyAlignment="1" applyFill="1" applyFont="1">
      <alignment vertical="bottom"/>
    </xf>
    <xf borderId="11" fillId="2" fontId="7" numFmtId="0" xfId="0" applyAlignment="1" applyBorder="1" applyFill="1" applyFont="1">
      <alignment vertical="bottom"/>
    </xf>
    <xf borderId="11" fillId="0" fontId="2" numFmtId="0" xfId="0" applyBorder="1" applyFont="1"/>
    <xf borderId="8" fillId="2" fontId="1" numFmtId="0" xfId="0" applyAlignment="1" applyBorder="1" applyFill="1" applyFont="1">
      <alignment horizontal="center" vertical="bottom"/>
    </xf>
    <xf borderId="15" fillId="2" fontId="1" numFmtId="0" xfId="0" applyAlignment="1" applyBorder="1" applyFill="1" applyFont="1">
      <alignment horizontal="center" shrinkToFit="0" vertical="bottom" wrapText="1"/>
    </xf>
    <xf borderId="16" fillId="2" fontId="1" numFmtId="0" xfId="0" applyAlignment="1" applyBorder="1" applyFill="1" applyFont="1">
      <alignment horizontal="center" shrinkToFit="0" vertical="bottom" wrapText="1"/>
    </xf>
    <xf borderId="18" fillId="2" fontId="1" numFmtId="0" xfId="0" applyAlignment="1" applyBorder="1" applyFill="1" applyFont="1">
      <alignment horizontal="center" shrinkToFit="0" vertical="bottom" wrapText="1"/>
    </xf>
    <xf borderId="18" fillId="2" fontId="7" numFmtId="0" xfId="0" applyAlignment="1" applyBorder="1" applyFill="1" applyFont="1">
      <alignment vertical="bottom"/>
    </xf>
    <xf borderId="5" fillId="3" fontId="1" numFmtId="0" xfId="0" applyAlignment="1" applyBorder="1" applyFill="1" applyFont="1">
      <alignment vertical="bottom"/>
    </xf>
    <xf borderId="5" fillId="3" fontId="7" numFmtId="0" xfId="0" applyAlignment="1" applyBorder="1" applyFill="1" applyFont="1">
      <alignment vertical="bottom"/>
    </xf>
    <xf borderId="6" fillId="3" fontId="7" numFmtId="0" xfId="0" applyAlignment="1" applyBorder="1" applyFill="1" applyFont="1">
      <alignment vertical="bottom"/>
    </xf>
    <xf borderId="7" fillId="3" fontId="7" numFmtId="0" xfId="0" applyAlignment="1" applyBorder="1" applyFill="1" applyFont="1">
      <alignment vertical="bottom"/>
    </xf>
    <xf borderId="8" fillId="0" fontId="7" numFmtId="3" xfId="0" applyAlignment="1" applyBorder="1" applyFont="1" applyNumberFormat="1">
      <alignment vertical="bottom"/>
    </xf>
    <xf borderId="0" fillId="0" fontId="7" numFmtId="3" xfId="0" applyAlignment="1" applyFont="1" applyNumberFormat="1">
      <alignment vertical="bottom"/>
    </xf>
    <xf borderId="11" fillId="0" fontId="7" numFmtId="3" xfId="0" applyAlignment="1" applyBorder="1" applyFont="1" applyNumberFormat="1">
      <alignment vertical="bottom"/>
    </xf>
    <xf borderId="10" fillId="0" fontId="3" numFmtId="0" xfId="0" applyAlignment="1" applyBorder="1" applyFont="1">
      <alignment shrinkToFit="0" vertical="bottom" wrapText="1"/>
    </xf>
    <xf borderId="28" fillId="0" fontId="3" numFmtId="167" xfId="0" applyAlignment="1" applyBorder="1" applyFont="1" applyNumberFormat="1">
      <alignment horizontal="center" vertical="bottom"/>
    </xf>
    <xf borderId="10" fillId="0" fontId="66" numFmtId="167" xfId="0" applyAlignment="1" applyBorder="1" applyFont="1" applyNumberFormat="1">
      <alignment horizontal="center" vertical="bottom"/>
    </xf>
    <xf borderId="12" fillId="0" fontId="3" numFmtId="167" xfId="0" applyAlignment="1" applyBorder="1" applyFont="1" applyNumberFormat="1">
      <alignment horizontal="center" vertical="bottom"/>
    </xf>
    <xf borderId="13" fillId="0" fontId="3" numFmtId="0" xfId="0" applyAlignment="1" applyBorder="1" applyFont="1">
      <alignment shrinkToFit="0" vertical="bottom" wrapText="1"/>
    </xf>
    <xf borderId="29" fillId="0" fontId="3" numFmtId="9" xfId="0" applyAlignment="1" applyBorder="1" applyFont="1" applyNumberFormat="1">
      <alignment horizontal="center" vertical="bottom"/>
    </xf>
    <xf borderId="13" fillId="0" fontId="66" numFmtId="9" xfId="0" applyAlignment="1" applyBorder="1" applyFont="1" applyNumberFormat="1">
      <alignment horizontal="center" vertical="bottom"/>
    </xf>
    <xf borderId="14" fillId="0" fontId="3" numFmtId="9" xfId="0" applyAlignment="1" applyBorder="1" applyFont="1" applyNumberFormat="1">
      <alignment horizontal="center" vertical="bottom"/>
    </xf>
    <xf borderId="14" fillId="0" fontId="7" numFmtId="0" xfId="0" applyAlignment="1" applyBorder="1" applyFont="1">
      <alignment vertical="bottom"/>
    </xf>
    <xf borderId="29" fillId="0" fontId="3" numFmtId="10" xfId="0" applyAlignment="1" applyBorder="1" applyFont="1" applyNumberFormat="1">
      <alignment horizontal="center" vertical="bottom"/>
    </xf>
    <xf borderId="13" fillId="0" fontId="66" numFmtId="10" xfId="0" applyAlignment="1" applyBorder="1" applyFont="1" applyNumberFormat="1">
      <alignment horizontal="center" vertical="bottom"/>
    </xf>
    <xf borderId="14" fillId="0" fontId="3" numFmtId="10" xfId="0" applyAlignment="1" applyBorder="1" applyFont="1" applyNumberFormat="1">
      <alignment horizontal="center" vertical="bottom"/>
    </xf>
    <xf borderId="19" fillId="0" fontId="3" numFmtId="0" xfId="0" applyAlignment="1" applyBorder="1" applyFont="1">
      <alignment shrinkToFit="0" vertical="bottom" wrapText="1"/>
    </xf>
    <xf borderId="31" fillId="0" fontId="3" numFmtId="166" xfId="0" applyAlignment="1" applyBorder="1" applyFont="1" applyNumberFormat="1">
      <alignment horizontal="center" vertical="bottom"/>
    </xf>
    <xf borderId="19" fillId="0" fontId="66" numFmtId="166" xfId="0" applyAlignment="1" applyBorder="1" applyFont="1" applyNumberFormat="1">
      <alignment horizontal="center" vertical="bottom"/>
    </xf>
    <xf borderId="20" fillId="0" fontId="3" numFmtId="166" xfId="0" applyAlignment="1" applyBorder="1" applyFont="1" applyNumberFormat="1">
      <alignment horizontal="center" vertical="bottom"/>
    </xf>
    <xf borderId="31" fillId="0" fontId="3" numFmtId="166" xfId="0" applyAlignment="1" applyBorder="1" applyFont="1" applyNumberFormat="1">
      <alignment horizontal="center" shrinkToFit="0" vertical="bottom" wrapText="1"/>
    </xf>
    <xf borderId="19" fillId="0" fontId="1" numFmtId="0" xfId="0" applyAlignment="1" applyBorder="1" applyFont="1">
      <alignment readingOrder="0" shrinkToFit="0" vertical="bottom" wrapText="1"/>
    </xf>
    <xf borderId="20" fillId="0" fontId="3" numFmtId="166" xfId="0" applyAlignment="1" applyBorder="1" applyFont="1" applyNumberFormat="1">
      <alignment horizontal="center" shrinkToFit="0" vertical="bottom" wrapText="1"/>
    </xf>
    <xf borderId="24" fillId="0" fontId="4" numFmtId="0" xfId="0" applyAlignment="1" applyBorder="1" applyFont="1">
      <alignment horizontal="right" readingOrder="0"/>
    </xf>
    <xf borderId="15" fillId="0" fontId="3" numFmtId="9" xfId="0" applyAlignment="1" applyBorder="1" applyFont="1" applyNumberFormat="1">
      <alignment horizontal="center" vertical="bottom"/>
    </xf>
    <xf borderId="16" fillId="0" fontId="66" numFmtId="9" xfId="0" applyAlignment="1" applyBorder="1" applyFont="1" applyNumberFormat="1">
      <alignment horizontal="center" vertical="bottom"/>
    </xf>
    <xf borderId="18" fillId="0" fontId="3" numFmtId="9" xfId="0" applyAlignment="1" applyBorder="1" applyFont="1" applyNumberFormat="1">
      <alignment horizontal="center" vertical="bottom"/>
    </xf>
    <xf borderId="18" fillId="0" fontId="7" numFmtId="0" xfId="0" applyAlignment="1" applyBorder="1" applyFont="1">
      <alignment vertical="bottom"/>
    </xf>
    <xf borderId="28" fillId="0" fontId="3" numFmtId="9" xfId="0" applyAlignment="1" applyBorder="1" applyFont="1" applyNumberFormat="1">
      <alignment horizontal="center" vertical="bottom"/>
    </xf>
    <xf borderId="10" fillId="0" fontId="66" numFmtId="9" xfId="0" applyAlignment="1" applyBorder="1" applyFont="1" applyNumberFormat="1">
      <alignment horizontal="center" vertical="bottom"/>
    </xf>
    <xf borderId="12" fillId="0" fontId="3" numFmtId="9" xfId="0" applyAlignment="1" applyBorder="1" applyFont="1" applyNumberFormat="1">
      <alignment horizontal="center" vertical="bottom"/>
    </xf>
    <xf borderId="25" fillId="0" fontId="3" numFmtId="0" xfId="0" applyAlignment="1" applyBorder="1" applyFont="1">
      <alignment shrinkToFit="0" vertical="bottom" wrapText="1"/>
    </xf>
    <xf borderId="30" fillId="0" fontId="3" numFmtId="164" xfId="0" applyAlignment="1" applyBorder="1" applyFont="1" applyNumberFormat="1">
      <alignment horizontal="center" vertical="bottom"/>
    </xf>
    <xf borderId="25" fillId="0" fontId="66" numFmtId="9" xfId="0" applyAlignment="1" applyBorder="1" applyFont="1" applyNumberFormat="1">
      <alignment horizontal="center" vertical="bottom"/>
    </xf>
    <xf borderId="26" fillId="0" fontId="3" numFmtId="164" xfId="0" applyAlignment="1" applyBorder="1" applyFont="1" applyNumberFormat="1">
      <alignment horizontal="center" vertical="bottom"/>
    </xf>
    <xf borderId="0" fillId="0" fontId="3" numFmtId="0" xfId="0" applyAlignment="1" applyFont="1">
      <alignment shrinkToFit="0" vertical="bottom" wrapText="1"/>
    </xf>
    <xf borderId="0" fillId="0" fontId="9" numFmtId="2" xfId="0" applyAlignment="1" applyFont="1" applyNumberFormat="1">
      <alignment horizontal="right" shrinkToFit="0" wrapText="1"/>
    </xf>
    <xf borderId="12" fillId="0" fontId="3" numFmtId="0" xfId="0" applyAlignment="1" applyBorder="1" applyFont="1">
      <alignment horizontal="right" vertical="bottom"/>
    </xf>
    <xf borderId="26" fillId="0" fontId="7" numFmtId="0" xfId="0" applyAlignment="1" applyBorder="1" applyFont="1">
      <alignment vertical="bottom"/>
    </xf>
    <xf borderId="31" fillId="0" fontId="3" numFmtId="9" xfId="0" applyAlignment="1" applyBorder="1" applyFont="1" applyNumberFormat="1">
      <alignment horizontal="center" vertical="bottom"/>
    </xf>
    <xf borderId="19" fillId="0" fontId="66" numFmtId="9" xfId="0" applyAlignment="1" applyBorder="1" applyFont="1" applyNumberFormat="1">
      <alignment horizontal="center" vertical="bottom"/>
    </xf>
    <xf borderId="20" fillId="0" fontId="3" numFmtId="9" xfId="0" applyAlignment="1" applyBorder="1" applyFont="1" applyNumberFormat="1">
      <alignment horizontal="center" vertical="bottom"/>
    </xf>
    <xf borderId="8" fillId="0" fontId="7" numFmtId="164" xfId="0" applyAlignment="1" applyBorder="1" applyFont="1" applyNumberFormat="1">
      <alignment vertical="bottom"/>
    </xf>
    <xf borderId="0" fillId="0" fontId="7" numFmtId="164" xfId="0" applyAlignment="1" applyFont="1" applyNumberFormat="1">
      <alignment vertical="bottom"/>
    </xf>
    <xf borderId="11" fillId="0" fontId="7" numFmtId="164" xfId="0" applyAlignment="1" applyBorder="1" applyFont="1" applyNumberFormat="1">
      <alignment vertical="bottom"/>
    </xf>
    <xf borderId="1" fillId="2" fontId="4" numFmtId="0" xfId="0" applyAlignment="1" applyBorder="1" applyFill="1" applyFont="1">
      <alignment horizontal="center" readingOrder="0"/>
    </xf>
    <xf borderId="3" fillId="2" fontId="1" numFmtId="0" xfId="0" applyAlignment="1" applyBorder="1" applyFill="1" applyFont="1">
      <alignment shrinkToFit="0" vertical="bottom" wrapText="1"/>
    </xf>
    <xf borderId="9" fillId="0" fontId="4" numFmtId="0" xfId="0" applyAlignment="1" applyBorder="1" applyFont="1">
      <alignment horizontal="right"/>
    </xf>
    <xf borderId="0" fillId="0" fontId="4" numFmtId="164" xfId="0" applyAlignment="1" applyFont="1" applyNumberFormat="1">
      <alignment horizontal="right"/>
    </xf>
    <xf borderId="11" fillId="0" fontId="4" numFmtId="164" xfId="0" applyAlignment="1" applyBorder="1" applyFont="1" applyNumberFormat="1">
      <alignment horizontal="right"/>
    </xf>
    <xf borderId="10" fillId="0" fontId="1" numFmtId="0" xfId="0" applyAlignment="1" applyBorder="1" applyFont="1">
      <alignment readingOrder="0" shrinkToFit="0" vertical="bottom" wrapText="1"/>
    </xf>
    <xf borderId="10" fillId="0" fontId="1" numFmtId="0" xfId="0" applyAlignment="1" applyBorder="1" applyFont="1">
      <alignment horizontal="right" readingOrder="0" vertical="bottom"/>
    </xf>
    <xf borderId="22" fillId="0" fontId="4" numFmtId="0" xfId="0" applyAlignment="1" applyBorder="1" applyFont="1">
      <alignment horizontal="right" readingOrder="0"/>
    </xf>
    <xf borderId="10" fillId="0" fontId="4" numFmtId="164" xfId="0" applyAlignment="1" applyBorder="1" applyFont="1" applyNumberFormat="1">
      <alignment horizontal="right"/>
    </xf>
    <xf borderId="1" fillId="2" fontId="4" numFmtId="0" xfId="0" applyAlignment="1" applyBorder="1" applyFill="1" applyFont="1">
      <alignment horizontal="center" readingOrder="0" shrinkToFit="0" wrapText="1"/>
    </xf>
    <xf borderId="11" fillId="2" fontId="1" numFmtId="0" xfId="0" applyAlignment="1" applyBorder="1" applyFill="1" applyFont="1">
      <alignment shrinkToFit="0" vertical="bottom" wrapText="1"/>
    </xf>
    <xf borderId="11" fillId="2" fontId="4" numFmtId="0" xfId="0" applyAlignment="1" applyBorder="1" applyFill="1" applyFont="1">
      <alignment horizontal="center" readingOrder="0"/>
    </xf>
    <xf borderId="12" fillId="0" fontId="4" numFmtId="164" xfId="0" applyAlignment="1" applyBorder="1" applyFont="1" applyNumberFormat="1">
      <alignment horizontal="right"/>
    </xf>
    <xf borderId="8" fillId="2" fontId="1" numFmtId="0" xfId="0" applyAlignment="1" applyBorder="1" applyFill="1" applyFont="1">
      <alignment readingOrder="0" shrinkToFit="0" vertical="bottom" wrapText="1"/>
    </xf>
    <xf borderId="0" fillId="2" fontId="1" numFmtId="0" xfId="0" applyAlignment="1" applyFill="1" applyFont="1">
      <alignment readingOrder="0" shrinkToFit="0" vertical="bottom" wrapText="1"/>
    </xf>
    <xf borderId="18" fillId="2" fontId="3" numFmtId="0" xfId="0" applyAlignment="1" applyBorder="1" applyFill="1" applyFont="1">
      <alignment shrinkToFit="0" vertical="bottom" wrapText="1"/>
    </xf>
    <xf borderId="1" fillId="3" fontId="1" numFmtId="0" xfId="0" applyAlignment="1" applyBorder="1" applyFill="1" applyFont="1">
      <alignment vertical="bottom"/>
    </xf>
    <xf borderId="15" fillId="3" fontId="1" numFmtId="164" xfId="0" applyAlignment="1" applyBorder="1" applyFill="1" applyFont="1" applyNumberFormat="1">
      <alignment horizontal="center" vertical="bottom"/>
    </xf>
    <xf borderId="18" fillId="0" fontId="2" numFmtId="0" xfId="0" applyBorder="1" applyFont="1"/>
    <xf borderId="16" fillId="0" fontId="67" numFmtId="0" xfId="0" applyAlignment="1" applyBorder="1" applyFont="1">
      <alignment readingOrder="0" shrinkToFit="0" vertical="bottom" wrapText="0"/>
    </xf>
    <xf borderId="16" fillId="0" fontId="68" numFmtId="0" xfId="0" applyAlignment="1" applyBorder="1" applyFont="1">
      <alignment readingOrder="0" shrinkToFit="0" vertical="bottom" wrapText="1"/>
    </xf>
    <xf borderId="16" fillId="0" fontId="9" numFmtId="166" xfId="0" applyAlignment="1" applyBorder="1" applyFont="1" applyNumberFormat="1">
      <alignment horizontal="right"/>
    </xf>
    <xf borderId="18" fillId="0" fontId="9" numFmtId="166" xfId="0" applyAlignment="1" applyBorder="1" applyFont="1" applyNumberFormat="1">
      <alignment horizontal="right"/>
    </xf>
    <xf borderId="0" fillId="0" fontId="68" numFmtId="0" xfId="0" applyAlignment="1" applyFont="1">
      <alignment readingOrder="0" shrinkToFit="0" vertical="bottom" wrapText="1"/>
    </xf>
    <xf borderId="0" fillId="0" fontId="9" numFmtId="166" xfId="0" applyAlignment="1" applyFont="1" applyNumberFormat="1">
      <alignment horizontal="right"/>
    </xf>
    <xf borderId="11" fillId="0" fontId="3" numFmtId="0" xfId="0" applyAlignment="1" applyBorder="1" applyFont="1">
      <alignment shrinkToFit="0" wrapText="1"/>
    </xf>
    <xf borderId="0" fillId="3" fontId="7" numFmtId="0" xfId="0" applyAlignment="1" applyFill="1" applyFont="1">
      <alignment vertical="bottom"/>
    </xf>
    <xf borderId="5" fillId="3" fontId="1" numFmtId="0" xfId="0" applyAlignment="1" applyBorder="1" applyFill="1" applyFont="1">
      <alignment vertical="bottom"/>
    </xf>
    <xf borderId="5" fillId="3" fontId="7" numFmtId="9" xfId="0" applyAlignment="1" applyBorder="1" applyFill="1" applyFont="1" applyNumberFormat="1">
      <alignment vertical="bottom"/>
    </xf>
    <xf borderId="6" fillId="3" fontId="7" numFmtId="9" xfId="0" applyAlignment="1" applyBorder="1" applyFill="1" applyFont="1" applyNumberFormat="1">
      <alignment vertical="bottom"/>
    </xf>
    <xf borderId="7" fillId="3" fontId="7" numFmtId="9" xfId="0" applyAlignment="1" applyBorder="1" applyFill="1" applyFont="1" applyNumberFormat="1">
      <alignment vertical="bottom"/>
    </xf>
    <xf borderId="5" fillId="3" fontId="7" numFmtId="167" xfId="0" applyAlignment="1" applyBorder="1" applyFill="1" applyFont="1" applyNumberFormat="1">
      <alignment vertical="bottom"/>
    </xf>
    <xf borderId="6" fillId="3" fontId="7" numFmtId="164" xfId="0" applyAlignment="1" applyBorder="1" applyFill="1" applyFont="1" applyNumberFormat="1">
      <alignment vertical="bottom"/>
    </xf>
    <xf borderId="7" fillId="3" fontId="7" numFmtId="167" xfId="0" applyAlignment="1" applyBorder="1" applyFill="1" applyFont="1" applyNumberFormat="1">
      <alignment vertical="bottom"/>
    </xf>
    <xf borderId="12" fillId="0" fontId="3" numFmtId="0" xfId="0" applyAlignment="1" applyBorder="1" applyFont="1">
      <alignment shrinkToFit="0" wrapText="1"/>
    </xf>
    <xf borderId="0" fillId="0" fontId="3" numFmtId="0" xfId="0" applyAlignment="1" applyFont="1">
      <alignment horizontal="center" readingOrder="0" vertical="bottom"/>
    </xf>
    <xf borderId="0" fillId="0" fontId="7" numFmtId="9" xfId="0" applyAlignment="1" applyFont="1" applyNumberFormat="1">
      <alignment vertical="bottom"/>
    </xf>
    <xf borderId="0" fillId="0" fontId="3" numFmtId="0" xfId="0" applyAlignment="1" applyFont="1">
      <alignment horizontal="center" vertical="bottom"/>
    </xf>
    <xf borderId="0" fillId="0" fontId="3" numFmtId="165" xfId="0" applyAlignment="1" applyFont="1" applyNumberFormat="1">
      <alignment shrinkToFit="0" vertical="bottom" wrapText="1"/>
    </xf>
    <xf borderId="29" fillId="0" fontId="3" numFmtId="3" xfId="0" applyAlignment="1" applyBorder="1" applyFont="1" applyNumberFormat="1">
      <alignment horizontal="center" vertical="bottom"/>
    </xf>
    <xf borderId="0" fillId="0" fontId="3" numFmtId="164" xfId="0" applyAlignment="1" applyFont="1" applyNumberFormat="1">
      <alignment horizontal="center" vertical="bottom"/>
    </xf>
    <xf borderId="14" fillId="0" fontId="3" numFmtId="3" xfId="0" applyAlignment="1" applyBorder="1" applyFont="1" applyNumberFormat="1">
      <alignment horizontal="center" vertical="bottom"/>
    </xf>
    <xf borderId="14" fillId="0" fontId="3" numFmtId="0" xfId="0" applyAlignment="1" applyBorder="1" applyFont="1">
      <alignment shrinkToFit="0" wrapText="1"/>
    </xf>
    <xf borderId="19" fillId="0" fontId="9" numFmtId="10" xfId="0" applyAlignment="1" applyBorder="1" applyFont="1" applyNumberFormat="1">
      <alignment horizontal="right"/>
    </xf>
    <xf borderId="20" fillId="0" fontId="3" numFmtId="10" xfId="0" applyAlignment="1" applyBorder="1" applyFont="1" applyNumberFormat="1">
      <alignment shrinkToFit="0" wrapText="1"/>
    </xf>
    <xf borderId="8" fillId="0" fontId="3" numFmtId="9" xfId="0" applyAlignment="1" applyBorder="1" applyFont="1" applyNumberFormat="1">
      <alignment vertical="bottom"/>
    </xf>
    <xf borderId="0" fillId="0" fontId="3" numFmtId="9" xfId="0" applyAlignment="1" applyFont="1" applyNumberFormat="1">
      <alignment vertical="bottom"/>
    </xf>
    <xf borderId="0" fillId="0" fontId="69" numFmtId="9" xfId="0" applyAlignment="1" applyFont="1" applyNumberFormat="1">
      <alignment readingOrder="0" shrinkToFit="0" vertical="bottom" wrapText="0"/>
    </xf>
    <xf borderId="16" fillId="0" fontId="3" numFmtId="9" xfId="0" applyAlignment="1" applyBorder="1" applyFont="1" applyNumberFormat="1">
      <alignment readingOrder="0" shrinkToFit="0" vertical="bottom" wrapText="1"/>
    </xf>
    <xf borderId="18" fillId="0" fontId="3" numFmtId="9" xfId="0" applyAlignment="1" applyBorder="1" applyFont="1" applyNumberFormat="1">
      <alignment shrinkToFit="0" wrapText="1"/>
    </xf>
    <xf borderId="0" fillId="0" fontId="70" numFmtId="9" xfId="0" applyAlignment="1" applyFont="1" applyNumberFormat="1">
      <alignment vertical="bottom"/>
    </xf>
    <xf borderId="10" fillId="0" fontId="3" numFmtId="9" xfId="0" applyAlignment="1" applyBorder="1" applyFont="1" applyNumberFormat="1">
      <alignment shrinkToFit="0" vertical="bottom" wrapText="1"/>
    </xf>
    <xf borderId="10" fillId="0" fontId="3" numFmtId="9" xfId="0" applyAlignment="1" applyBorder="1" applyFont="1" applyNumberFormat="1">
      <alignment horizontal="right" vertical="bottom"/>
    </xf>
    <xf borderId="12" fillId="0" fontId="3" numFmtId="9" xfId="0" applyAlignment="1" applyBorder="1" applyFont="1" applyNumberFormat="1">
      <alignment horizontal="right" vertical="bottom"/>
    </xf>
    <xf borderId="12" fillId="0" fontId="3" numFmtId="9" xfId="0" applyAlignment="1" applyBorder="1" applyFont="1" applyNumberFormat="1">
      <alignment shrinkToFit="0" wrapText="1"/>
    </xf>
    <xf borderId="13" fillId="0" fontId="3" numFmtId="9" xfId="0" applyAlignment="1" applyBorder="1" applyFont="1" applyNumberFormat="1">
      <alignment readingOrder="0" shrinkToFit="0" vertical="bottom" wrapText="1"/>
    </xf>
    <xf borderId="33" fillId="0" fontId="47" numFmtId="0" xfId="0" applyAlignment="1" applyBorder="1" applyFont="1">
      <alignment readingOrder="0"/>
    </xf>
    <xf borderId="13" fillId="0" fontId="3" numFmtId="9" xfId="0" applyAlignment="1" applyBorder="1" applyFont="1" applyNumberFormat="1">
      <alignment horizontal="right" vertical="bottom"/>
    </xf>
    <xf borderId="14" fillId="0" fontId="3" numFmtId="9" xfId="0" applyAlignment="1" applyBorder="1" applyFont="1" applyNumberFormat="1">
      <alignment horizontal="right" vertical="bottom"/>
    </xf>
    <xf borderId="13" fillId="0" fontId="3" numFmtId="3" xfId="0" applyAlignment="1" applyBorder="1" applyFont="1" applyNumberFormat="1">
      <alignment shrinkToFit="0" vertical="bottom" wrapText="1"/>
    </xf>
    <xf borderId="13" fillId="0" fontId="3" numFmtId="3" xfId="0" applyAlignment="1" applyBorder="1" applyFont="1" applyNumberFormat="1">
      <alignment horizontal="center" vertical="bottom"/>
    </xf>
    <xf borderId="14" fillId="0" fontId="3" numFmtId="9" xfId="0" applyAlignment="1" applyBorder="1" applyFont="1" applyNumberFormat="1">
      <alignment shrinkToFit="0" wrapText="1"/>
    </xf>
    <xf borderId="19" fillId="0" fontId="3" numFmtId="9" xfId="0" applyAlignment="1" applyBorder="1" applyFont="1" applyNumberFormat="1">
      <alignment readingOrder="0" shrinkToFit="0" vertical="bottom" wrapText="1"/>
    </xf>
    <xf borderId="20" fillId="0" fontId="3" numFmtId="9" xfId="0" applyAlignment="1" applyBorder="1" applyFont="1" applyNumberFormat="1">
      <alignment shrinkToFit="0" wrapText="1"/>
    </xf>
    <xf borderId="10" fillId="0" fontId="9" numFmtId="164" xfId="0" applyAlignment="1" applyBorder="1" applyFont="1" applyNumberFormat="1">
      <alignment horizontal="right"/>
    </xf>
    <xf borderId="12" fillId="0" fontId="3" numFmtId="164" xfId="0" applyAlignment="1" applyBorder="1" applyFont="1" applyNumberFormat="1">
      <alignment shrinkToFit="0" wrapText="1"/>
    </xf>
    <xf borderId="13" fillId="0" fontId="9" numFmtId="164" xfId="0" applyAlignment="1" applyBorder="1" applyFont="1" applyNumberFormat="1">
      <alignment horizontal="right"/>
    </xf>
    <xf borderId="14" fillId="0" fontId="3" numFmtId="164" xfId="0" applyAlignment="1" applyBorder="1" applyFont="1" applyNumberFormat="1">
      <alignment shrinkToFit="0" wrapText="1"/>
    </xf>
    <xf borderId="19" fillId="0" fontId="9" numFmtId="164" xfId="0" applyAlignment="1" applyBorder="1" applyFont="1" applyNumberFormat="1">
      <alignment horizontal="right"/>
    </xf>
    <xf borderId="20" fillId="0" fontId="3" numFmtId="164" xfId="0" applyAlignment="1" applyBorder="1" applyFont="1" applyNumberFormat="1">
      <alignment shrinkToFit="0" wrapText="1"/>
    </xf>
    <xf borderId="0" fillId="0" fontId="9" numFmtId="164" xfId="0" applyAlignment="1" applyFont="1" applyNumberFormat="1">
      <alignment horizontal="right"/>
    </xf>
    <xf borderId="16" fillId="0" fontId="9" numFmtId="164" xfId="0" applyAlignment="1" applyBorder="1" applyFont="1" applyNumberFormat="1">
      <alignment horizontal="right"/>
    </xf>
    <xf borderId="18" fillId="0" fontId="3" numFmtId="164" xfId="0" applyAlignment="1" applyBorder="1" applyFont="1" applyNumberFormat="1">
      <alignment shrinkToFit="0" wrapText="1"/>
    </xf>
    <xf borderId="14" fillId="0" fontId="3" numFmtId="0" xfId="0" applyAlignment="1" applyBorder="1" applyFont="1">
      <alignment horizontal="right" vertical="bottom"/>
    </xf>
    <xf borderId="6" fillId="3" fontId="9" numFmtId="164" xfId="0" applyAlignment="1" applyBorder="1" applyFill="1" applyFont="1" applyNumberFormat="1">
      <alignment horizontal="right" vertical="bottom"/>
    </xf>
    <xf borderId="6" fillId="3" fontId="9" numFmtId="164" xfId="0" applyAlignment="1" applyBorder="1" applyFill="1" applyFont="1" applyNumberFormat="1">
      <alignment horizontal="right" shrinkToFit="0" vertical="bottom" wrapText="1"/>
    </xf>
    <xf borderId="18" fillId="0" fontId="3" numFmtId="0" xfId="0" applyAlignment="1" applyBorder="1" applyFont="1">
      <alignment shrinkToFit="0" wrapText="1"/>
    </xf>
    <xf borderId="9" fillId="0" fontId="47" numFmtId="49" xfId="0" applyAlignment="1" applyBorder="1" applyFont="1" applyNumberFormat="1">
      <alignment readingOrder="0"/>
    </xf>
    <xf borderId="5" fillId="3" fontId="1" numFmtId="3" xfId="0" applyAlignment="1" applyBorder="1" applyFill="1" applyFont="1" applyNumberFormat="1">
      <alignment readingOrder="0" vertical="bottom"/>
    </xf>
    <xf borderId="5" fillId="3" fontId="7" numFmtId="3" xfId="0" applyAlignment="1" applyBorder="1" applyFill="1" applyFont="1" applyNumberFormat="1">
      <alignment vertical="bottom"/>
    </xf>
    <xf borderId="6" fillId="3" fontId="7" numFmtId="3" xfId="0" applyAlignment="1" applyBorder="1" applyFill="1" applyFont="1" applyNumberFormat="1">
      <alignment vertical="bottom"/>
    </xf>
    <xf borderId="7" fillId="3" fontId="7" numFmtId="3" xfId="0" applyAlignment="1" applyBorder="1" applyFill="1" applyFont="1" applyNumberFormat="1">
      <alignment vertical="bottom"/>
    </xf>
    <xf borderId="13" fillId="0" fontId="3" numFmtId="3" xfId="0" applyAlignment="1" applyBorder="1" applyFont="1" applyNumberFormat="1">
      <alignment readingOrder="0" shrinkToFit="0" vertical="bottom" wrapText="1"/>
    </xf>
    <xf borderId="42" fillId="0" fontId="47" numFmtId="0" xfId="0" applyAlignment="1" applyBorder="1" applyFont="1">
      <alignment readingOrder="0"/>
    </xf>
    <xf borderId="43" fillId="0" fontId="47" numFmtId="0" xfId="0" applyAlignment="1" applyBorder="1" applyFont="1">
      <alignment readingOrder="0"/>
    </xf>
    <xf borderId="43" fillId="4" fontId="7" numFmtId="49" xfId="0" applyAlignment="1" applyBorder="1" applyFill="1" applyFont="1" applyNumberFormat="1">
      <alignment horizontal="left" readingOrder="0" vertical="bottom"/>
    </xf>
    <xf borderId="43" fillId="0" fontId="47" numFmtId="3" xfId="0" applyAlignment="1" applyBorder="1" applyFont="1" applyNumberFormat="1">
      <alignment readingOrder="0"/>
    </xf>
    <xf borderId="44" fillId="0" fontId="47" numFmtId="3" xfId="0" applyAlignment="1" applyBorder="1" applyFont="1" applyNumberFormat="1">
      <alignment readingOrder="0"/>
    </xf>
    <xf borderId="43" fillId="0" fontId="47" numFmtId="49" xfId="0" applyAlignment="1" applyBorder="1" applyFont="1" applyNumberFormat="1">
      <alignment readingOrder="0"/>
    </xf>
    <xf borderId="44" fillId="0" fontId="47" numFmtId="0" xfId="0" applyAlignment="1" applyBorder="1" applyFont="1">
      <alignment readingOrder="0"/>
    </xf>
    <xf borderId="0" fillId="0" fontId="47" numFmtId="0" xfId="0" applyAlignment="1" applyFont="1">
      <alignment readingOrder="0"/>
    </xf>
    <xf borderId="0" fillId="0" fontId="47" numFmtId="49" xfId="0" applyAlignment="1" applyFont="1" applyNumberFormat="1">
      <alignment readingOrder="0"/>
    </xf>
    <xf borderId="0" fillId="0" fontId="47" numFmtId="3" xfId="0" applyAlignment="1" applyFont="1" applyNumberFormat="1">
      <alignment readingOrder="0"/>
    </xf>
    <xf borderId="0" fillId="0" fontId="7" numFmtId="0" xfId="0" applyAlignment="1" applyFont="1">
      <alignment readingOrder="0" vertical="bottom"/>
    </xf>
    <xf borderId="0" fillId="0" fontId="7" numFmtId="164" xfId="0" applyAlignment="1" applyFont="1" applyNumberFormat="1">
      <alignment readingOrder="0" vertical="bottom"/>
    </xf>
    <xf borderId="8" fillId="0" fontId="7" numFmtId="165" xfId="0" applyAlignment="1" applyBorder="1" applyFont="1" applyNumberFormat="1">
      <alignment vertical="bottom"/>
    </xf>
    <xf borderId="0" fillId="0" fontId="7" numFmtId="165" xfId="0" applyAlignment="1" applyFont="1" applyNumberFormat="1">
      <alignment vertical="bottom"/>
    </xf>
    <xf borderId="10" fillId="0" fontId="3" numFmtId="165" xfId="0" applyAlignment="1" applyBorder="1" applyFont="1" applyNumberFormat="1">
      <alignment shrinkToFit="0" vertical="bottom" wrapText="1"/>
    </xf>
    <xf borderId="28" fillId="0" fontId="3" numFmtId="165" xfId="0" applyAlignment="1" applyBorder="1" applyFont="1" applyNumberFormat="1">
      <alignment horizontal="center" vertical="bottom"/>
    </xf>
    <xf borderId="10" fillId="0" fontId="66" numFmtId="165" xfId="0" applyAlignment="1" applyBorder="1" applyFont="1" applyNumberFormat="1">
      <alignment horizontal="center" vertical="bottom"/>
    </xf>
    <xf borderId="12" fillId="0" fontId="3" numFmtId="165" xfId="0" applyAlignment="1" applyBorder="1" applyFont="1" applyNumberFormat="1">
      <alignment horizontal="center" vertical="bottom"/>
    </xf>
    <xf borderId="28" fillId="0" fontId="3" numFmtId="166" xfId="0" applyAlignment="1" applyBorder="1" applyFont="1" applyNumberFormat="1">
      <alignment horizontal="center" vertical="bottom"/>
    </xf>
    <xf borderId="10" fillId="0" fontId="66" numFmtId="166" xfId="0" applyAlignment="1" applyBorder="1" applyFont="1" applyNumberFormat="1">
      <alignment horizontal="center" vertical="bottom"/>
    </xf>
    <xf borderId="12" fillId="0" fontId="3" numFmtId="166" xfId="0" applyAlignment="1" applyBorder="1" applyFont="1" applyNumberFormat="1">
      <alignment horizontal="center" vertical="bottom"/>
    </xf>
    <xf borderId="28" fillId="0" fontId="3" numFmtId="10" xfId="0" applyAlignment="1" applyBorder="1" applyFont="1" applyNumberFormat="1">
      <alignment horizontal="center" vertical="bottom"/>
    </xf>
    <xf borderId="10" fillId="0" fontId="66" numFmtId="10" xfId="0" applyAlignment="1" applyBorder="1" applyFont="1" applyNumberFormat="1">
      <alignment horizontal="center" vertical="bottom"/>
    </xf>
    <xf borderId="12" fillId="0" fontId="3" numFmtId="10" xfId="0" applyAlignment="1" applyBorder="1" applyFont="1" applyNumberFormat="1">
      <alignment horizontal="center" vertical="bottom"/>
    </xf>
    <xf borderId="15" fillId="0" fontId="7" numFmtId="0" xfId="0" applyAlignment="1" applyBorder="1" applyFont="1">
      <alignment vertical="bottom"/>
    </xf>
    <xf borderId="16" fillId="0" fontId="47" numFmtId="0" xfId="0" applyBorder="1" applyFont="1"/>
    <xf borderId="18" fillId="0" fontId="47" numFmtId="0" xfId="0" applyBorder="1" applyFont="1"/>
    <xf borderId="10" fillId="0" fontId="66" numFmtId="3" xfId="0" applyAlignment="1" applyBorder="1" applyFont="1" applyNumberFormat="1">
      <alignment horizontal="center" vertical="bottom"/>
    </xf>
    <xf borderId="10" fillId="0" fontId="66" numFmtId="172" xfId="0" applyAlignment="1" applyBorder="1" applyFont="1" applyNumberFormat="1">
      <alignment horizontal="center"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4">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K1203" displayName="Table_1" name="Table_1" id="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showColumnStripes="0" showFirstColumn="1" showLastColumn="1" showRowStripes="1"/>
</table>
</file>

<file path=xl/tables/table2.xml><?xml version="1.0" encoding="utf-8"?>
<table xmlns="http://schemas.openxmlformats.org/spreadsheetml/2006/main" ref="M3:V1203"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ref="X3:AI817" displayName="Table_3" name="Table_3" id="3">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3" showColumnStripes="0" showFirstColumn="1" showLastColumn="1" showRowStripes="1"/>
</table>
</file>

<file path=xl/tables/table4.xml><?xml version="1.0" encoding="utf-8"?>
<table xmlns="http://schemas.openxmlformats.org/spreadsheetml/2006/main" ref="AK3:AV818" displayName="Table_4" name="Table_4" id="4">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YgMgML21RLKFHb0QlHphR-KwfJiukMdlIJ7Oub_TyQE/edit?usp=sharing" TargetMode="External"/><Relationship Id="rId10" Type="http://schemas.openxmlformats.org/officeDocument/2006/relationships/hyperlink" Target="https://docs.google.com/spreadsheets/d/1GAcGQSyBQxcB6oGJFGGWCYqwY-jW7oahJJK-cTZOkMc/edit" TargetMode="External"/><Relationship Id="rId13" Type="http://schemas.openxmlformats.org/officeDocument/2006/relationships/hyperlink" Target="https://docs.google.com/spreadsheets/d/1zl2r2tHhzkWBSTZJwfinBWaEBnfBn5EsKAIK_gsDMmg/edit?usp=sharing" TargetMode="External"/><Relationship Id="rId12" Type="http://schemas.openxmlformats.org/officeDocument/2006/relationships/hyperlink" Target="https://docs.google.com/spreadsheets/d/1o0l0xucYBa8rjVKwDHh_K5PZTN6GeoenaKz77bTMXa4/edit?gid=1110574950" TargetMode="External"/><Relationship Id="rId1" Type="http://schemas.openxmlformats.org/officeDocument/2006/relationships/hyperlink" Target="https://docs.google.com/spreadsheets/d/1niDtlwcTi2YAxzoyOIXwPCT1N26Zo0hTmR1jUXqqbDc/edit?usp=sharing" TargetMode="External"/><Relationship Id="rId2" Type="http://schemas.openxmlformats.org/officeDocument/2006/relationships/hyperlink" Target="https://docs.google.com/spreadsheets/d/1J997Om048dWrI-H9QskHeCkcgq8FA6xff6MNlhYS6TA/edit?usp=sharing" TargetMode="External"/><Relationship Id="rId3" Type="http://schemas.openxmlformats.org/officeDocument/2006/relationships/hyperlink" Target="https://docs.google.com/spreadsheets/d/1ORZc3mD_2o9HpIquGqDQTqJq83_yzAtgnhiGYSfp9dM/edit?usp=sharing" TargetMode="External"/><Relationship Id="rId4" Type="http://schemas.openxmlformats.org/officeDocument/2006/relationships/hyperlink" Target="https://docs.google.com/spreadsheets/d/1NkwW6C5MVGfpp1irZh7KtOqIlSpZnPfRXv3Sr1HWnHQ/edit?usp=sharing" TargetMode="External"/><Relationship Id="rId9" Type="http://schemas.openxmlformats.org/officeDocument/2006/relationships/hyperlink" Target="https://docs.google.com/spreadsheets/d/1T9O2iigDHsmyuXtrIKcHvlry_45jeAX3mIZptmAOwtk/edit" TargetMode="External"/><Relationship Id="rId15" Type="http://schemas.openxmlformats.org/officeDocument/2006/relationships/drawing" Target="../drawings/drawing1.xml"/><Relationship Id="rId14" Type="http://schemas.openxmlformats.org/officeDocument/2006/relationships/hyperlink" Target="https://docs.google.com/spreadsheets/d/1W-_XtJPo2OYKyCdJ2Iyih_n2nCcQC5WSpEKNzfC2cwo/edit?usp=sharing" TargetMode="External"/><Relationship Id="rId5" Type="http://schemas.openxmlformats.org/officeDocument/2006/relationships/hyperlink" Target="https://docs.google.com/spreadsheets/d/1KpYNNApvu_lZYXDWh6PqqmGPfrgyyw-VqNB_k0ZZ7dA/edit?usp=sharing" TargetMode="External"/><Relationship Id="rId6" Type="http://schemas.openxmlformats.org/officeDocument/2006/relationships/hyperlink" Target="https://docs.google.com/document/d/1MwtGKIgTp9-2RmJ7zbkQ_pEggmi8s1HSoXo04JT0ivE/edit?usp=sharing" TargetMode="External"/><Relationship Id="rId7" Type="http://schemas.openxmlformats.org/officeDocument/2006/relationships/hyperlink" Target="https://docs.google.com/spreadsheets/d/12jMpnyE6SFMTl6M8okQpjAdehMbThM_1tNCJBD4ERUc/edit?usp=sharing" TargetMode="External"/><Relationship Id="rId8" Type="http://schemas.openxmlformats.org/officeDocument/2006/relationships/hyperlink" Target="https://docs.google.com/spreadsheets/d/1mOdDJyxbpTcIDMnq5rHY_YFYnhNVV1SA9cL9RwjqY2Q/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spreadsheets/d/1o0l0xucYBa8rjVKwDHh_K5PZTN6GeoenaKz77bTMXa4/edit?gid=1110574950" TargetMode="External"/><Relationship Id="rId42" Type="http://schemas.openxmlformats.org/officeDocument/2006/relationships/hyperlink" Target="https://docs.google.com/spreadsheets/d/1YgMgML21RLKFHb0QlHphR-KwfJiukMdlIJ7Oub_TyQE/edit" TargetMode="External"/><Relationship Id="rId41" Type="http://schemas.openxmlformats.org/officeDocument/2006/relationships/hyperlink" Target="https://docs.google.com/spreadsheets/d/1YgMgML21RLKFHb0QlHphR-KwfJiukMdlIJ7Oub_TyQE/edit" TargetMode="External"/><Relationship Id="rId44" Type="http://schemas.openxmlformats.org/officeDocument/2006/relationships/hyperlink" Target="https://docs.google.com/spreadsheets/d/1YgMgML21RLKFHb0QlHphR-KwfJiukMdlIJ7Oub_TyQE/edit" TargetMode="External"/><Relationship Id="rId43" Type="http://schemas.openxmlformats.org/officeDocument/2006/relationships/hyperlink" Target="https://docs.google.com/spreadsheets/d/1YgMgML21RLKFHb0QlHphR-KwfJiukMdlIJ7Oub_TyQE/edit" TargetMode="External"/><Relationship Id="rId46" Type="http://schemas.openxmlformats.org/officeDocument/2006/relationships/hyperlink" Target="https://docs.google.com/spreadsheets/d/1YgMgML21RLKFHb0QlHphR-KwfJiukMdlIJ7Oub_TyQE/edit" TargetMode="External"/><Relationship Id="rId45" Type="http://schemas.openxmlformats.org/officeDocument/2006/relationships/hyperlink" Target="https://docs.google.com/spreadsheets/d/1YgMgML21RLKFHb0QlHphR-KwfJiukMdlIJ7Oub_TyQE/edit" TargetMode="External"/><Relationship Id="rId1" Type="http://schemas.openxmlformats.org/officeDocument/2006/relationships/comments" Target="../comments5.xml"/><Relationship Id="rId2" Type="http://schemas.openxmlformats.org/officeDocument/2006/relationships/hyperlink" Target="https://docs.google.com/spreadsheets/d/1niDtlwcTi2YAxzoyOIXwPCT1N26Zo0hTmR1jUXqqbDc/edit?usp=sharing" TargetMode="External"/><Relationship Id="rId3" Type="http://schemas.openxmlformats.org/officeDocument/2006/relationships/hyperlink" Target="https://docs.google.com/spreadsheets/d/1niDtlwcTi2YAxzoyOIXwPCT1N26Zo0hTmR1jUXqqbDc/edit?usp=sharing" TargetMode="External"/><Relationship Id="rId4" Type="http://schemas.openxmlformats.org/officeDocument/2006/relationships/hyperlink" Target="https://docs.google.com/spreadsheets/d/1niDtlwcTi2YAxzoyOIXwPCT1N26Zo0hTmR1jUXqqbDc/edit?usp=sharing" TargetMode="External"/><Relationship Id="rId9" Type="http://schemas.openxmlformats.org/officeDocument/2006/relationships/hyperlink" Target="https://docs.google.com/spreadsheets/d/1mOdDJyxbpTcIDMnq5rHY_YFYnhNVV1SA9cL9RwjqY2Q/edit?usp=sharing" TargetMode="External"/><Relationship Id="rId48" Type="http://schemas.openxmlformats.org/officeDocument/2006/relationships/hyperlink" Target="https://docs.google.com/spreadsheets/d/1YgMgML21RLKFHb0QlHphR-KwfJiukMdlIJ7Oub_TyQE/edit" TargetMode="External"/><Relationship Id="rId47" Type="http://schemas.openxmlformats.org/officeDocument/2006/relationships/hyperlink" Target="https://docs.google.com/spreadsheets/d/1YgMgML21RLKFHb0QlHphR-KwfJiukMdlIJ7Oub_TyQE/edit" TargetMode="External"/><Relationship Id="rId49" Type="http://schemas.openxmlformats.org/officeDocument/2006/relationships/hyperlink" Target="https://docs.google.com/spreadsheets/d/1zl2r2tHhzkWBSTZJwfinBWaEBnfBn5EsKAIK_gsDMmg/edit?usp=sharing" TargetMode="External"/><Relationship Id="rId5" Type="http://schemas.openxmlformats.org/officeDocument/2006/relationships/hyperlink" Target="https://docs.google.com/spreadsheets/d/1niDtlwcTi2YAxzoyOIXwPCT1N26Zo0hTmR1jUXqqbDc/edit?usp=sharing" TargetMode="External"/><Relationship Id="rId6" Type="http://schemas.openxmlformats.org/officeDocument/2006/relationships/hyperlink" Target="https://docs.google.com/spreadsheets/d/1niDtlwcTi2YAxzoyOIXwPCT1N26Zo0hTmR1jUXqqbDc/edit?usp=sharing" TargetMode="External"/><Relationship Id="rId7" Type="http://schemas.openxmlformats.org/officeDocument/2006/relationships/hyperlink" Target="https://docs.google.com/spreadsheets/d/1niDtlwcTi2YAxzoyOIXwPCT1N26Zo0hTmR1jUXqqbDc/edit?usp=sharing" TargetMode="External"/><Relationship Id="rId8" Type="http://schemas.openxmlformats.org/officeDocument/2006/relationships/hyperlink" Target="https://docs.google.com/spreadsheets/d/1LvxkcXfVLWwyYBoZktNt8PZZfakGNYAPNTtkh5EX3sk/edit?usp=sharing" TargetMode="External"/><Relationship Id="rId31" Type="http://schemas.openxmlformats.org/officeDocument/2006/relationships/hyperlink" Target="https://docs.google.com/spreadsheets/d/1NkwW6C5MVGfpp1irZh7KtOqIlSpZnPfRXv3Sr1HWnHQ/edit?usp=sharing" TargetMode="External"/><Relationship Id="rId30" Type="http://schemas.openxmlformats.org/officeDocument/2006/relationships/hyperlink" Target="https://docs.google.com/spreadsheets/d/1NkwW6C5MVGfpp1irZh7KtOqIlSpZnPfRXv3Sr1HWnHQ/edit?usp=sharing" TargetMode="External"/><Relationship Id="rId33" Type="http://schemas.openxmlformats.org/officeDocument/2006/relationships/hyperlink" Target="https://docs.google.com/document/d/1MwtGKIgTp9-2RmJ7zbkQ_pEggmi8s1HSoXo04JT0ivE/edit?usp=sharing" TargetMode="External"/><Relationship Id="rId32" Type="http://schemas.openxmlformats.org/officeDocument/2006/relationships/hyperlink" Target="https://docs.google.com/document/d/1MwtGKIgTp9-2RmJ7zbkQ_pEggmi8s1HSoXo04JT0ivE/edit?usp=sharing" TargetMode="External"/><Relationship Id="rId35" Type="http://schemas.openxmlformats.org/officeDocument/2006/relationships/hyperlink" Target="https://docs.google.com/spreadsheets/d/1J997Om048dWrI-H9QskHeCkcgq8FA6xff6MNlhYS6TA/edit?usp=sharing" TargetMode="External"/><Relationship Id="rId34" Type="http://schemas.openxmlformats.org/officeDocument/2006/relationships/hyperlink" Target="http://onlinelibrary.wiley.com/doi/10.1002/14651858.CD008524.pub3/full" TargetMode="External"/><Relationship Id="rId37" Type="http://schemas.openxmlformats.org/officeDocument/2006/relationships/hyperlink" Target="https://docs.google.com/spreadsheets/d/1GAcGQSyBQxcB6oGJFGGWCYqwY-jW7oahJJK-cTZOkMc/edit" TargetMode="External"/><Relationship Id="rId36" Type="http://schemas.openxmlformats.org/officeDocument/2006/relationships/hyperlink" Target="https://docs.google.com/spreadsheets/d/12jMpnyE6SFMTl6M8okQpjAdehMbThM_1tNCJBD4ERUc/edit?usp=sharing" TargetMode="External"/><Relationship Id="rId39" Type="http://schemas.openxmlformats.org/officeDocument/2006/relationships/hyperlink" Target="https://docs.google.com/spreadsheets/d/1GAcGQSyBQxcB6oGJFGGWCYqwY-jW7oahJJK-cTZOkMc/edit" TargetMode="External"/><Relationship Id="rId38" Type="http://schemas.openxmlformats.org/officeDocument/2006/relationships/hyperlink" Target="https://docs.google.com/spreadsheets/d/1GAcGQSyBQxcB6oGJFGGWCYqwY-jW7oahJJK-cTZOkMc/edit" TargetMode="External"/><Relationship Id="rId20" Type="http://schemas.openxmlformats.org/officeDocument/2006/relationships/hyperlink" Target="https://dhsprogram.com/pubs/pdf/FR148/FR148.pdf" TargetMode="External"/><Relationship Id="rId22" Type="http://schemas.openxmlformats.org/officeDocument/2006/relationships/hyperlink" Target="https://dhsprogram.com/pubs/pdf/FR359/FR359.pdf" TargetMode="External"/><Relationship Id="rId21" Type="http://schemas.openxmlformats.org/officeDocument/2006/relationships/hyperlink" Target="https://dhsprogram.com/pubs/pdf/FR359/FR359.pdf" TargetMode="External"/><Relationship Id="rId24" Type="http://schemas.openxmlformats.org/officeDocument/2006/relationships/hyperlink" Target="https://dhsprogram.com/pubs/pdf/FR359/FR359.pdf" TargetMode="External"/><Relationship Id="rId23" Type="http://schemas.openxmlformats.org/officeDocument/2006/relationships/hyperlink" Target="https://dhsprogram.com/pubs/pdf/FR359/FR359.pdf" TargetMode="External"/><Relationship Id="rId26" Type="http://schemas.openxmlformats.org/officeDocument/2006/relationships/hyperlink" Target="https://docs.google.com/spreadsheets/d/1KpYNNApvu_lZYXDWh6PqqmGPfrgyyw-VqNB_k0ZZ7dA/edit?usp=sharing" TargetMode="External"/><Relationship Id="rId25" Type="http://schemas.openxmlformats.org/officeDocument/2006/relationships/hyperlink" Target="https://nigerianstat.gov.ng/download/1092" TargetMode="External"/><Relationship Id="rId28" Type="http://schemas.openxmlformats.org/officeDocument/2006/relationships/hyperlink" Target="https://docs.google.com/spreadsheets/d/1KpYNNApvu_lZYXDWh6PqqmGPfrgyyw-VqNB_k0ZZ7dA/edit?usp=sharing" TargetMode="External"/><Relationship Id="rId27" Type="http://schemas.openxmlformats.org/officeDocument/2006/relationships/hyperlink" Target="https://docs.google.com/spreadsheets/d/1KpYNNApvu_lZYXDWh6PqqmGPfrgyyw-VqNB_k0ZZ7dA/edit?usp=sharing" TargetMode="External"/><Relationship Id="rId29" Type="http://schemas.openxmlformats.org/officeDocument/2006/relationships/hyperlink" Target="https://docs.google.com/spreadsheets/d/1T9O2iigDHsmyuXtrIKcHvlry_45jeAX3mIZptmAOwtk/edit" TargetMode="External"/><Relationship Id="rId51" Type="http://schemas.openxmlformats.org/officeDocument/2006/relationships/hyperlink" Target="https://docs.google.com/spreadsheets/d/1zl2r2tHhzkWBSTZJwfinBWaEBnfBn5EsKAIK_gsDMmg/edit?usp=sharing" TargetMode="External"/><Relationship Id="rId50" Type="http://schemas.openxmlformats.org/officeDocument/2006/relationships/hyperlink" Target="https://docs.google.com/spreadsheets/d/1zl2r2tHhzkWBSTZJwfinBWaEBnfBn5EsKAIK_gsDMmg/edit?usp=sharing" TargetMode="External"/><Relationship Id="rId53" Type="http://schemas.openxmlformats.org/officeDocument/2006/relationships/vmlDrawing" Target="../drawings/vmlDrawing5.vml"/><Relationship Id="rId52" Type="http://schemas.openxmlformats.org/officeDocument/2006/relationships/drawing" Target="../drawings/drawing6.xml"/><Relationship Id="rId11" Type="http://schemas.openxmlformats.org/officeDocument/2006/relationships/hyperlink" Target="https://pubmed.ncbi.nlm.nih.gov/16857850/" TargetMode="External"/><Relationship Id="rId10" Type="http://schemas.openxmlformats.org/officeDocument/2006/relationships/hyperlink" Target="https://pubmed.ncbi.nlm.nih.gov/16857850/" TargetMode="External"/><Relationship Id="rId13" Type="http://schemas.openxmlformats.org/officeDocument/2006/relationships/hyperlink" Target="https://dhsprogram.com/pubs/pdf/FR148/FR148.pdf" TargetMode="External"/><Relationship Id="rId12" Type="http://schemas.openxmlformats.org/officeDocument/2006/relationships/hyperlink" Target="https://dhsprogram.com/pubs/pdf/FR148/FR148.pdf" TargetMode="External"/><Relationship Id="rId15" Type="http://schemas.openxmlformats.org/officeDocument/2006/relationships/hyperlink" Target="https://dhsprogram.com/pubs/pdf/FR359/FR359.pdf" TargetMode="External"/><Relationship Id="rId14" Type="http://schemas.openxmlformats.org/officeDocument/2006/relationships/hyperlink" Target="https://dhsprogram.com/pubs/pdf/FR359/FR359.pdf" TargetMode="External"/><Relationship Id="rId17" Type="http://schemas.openxmlformats.org/officeDocument/2006/relationships/hyperlink" Target="https://data.worldbank.org/indicator/SI.POV.DDAY?locations=NG" TargetMode="External"/><Relationship Id="rId16" Type="http://schemas.openxmlformats.org/officeDocument/2006/relationships/hyperlink" Target="https://dhsprogram.com/pubs/pdf/FR359/FR359.pdf" TargetMode="External"/><Relationship Id="rId19" Type="http://schemas.openxmlformats.org/officeDocument/2006/relationships/hyperlink" Target="https://nigerianstat.gov.ng/download/1092" TargetMode="External"/><Relationship Id="rId18" Type="http://schemas.openxmlformats.org/officeDocument/2006/relationships/hyperlink" Target="https://data.worldbank.org/indicator/SI.POV.DDAY?locations=NG"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vizhub.healthdata.org/gbd-results?params=gbd-api-2019-permalink/e80db2a79b7bff4a6c85fb193e6885d4" TargetMode="External"/><Relationship Id="rId3" Type="http://schemas.openxmlformats.org/officeDocument/2006/relationships/hyperlink" Target="https://vizhub.healthdata.org/gbd-results?params=gbd-api-2019-permalink/e3ef2168b32bb3495bbf4acfdc20f16a" TargetMode="External"/><Relationship Id="rId4" Type="http://schemas.openxmlformats.org/officeDocument/2006/relationships/drawing" Target="../drawings/drawing7.xml"/><Relationship Id="rId5" Type="http://schemas.openxmlformats.org/officeDocument/2006/relationships/vmlDrawing" Target="../drawings/vmlDrawing6.v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2" t="s">
        <v>0</v>
      </c>
      <c r="B1" s="3"/>
      <c r="C1" s="3"/>
      <c r="D1" s="3"/>
      <c r="E1" s="3"/>
      <c r="F1" s="3"/>
      <c r="G1" s="3"/>
      <c r="H1" s="5"/>
      <c r="I1" s="5"/>
      <c r="J1" s="5"/>
      <c r="K1" s="5"/>
      <c r="L1" s="5"/>
      <c r="M1" s="5"/>
      <c r="N1" s="5"/>
      <c r="O1" s="5"/>
      <c r="P1" s="5"/>
      <c r="Q1" s="5"/>
      <c r="R1" s="5"/>
      <c r="S1" s="5"/>
      <c r="T1" s="5"/>
      <c r="U1" s="5"/>
      <c r="V1" s="9"/>
    </row>
    <row r="2">
      <c r="A2" s="11" t="s">
        <v>2</v>
      </c>
      <c r="B2" s="12"/>
      <c r="C2" s="12"/>
      <c r="D2" s="12"/>
      <c r="E2" s="12"/>
      <c r="F2" s="12"/>
      <c r="G2" s="12"/>
      <c r="H2" s="16"/>
      <c r="I2" s="16"/>
      <c r="J2" s="16"/>
      <c r="K2" s="16"/>
      <c r="L2" s="16"/>
      <c r="M2" s="16"/>
      <c r="N2" s="16"/>
      <c r="O2" s="16"/>
      <c r="P2" s="16"/>
      <c r="Q2" s="16"/>
      <c r="R2" s="16"/>
      <c r="S2" s="16"/>
      <c r="T2" s="16"/>
      <c r="U2" s="16"/>
      <c r="V2" s="18"/>
    </row>
    <row r="3">
      <c r="A3" s="19"/>
      <c r="B3" s="19"/>
      <c r="C3" s="19"/>
      <c r="D3" s="19"/>
      <c r="E3" s="19"/>
      <c r="F3" s="19"/>
      <c r="G3" s="19"/>
      <c r="H3" s="22"/>
      <c r="I3" s="22"/>
      <c r="J3" s="22"/>
      <c r="K3" s="22"/>
      <c r="L3" s="22"/>
      <c r="M3" s="22"/>
      <c r="N3" s="22"/>
      <c r="O3" s="22"/>
      <c r="P3" s="22"/>
      <c r="Q3" s="22"/>
      <c r="R3" s="22"/>
      <c r="S3" s="22"/>
      <c r="T3" s="22"/>
      <c r="U3" s="22"/>
      <c r="V3" s="22"/>
    </row>
    <row r="4">
      <c r="A4" s="25"/>
      <c r="B4" s="19"/>
      <c r="C4" s="19"/>
      <c r="D4" s="19"/>
      <c r="E4" s="32" t="s">
        <v>4</v>
      </c>
      <c r="F4" s="33" t="s">
        <v>15</v>
      </c>
      <c r="G4" s="33"/>
      <c r="H4" s="34"/>
      <c r="I4" s="34"/>
      <c r="J4" s="34"/>
      <c r="K4" s="34"/>
      <c r="L4" s="34"/>
      <c r="M4" s="34"/>
      <c r="N4" s="34"/>
      <c r="O4" s="34"/>
      <c r="P4" s="34"/>
      <c r="Q4" s="34"/>
      <c r="R4" s="34"/>
      <c r="S4" s="34"/>
      <c r="T4" s="34"/>
      <c r="U4" s="34"/>
      <c r="V4" s="36"/>
    </row>
    <row r="5">
      <c r="A5" s="25"/>
      <c r="B5" s="19"/>
      <c r="C5" s="19"/>
      <c r="D5" s="19"/>
      <c r="E5" s="38" t="s">
        <v>16</v>
      </c>
      <c r="F5" s="40" t="s">
        <v>18</v>
      </c>
      <c r="G5" s="40"/>
      <c r="H5" s="42"/>
      <c r="I5" s="42"/>
      <c r="J5" s="42"/>
      <c r="K5" s="42"/>
      <c r="L5" s="42"/>
      <c r="M5" s="42"/>
      <c r="N5" s="42"/>
      <c r="O5" s="42"/>
      <c r="P5" s="42"/>
      <c r="Q5" s="42"/>
      <c r="R5" s="42"/>
      <c r="S5" s="42"/>
      <c r="T5" s="42"/>
      <c r="U5" s="42"/>
      <c r="V5" s="44"/>
    </row>
    <row r="6">
      <c r="A6" s="25"/>
      <c r="B6" s="19"/>
      <c r="C6" s="19"/>
      <c r="D6" s="19"/>
      <c r="E6" s="38" t="s">
        <v>23</v>
      </c>
      <c r="F6" s="40" t="s">
        <v>24</v>
      </c>
      <c r="G6" s="40"/>
      <c r="H6" s="42"/>
      <c r="I6" s="42"/>
      <c r="J6" s="42"/>
      <c r="K6" s="42"/>
      <c r="L6" s="42"/>
      <c r="M6" s="42"/>
      <c r="N6" s="42"/>
      <c r="O6" s="42"/>
      <c r="P6" s="42"/>
      <c r="Q6" s="42"/>
      <c r="R6" s="42"/>
      <c r="S6" s="42"/>
      <c r="T6" s="42"/>
      <c r="U6" s="42"/>
      <c r="V6" s="44"/>
    </row>
    <row r="7">
      <c r="A7" s="25"/>
      <c r="B7" s="19"/>
      <c r="C7" s="19"/>
      <c r="D7" s="19"/>
      <c r="E7" s="38" t="s">
        <v>26</v>
      </c>
      <c r="F7" s="40" t="s">
        <v>29</v>
      </c>
      <c r="G7" s="40"/>
      <c r="H7" s="42"/>
      <c r="I7" s="42"/>
      <c r="J7" s="42"/>
      <c r="K7" s="42"/>
      <c r="L7" s="42"/>
      <c r="M7" s="42"/>
      <c r="N7" s="42"/>
      <c r="O7" s="42"/>
      <c r="P7" s="42"/>
      <c r="Q7" s="42"/>
      <c r="R7" s="42"/>
      <c r="S7" s="42"/>
      <c r="T7" s="42"/>
      <c r="U7" s="42"/>
      <c r="V7" s="44"/>
    </row>
    <row r="8">
      <c r="A8" s="25"/>
      <c r="B8" s="19"/>
      <c r="C8" s="19"/>
      <c r="D8" s="19"/>
      <c r="E8" s="38" t="s">
        <v>39</v>
      </c>
      <c r="F8" s="40" t="s">
        <v>44</v>
      </c>
      <c r="G8" s="40"/>
      <c r="H8" s="42"/>
      <c r="I8" s="42"/>
      <c r="J8" s="42"/>
      <c r="K8" s="42"/>
      <c r="L8" s="42"/>
      <c r="M8" s="42"/>
      <c r="N8" s="42"/>
      <c r="O8" s="42"/>
      <c r="P8" s="42"/>
      <c r="Q8" s="42"/>
      <c r="R8" s="42"/>
      <c r="S8" s="42"/>
      <c r="T8" s="42"/>
      <c r="U8" s="42"/>
      <c r="V8" s="44"/>
    </row>
    <row r="9">
      <c r="A9" s="25"/>
      <c r="B9" s="19"/>
      <c r="C9" s="19"/>
      <c r="D9" s="19"/>
      <c r="E9" s="38" t="s">
        <v>45</v>
      </c>
      <c r="F9" s="40" t="s">
        <v>47</v>
      </c>
      <c r="G9" s="40"/>
      <c r="H9" s="42"/>
      <c r="I9" s="42"/>
      <c r="J9" s="42"/>
      <c r="K9" s="42"/>
      <c r="L9" s="42"/>
      <c r="M9" s="42"/>
      <c r="N9" s="42"/>
      <c r="O9" s="42"/>
      <c r="P9" s="42"/>
      <c r="Q9" s="42"/>
      <c r="R9" s="42"/>
      <c r="S9" s="42"/>
      <c r="T9" s="42"/>
      <c r="U9" s="42"/>
      <c r="V9" s="44"/>
    </row>
    <row r="10">
      <c r="A10" s="25"/>
      <c r="B10" s="19"/>
      <c r="C10" s="19"/>
      <c r="D10" s="19"/>
      <c r="E10" s="32" t="s">
        <v>49</v>
      </c>
      <c r="F10" s="33" t="s">
        <v>51</v>
      </c>
      <c r="G10" s="33"/>
      <c r="H10" s="34"/>
      <c r="I10" s="34"/>
      <c r="J10" s="34"/>
      <c r="K10" s="34"/>
      <c r="L10" s="34"/>
      <c r="M10" s="34"/>
      <c r="N10" s="34"/>
      <c r="O10" s="34"/>
      <c r="P10" s="34"/>
      <c r="Q10" s="34"/>
      <c r="R10" s="34"/>
      <c r="S10" s="34"/>
      <c r="T10" s="34"/>
      <c r="U10" s="34"/>
      <c r="V10" s="36"/>
    </row>
    <row r="11">
      <c r="A11" s="60"/>
      <c r="B11" s="61"/>
      <c r="C11" s="61"/>
      <c r="D11" s="61"/>
      <c r="E11" s="62" t="s">
        <v>53</v>
      </c>
      <c r="F11" s="64" t="s">
        <v>54</v>
      </c>
      <c r="G11" s="65"/>
      <c r="H11" s="68"/>
      <c r="I11" s="68"/>
      <c r="J11" s="68"/>
      <c r="K11" s="68"/>
      <c r="L11" s="68"/>
      <c r="M11" s="68"/>
      <c r="N11" s="68"/>
      <c r="O11" s="68"/>
      <c r="P11" s="68"/>
      <c r="Q11" s="68"/>
      <c r="R11" s="68"/>
      <c r="S11" s="68"/>
      <c r="T11" s="68"/>
      <c r="U11" s="68"/>
      <c r="V11" s="69"/>
    </row>
    <row r="12">
      <c r="A12" s="60"/>
      <c r="B12" s="61"/>
      <c r="C12" s="61"/>
      <c r="D12" s="61"/>
      <c r="E12" s="62" t="s">
        <v>56</v>
      </c>
      <c r="F12" s="73" t="s">
        <v>57</v>
      </c>
      <c r="G12" s="74"/>
      <c r="H12" s="75"/>
      <c r="I12" s="75"/>
      <c r="J12" s="75"/>
      <c r="K12" s="75"/>
      <c r="L12" s="75"/>
      <c r="M12" s="75"/>
      <c r="N12" s="75"/>
      <c r="O12" s="75"/>
      <c r="P12" s="75"/>
      <c r="Q12" s="75"/>
      <c r="R12" s="75"/>
      <c r="S12" s="75"/>
      <c r="T12" s="75"/>
      <c r="U12" s="75"/>
      <c r="V12" s="77"/>
    </row>
    <row r="13">
      <c r="A13" s="25"/>
      <c r="B13" s="19"/>
      <c r="C13" s="19"/>
      <c r="D13" s="19"/>
      <c r="E13" s="19"/>
      <c r="F13" s="19"/>
      <c r="G13" s="19"/>
      <c r="H13" s="22"/>
      <c r="I13" s="22"/>
      <c r="J13" s="22"/>
      <c r="K13" s="22"/>
      <c r="L13" s="22"/>
      <c r="M13" s="22"/>
      <c r="N13" s="22"/>
      <c r="O13" s="22"/>
      <c r="P13" s="22"/>
      <c r="Q13" s="22"/>
      <c r="R13" s="22"/>
      <c r="S13" s="22"/>
      <c r="T13" s="22"/>
      <c r="U13" s="22"/>
      <c r="V13" s="78"/>
    </row>
    <row r="14">
      <c r="A14" s="11" t="s">
        <v>59</v>
      </c>
      <c r="B14" s="12"/>
      <c r="C14" s="12"/>
      <c r="D14" s="12"/>
      <c r="E14" s="12"/>
      <c r="F14" s="12"/>
      <c r="G14" s="12"/>
      <c r="H14" s="16"/>
      <c r="I14" s="16"/>
      <c r="J14" s="16"/>
      <c r="K14" s="16"/>
      <c r="L14" s="16"/>
      <c r="M14" s="16"/>
      <c r="N14" s="16"/>
      <c r="O14" s="16"/>
      <c r="P14" s="16"/>
      <c r="Q14" s="16"/>
      <c r="R14" s="16"/>
      <c r="S14" s="16"/>
      <c r="T14" s="16"/>
      <c r="U14" s="16"/>
      <c r="V14" s="18"/>
    </row>
    <row r="15">
      <c r="A15" s="81"/>
      <c r="B15" s="82"/>
      <c r="C15" s="82"/>
      <c r="D15" s="82"/>
      <c r="E15" s="82"/>
      <c r="F15" s="82"/>
      <c r="G15" s="82"/>
      <c r="H15" s="22"/>
      <c r="I15" s="22"/>
      <c r="J15" s="22"/>
      <c r="K15" s="22"/>
      <c r="L15" s="22"/>
      <c r="M15" s="22"/>
      <c r="N15" s="22"/>
      <c r="O15" s="22"/>
      <c r="P15" s="22"/>
      <c r="Q15" s="22"/>
      <c r="R15" s="22"/>
      <c r="S15" s="22"/>
      <c r="T15" s="22"/>
      <c r="U15" s="22"/>
      <c r="V15" s="78"/>
    </row>
    <row r="16">
      <c r="A16" s="81"/>
      <c r="B16" s="82"/>
      <c r="C16" s="83" t="s">
        <v>61</v>
      </c>
      <c r="G16" s="82"/>
      <c r="H16" s="22"/>
      <c r="I16" s="22"/>
      <c r="J16" s="22"/>
      <c r="K16" s="22"/>
      <c r="L16" s="22"/>
      <c r="M16" s="22"/>
      <c r="N16" s="22"/>
      <c r="O16" s="22"/>
      <c r="P16" s="22"/>
      <c r="Q16" s="22"/>
      <c r="R16" s="22"/>
      <c r="S16" s="22"/>
      <c r="T16" s="22"/>
      <c r="U16" s="22"/>
      <c r="V16" s="78"/>
    </row>
    <row r="17">
      <c r="A17" s="81"/>
      <c r="B17" s="82"/>
      <c r="C17" s="82"/>
      <c r="D17" s="82"/>
      <c r="E17" s="84" t="s">
        <v>62</v>
      </c>
      <c r="F17" s="85" t="s">
        <v>63</v>
      </c>
      <c r="G17" s="86"/>
      <c r="H17" s="86"/>
      <c r="I17" s="86"/>
      <c r="J17" s="86"/>
      <c r="K17" s="86"/>
      <c r="L17" s="86"/>
      <c r="M17" s="86"/>
      <c r="N17" s="86"/>
      <c r="O17" s="86"/>
      <c r="P17" s="86"/>
      <c r="Q17" s="86"/>
      <c r="R17" s="86"/>
      <c r="S17" s="86"/>
      <c r="T17" s="34"/>
      <c r="U17" s="34"/>
      <c r="V17" s="36"/>
    </row>
    <row r="18">
      <c r="A18" s="81"/>
      <c r="B18" s="82"/>
      <c r="C18" s="82"/>
      <c r="D18" s="82"/>
      <c r="E18" s="87" t="s">
        <v>64</v>
      </c>
      <c r="F18" s="88" t="s">
        <v>65</v>
      </c>
      <c r="G18" s="89"/>
      <c r="H18" s="89"/>
      <c r="I18" s="89"/>
      <c r="J18" s="89"/>
      <c r="K18" s="89"/>
      <c r="L18" s="89"/>
      <c r="M18" s="89"/>
      <c r="N18" s="89"/>
      <c r="O18" s="89"/>
      <c r="P18" s="89"/>
      <c r="Q18" s="89"/>
      <c r="R18" s="89"/>
      <c r="S18" s="89"/>
      <c r="T18" s="42"/>
      <c r="U18" s="42"/>
      <c r="V18" s="44"/>
    </row>
    <row r="19">
      <c r="A19" s="81"/>
      <c r="B19" s="82"/>
      <c r="C19" s="82"/>
      <c r="D19" s="82"/>
      <c r="E19" s="84" t="s">
        <v>66</v>
      </c>
      <c r="F19" s="85" t="s">
        <v>67</v>
      </c>
      <c r="G19" s="86"/>
      <c r="H19" s="86"/>
      <c r="I19" s="86"/>
      <c r="J19" s="86"/>
      <c r="K19" s="86"/>
      <c r="L19" s="86"/>
      <c r="M19" s="86"/>
      <c r="N19" s="86"/>
      <c r="O19" s="86"/>
      <c r="P19" s="86"/>
      <c r="Q19" s="86"/>
      <c r="R19" s="86"/>
      <c r="S19" s="86"/>
      <c r="T19" s="34"/>
      <c r="U19" s="34"/>
      <c r="V19" s="36"/>
    </row>
    <row r="20">
      <c r="A20" s="81"/>
      <c r="B20" s="82"/>
      <c r="C20" s="82"/>
      <c r="D20" s="82"/>
      <c r="E20" s="87" t="s">
        <v>68</v>
      </c>
      <c r="F20" s="88" t="s">
        <v>69</v>
      </c>
      <c r="G20" s="89"/>
      <c r="H20" s="89"/>
      <c r="I20" s="89"/>
      <c r="J20" s="89"/>
      <c r="K20" s="89"/>
      <c r="L20" s="89"/>
      <c r="M20" s="89"/>
      <c r="N20" s="89"/>
      <c r="O20" s="89"/>
      <c r="P20" s="89"/>
      <c r="Q20" s="89"/>
      <c r="R20" s="89"/>
      <c r="S20" s="89"/>
      <c r="T20" s="42"/>
      <c r="U20" s="42"/>
      <c r="V20" s="44"/>
    </row>
    <row r="21">
      <c r="A21" s="81"/>
      <c r="B21" s="82"/>
      <c r="C21" s="82"/>
      <c r="D21" s="82"/>
      <c r="E21" s="84" t="s">
        <v>70</v>
      </c>
      <c r="F21" s="85" t="s">
        <v>71</v>
      </c>
      <c r="G21" s="86"/>
      <c r="H21" s="86"/>
      <c r="I21" s="86"/>
      <c r="J21" s="86"/>
      <c r="K21" s="86"/>
      <c r="L21" s="86"/>
      <c r="M21" s="86"/>
      <c r="N21" s="86"/>
      <c r="O21" s="86"/>
      <c r="P21" s="86"/>
      <c r="Q21" s="86"/>
      <c r="R21" s="86"/>
      <c r="S21" s="86"/>
      <c r="T21" s="34"/>
      <c r="U21" s="34"/>
      <c r="V21" s="36"/>
    </row>
    <row r="22">
      <c r="A22" s="81"/>
      <c r="B22" s="82"/>
      <c r="C22" s="82"/>
      <c r="D22" s="82"/>
      <c r="E22" s="84" t="s">
        <v>72</v>
      </c>
      <c r="F22" s="85" t="s">
        <v>73</v>
      </c>
      <c r="G22" s="86"/>
      <c r="H22" s="86"/>
      <c r="I22" s="86"/>
      <c r="J22" s="86"/>
      <c r="K22" s="86"/>
      <c r="L22" s="86"/>
      <c r="M22" s="86"/>
      <c r="N22" s="86"/>
      <c r="O22" s="86"/>
      <c r="P22" s="86"/>
      <c r="Q22" s="86"/>
      <c r="R22" s="86"/>
      <c r="S22" s="86"/>
      <c r="T22" s="34"/>
      <c r="U22" s="34"/>
      <c r="V22" s="36"/>
    </row>
    <row r="23">
      <c r="A23" s="81"/>
      <c r="B23" s="82"/>
      <c r="C23" s="82"/>
      <c r="D23" s="82"/>
      <c r="E23" s="84" t="s">
        <v>74</v>
      </c>
      <c r="F23" s="85" t="s">
        <v>75</v>
      </c>
      <c r="G23" s="86"/>
      <c r="H23" s="86"/>
      <c r="I23" s="86"/>
      <c r="J23" s="86"/>
      <c r="K23" s="86"/>
      <c r="L23" s="86"/>
      <c r="M23" s="86"/>
      <c r="N23" s="86"/>
      <c r="O23" s="86"/>
      <c r="P23" s="86"/>
      <c r="Q23" s="86"/>
      <c r="R23" s="86"/>
      <c r="S23" s="86"/>
      <c r="T23" s="34"/>
      <c r="U23" s="34"/>
      <c r="V23" s="36"/>
    </row>
    <row r="24">
      <c r="A24" s="81"/>
      <c r="B24" s="82"/>
      <c r="C24" s="82"/>
      <c r="D24" s="82"/>
      <c r="E24" s="90" t="s">
        <v>76</v>
      </c>
      <c r="F24" s="92" t="s">
        <v>77</v>
      </c>
      <c r="G24" s="47"/>
      <c r="H24" s="47"/>
      <c r="I24" s="47"/>
      <c r="J24" s="47"/>
      <c r="K24" s="47"/>
      <c r="L24" s="47"/>
      <c r="M24" s="47"/>
      <c r="N24" s="47"/>
      <c r="O24" s="47"/>
      <c r="P24" s="47"/>
      <c r="Q24" s="47"/>
      <c r="R24" s="47"/>
      <c r="S24" s="47"/>
      <c r="T24" s="93"/>
      <c r="U24" s="93"/>
      <c r="V24" s="95"/>
    </row>
    <row r="25">
      <c r="A25" s="81"/>
      <c r="B25" s="82"/>
      <c r="C25" s="82"/>
      <c r="D25" s="82"/>
      <c r="E25" s="19"/>
      <c r="F25" s="82"/>
      <c r="G25" s="82"/>
      <c r="H25" s="22"/>
      <c r="I25" s="22"/>
      <c r="J25" s="22"/>
      <c r="K25" s="22"/>
      <c r="L25" s="22"/>
      <c r="M25" s="22"/>
      <c r="N25" s="22"/>
      <c r="O25" s="22"/>
      <c r="P25" s="22"/>
      <c r="Q25" s="22"/>
      <c r="R25" s="22"/>
      <c r="S25" s="22"/>
      <c r="T25" s="22"/>
      <c r="U25" s="22"/>
      <c r="V25" s="78"/>
    </row>
    <row r="26">
      <c r="A26" s="81"/>
      <c r="B26" s="82"/>
      <c r="C26" s="83" t="s">
        <v>78</v>
      </c>
      <c r="G26" s="82"/>
      <c r="H26" s="22"/>
      <c r="I26" s="22"/>
      <c r="J26" s="22"/>
      <c r="K26" s="22"/>
      <c r="L26" s="22"/>
      <c r="M26" s="22"/>
      <c r="N26" s="22"/>
      <c r="O26" s="22"/>
      <c r="P26" s="22"/>
      <c r="Q26" s="22"/>
      <c r="R26" s="22"/>
      <c r="S26" s="22"/>
      <c r="T26" s="22"/>
      <c r="U26" s="22"/>
      <c r="V26" s="78"/>
    </row>
    <row r="27">
      <c r="A27" s="81"/>
      <c r="B27" s="82"/>
      <c r="C27" s="82"/>
      <c r="D27" s="82"/>
      <c r="E27" s="84" t="s">
        <v>80</v>
      </c>
      <c r="F27" s="85" t="s">
        <v>81</v>
      </c>
      <c r="G27" s="86"/>
      <c r="H27" s="86"/>
      <c r="I27" s="86"/>
      <c r="J27" s="86"/>
      <c r="K27" s="86"/>
      <c r="L27" s="86"/>
      <c r="M27" s="86"/>
      <c r="N27" s="86"/>
      <c r="O27" s="86"/>
      <c r="P27" s="86"/>
      <c r="Q27" s="86"/>
      <c r="R27" s="86"/>
      <c r="S27" s="86"/>
      <c r="T27" s="34"/>
      <c r="U27" s="34"/>
      <c r="V27" s="36"/>
    </row>
    <row r="28">
      <c r="A28" s="81"/>
      <c r="B28" s="82"/>
      <c r="C28" s="82"/>
      <c r="D28" s="82"/>
      <c r="E28" s="87" t="s">
        <v>23</v>
      </c>
      <c r="F28" s="88" t="s">
        <v>82</v>
      </c>
      <c r="G28" s="89"/>
      <c r="H28" s="89"/>
      <c r="I28" s="89"/>
      <c r="J28" s="89"/>
      <c r="K28" s="89"/>
      <c r="L28" s="89"/>
      <c r="M28" s="89"/>
      <c r="N28" s="89"/>
      <c r="O28" s="89"/>
      <c r="P28" s="89"/>
      <c r="Q28" s="89"/>
      <c r="R28" s="89"/>
      <c r="S28" s="89"/>
      <c r="T28" s="42"/>
      <c r="U28" s="42"/>
      <c r="V28" s="44"/>
    </row>
    <row r="29">
      <c r="A29" s="81"/>
      <c r="B29" s="82"/>
      <c r="C29" s="82"/>
      <c r="D29" s="82"/>
      <c r="E29" s="84" t="s">
        <v>83</v>
      </c>
      <c r="F29" s="85" t="s">
        <v>84</v>
      </c>
      <c r="G29" s="86"/>
      <c r="H29" s="86"/>
      <c r="I29" s="86"/>
      <c r="J29" s="86"/>
      <c r="K29" s="86"/>
      <c r="L29" s="86"/>
      <c r="M29" s="86"/>
      <c r="N29" s="86"/>
      <c r="O29" s="86"/>
      <c r="P29" s="86"/>
      <c r="Q29" s="86"/>
      <c r="R29" s="86"/>
      <c r="S29" s="86"/>
      <c r="T29" s="34"/>
      <c r="U29" s="34"/>
      <c r="V29" s="36"/>
    </row>
    <row r="30">
      <c r="A30" s="81"/>
      <c r="B30" s="82"/>
      <c r="C30" s="82"/>
      <c r="D30" s="82"/>
      <c r="E30" s="87" t="s">
        <v>86</v>
      </c>
      <c r="F30" s="88" t="s">
        <v>87</v>
      </c>
      <c r="G30" s="89"/>
      <c r="H30" s="89"/>
      <c r="I30" s="89"/>
      <c r="J30" s="89"/>
      <c r="K30" s="89"/>
      <c r="L30" s="89"/>
      <c r="M30" s="89"/>
      <c r="N30" s="89"/>
      <c r="O30" s="89"/>
      <c r="P30" s="89"/>
      <c r="Q30" s="89"/>
      <c r="R30" s="89"/>
      <c r="S30" s="89"/>
      <c r="T30" s="42"/>
      <c r="U30" s="42"/>
      <c r="V30" s="44"/>
    </row>
    <row r="31">
      <c r="A31" s="81"/>
      <c r="B31" s="82"/>
      <c r="C31" s="82"/>
      <c r="D31" s="82"/>
      <c r="E31" s="87" t="s">
        <v>88</v>
      </c>
      <c r="F31" s="88" t="s">
        <v>89</v>
      </c>
      <c r="G31" s="89"/>
      <c r="H31" s="89"/>
      <c r="I31" s="89"/>
      <c r="J31" s="89"/>
      <c r="K31" s="89"/>
      <c r="L31" s="89"/>
      <c r="M31" s="89"/>
      <c r="N31" s="89"/>
      <c r="O31" s="89"/>
      <c r="P31" s="89"/>
      <c r="Q31" s="89"/>
      <c r="R31" s="89"/>
      <c r="S31" s="89"/>
      <c r="T31" s="42"/>
      <c r="U31" s="42"/>
      <c r="V31" s="44"/>
    </row>
    <row r="32">
      <c r="A32" s="81"/>
      <c r="B32" s="82"/>
      <c r="C32" s="82"/>
      <c r="D32" s="82"/>
      <c r="E32" s="87" t="s">
        <v>92</v>
      </c>
      <c r="F32" s="88" t="s">
        <v>93</v>
      </c>
      <c r="G32" s="89"/>
      <c r="H32" s="89"/>
      <c r="I32" s="89"/>
      <c r="J32" s="89"/>
      <c r="K32" s="89"/>
      <c r="L32" s="89"/>
      <c r="M32" s="89"/>
      <c r="N32" s="89"/>
      <c r="O32" s="89"/>
      <c r="P32" s="89"/>
      <c r="Q32" s="89"/>
      <c r="R32" s="89"/>
      <c r="S32" s="89"/>
      <c r="T32" s="42"/>
      <c r="U32" s="42"/>
      <c r="V32" s="44"/>
    </row>
    <row r="33">
      <c r="A33" s="81"/>
      <c r="B33" s="82"/>
      <c r="C33" s="82"/>
      <c r="D33" s="82"/>
      <c r="E33" s="84" t="s">
        <v>94</v>
      </c>
      <c r="F33" s="85" t="s">
        <v>95</v>
      </c>
      <c r="G33" s="86"/>
      <c r="H33" s="86"/>
      <c r="I33" s="86"/>
      <c r="J33" s="86"/>
      <c r="K33" s="86"/>
      <c r="L33" s="86"/>
      <c r="M33" s="86"/>
      <c r="N33" s="86"/>
      <c r="O33" s="86"/>
      <c r="P33" s="86"/>
      <c r="Q33" s="86"/>
      <c r="R33" s="86"/>
      <c r="S33" s="86"/>
      <c r="T33" s="34"/>
      <c r="U33" s="34"/>
      <c r="V33" s="36"/>
    </row>
    <row r="34">
      <c r="A34" s="81"/>
      <c r="B34" s="82"/>
      <c r="C34" s="82"/>
      <c r="D34" s="82"/>
      <c r="E34" s="90" t="s">
        <v>97</v>
      </c>
      <c r="F34" s="92" t="s">
        <v>98</v>
      </c>
      <c r="G34" s="47"/>
      <c r="H34" s="47"/>
      <c r="I34" s="47"/>
      <c r="J34" s="47"/>
      <c r="K34" s="47"/>
      <c r="L34" s="47"/>
      <c r="M34" s="47"/>
      <c r="N34" s="47"/>
      <c r="O34" s="47"/>
      <c r="P34" s="47"/>
      <c r="Q34" s="47"/>
      <c r="R34" s="47"/>
      <c r="S34" s="47"/>
      <c r="T34" s="93"/>
      <c r="U34" s="93"/>
      <c r="V34" s="95"/>
    </row>
    <row r="35">
      <c r="A35" s="81"/>
      <c r="B35" s="82"/>
      <c r="C35" s="82"/>
      <c r="D35" s="82"/>
      <c r="E35" s="82"/>
      <c r="F35" s="82"/>
      <c r="G35" s="82"/>
      <c r="H35" s="22"/>
      <c r="I35" s="22"/>
      <c r="J35" s="22"/>
      <c r="K35" s="22"/>
      <c r="L35" s="22"/>
      <c r="M35" s="22"/>
      <c r="N35" s="22"/>
      <c r="O35" s="22"/>
      <c r="P35" s="22"/>
      <c r="Q35" s="22"/>
      <c r="R35" s="22"/>
      <c r="S35" s="22"/>
      <c r="T35" s="22"/>
      <c r="U35" s="22"/>
      <c r="V35" s="78"/>
    </row>
    <row r="36">
      <c r="A36" s="11" t="s">
        <v>99</v>
      </c>
      <c r="B36" s="12"/>
      <c r="C36" s="12"/>
      <c r="D36" s="12"/>
      <c r="E36" s="12"/>
      <c r="F36" s="12"/>
      <c r="G36" s="12"/>
      <c r="H36" s="16"/>
      <c r="I36" s="16"/>
      <c r="J36" s="16"/>
      <c r="K36" s="16"/>
      <c r="L36" s="16"/>
      <c r="M36" s="16"/>
      <c r="N36" s="16"/>
      <c r="O36" s="16"/>
      <c r="P36" s="16"/>
      <c r="Q36" s="16"/>
      <c r="R36" s="16"/>
      <c r="S36" s="16"/>
      <c r="T36" s="16"/>
      <c r="U36" s="16"/>
      <c r="V36" s="18"/>
    </row>
    <row r="37">
      <c r="A37" s="25"/>
      <c r="B37" s="22"/>
      <c r="C37" s="22"/>
      <c r="D37" s="22"/>
      <c r="E37" s="22"/>
      <c r="F37" s="22"/>
      <c r="G37" s="22"/>
      <c r="H37" s="22"/>
      <c r="I37" s="22"/>
      <c r="J37" s="22"/>
      <c r="K37" s="22"/>
      <c r="L37" s="22"/>
      <c r="M37" s="22"/>
      <c r="N37" s="22"/>
      <c r="O37" s="22"/>
      <c r="P37" s="22"/>
      <c r="Q37" s="22"/>
      <c r="R37" s="22"/>
      <c r="S37" s="22"/>
      <c r="T37" s="22"/>
      <c r="U37" s="22"/>
      <c r="V37" s="78"/>
    </row>
    <row r="38">
      <c r="A38" s="25"/>
      <c r="B38" s="22"/>
      <c r="C38" s="123" t="s">
        <v>100</v>
      </c>
      <c r="F38" s="22"/>
      <c r="G38" s="22"/>
      <c r="H38" s="22"/>
      <c r="I38" s="22"/>
      <c r="J38" s="22"/>
      <c r="K38" s="22"/>
      <c r="L38" s="22"/>
      <c r="M38" s="22"/>
      <c r="N38" s="22"/>
      <c r="O38" s="22"/>
      <c r="P38" s="22"/>
      <c r="Q38" s="22"/>
      <c r="R38" s="22"/>
      <c r="S38" s="22"/>
      <c r="T38" s="22"/>
      <c r="U38" s="22"/>
      <c r="V38" s="78"/>
    </row>
    <row r="39">
      <c r="A39" s="25"/>
      <c r="B39" s="22"/>
      <c r="C39" s="22"/>
      <c r="D39" s="22"/>
      <c r="E39" s="124" t="s">
        <v>101</v>
      </c>
      <c r="F39" s="126" t="s">
        <v>103</v>
      </c>
      <c r="G39" s="34"/>
      <c r="H39" s="34"/>
      <c r="I39" s="34"/>
      <c r="J39" s="34"/>
      <c r="K39" s="34"/>
      <c r="L39" s="34"/>
      <c r="M39" s="34"/>
      <c r="N39" s="34"/>
      <c r="O39" s="34"/>
      <c r="P39" s="34"/>
      <c r="Q39" s="34"/>
      <c r="R39" s="34"/>
      <c r="S39" s="34"/>
      <c r="T39" s="34"/>
      <c r="U39" s="34"/>
      <c r="V39" s="36"/>
    </row>
    <row r="40">
      <c r="A40" s="25"/>
      <c r="B40" s="22"/>
      <c r="C40" s="22"/>
      <c r="D40" s="22"/>
      <c r="E40" s="128" t="s">
        <v>104</v>
      </c>
      <c r="F40" s="129" t="s">
        <v>105</v>
      </c>
      <c r="G40" s="42"/>
      <c r="H40" s="42"/>
      <c r="I40" s="42"/>
      <c r="J40" s="42"/>
      <c r="K40" s="42"/>
      <c r="L40" s="42"/>
      <c r="M40" s="42"/>
      <c r="N40" s="42"/>
      <c r="O40" s="42"/>
      <c r="P40" s="42"/>
      <c r="Q40" s="42"/>
      <c r="R40" s="42"/>
      <c r="S40" s="42"/>
      <c r="T40" s="42"/>
      <c r="U40" s="42"/>
      <c r="V40" s="44"/>
    </row>
    <row r="41">
      <c r="A41" s="25"/>
      <c r="B41" s="22"/>
      <c r="C41" s="22"/>
      <c r="D41" s="22"/>
      <c r="E41" s="128" t="s">
        <v>106</v>
      </c>
      <c r="F41" s="129" t="s">
        <v>107</v>
      </c>
      <c r="G41" s="42"/>
      <c r="H41" s="42"/>
      <c r="I41" s="42"/>
      <c r="J41" s="42"/>
      <c r="K41" s="42"/>
      <c r="L41" s="42"/>
      <c r="M41" s="42"/>
      <c r="N41" s="42"/>
      <c r="O41" s="42"/>
      <c r="P41" s="42"/>
      <c r="Q41" s="42"/>
      <c r="R41" s="42"/>
      <c r="S41" s="42"/>
      <c r="T41" s="42"/>
      <c r="U41" s="42"/>
      <c r="V41" s="44"/>
    </row>
    <row r="42">
      <c r="A42" s="25"/>
      <c r="B42" s="22"/>
      <c r="C42" s="22"/>
      <c r="D42" s="22"/>
      <c r="E42" s="128" t="s">
        <v>108</v>
      </c>
      <c r="F42" s="129" t="s">
        <v>109</v>
      </c>
      <c r="G42" s="42"/>
      <c r="H42" s="42"/>
      <c r="I42" s="42"/>
      <c r="J42" s="42"/>
      <c r="K42" s="42"/>
      <c r="L42" s="42"/>
      <c r="M42" s="42"/>
      <c r="N42" s="42"/>
      <c r="O42" s="42"/>
      <c r="P42" s="42"/>
      <c r="Q42" s="42"/>
      <c r="R42" s="42"/>
      <c r="S42" s="42"/>
      <c r="T42" s="42"/>
      <c r="U42" s="42"/>
      <c r="V42" s="44"/>
    </row>
    <row r="43">
      <c r="A43" s="25"/>
      <c r="B43" s="22"/>
      <c r="C43" s="22"/>
      <c r="D43" s="22"/>
      <c r="E43" s="128" t="s">
        <v>110</v>
      </c>
      <c r="F43" s="129" t="s">
        <v>111</v>
      </c>
      <c r="G43" s="42"/>
      <c r="H43" s="42"/>
      <c r="I43" s="42"/>
      <c r="J43" s="42"/>
      <c r="K43" s="42"/>
      <c r="L43" s="42"/>
      <c r="M43" s="42"/>
      <c r="N43" s="42"/>
      <c r="O43" s="42"/>
      <c r="P43" s="42"/>
      <c r="Q43" s="42"/>
      <c r="R43" s="42"/>
      <c r="S43" s="42"/>
      <c r="T43" s="42"/>
      <c r="U43" s="42"/>
      <c r="V43" s="44"/>
    </row>
    <row r="44">
      <c r="A44" s="25"/>
      <c r="B44" s="22"/>
      <c r="C44" s="22"/>
      <c r="D44" s="22"/>
      <c r="E44" s="128" t="s">
        <v>112</v>
      </c>
      <c r="F44" s="129" t="s">
        <v>113</v>
      </c>
      <c r="G44" s="42"/>
      <c r="H44" s="42"/>
      <c r="I44" s="42"/>
      <c r="J44" s="42"/>
      <c r="K44" s="42"/>
      <c r="L44" s="42"/>
      <c r="M44" s="42"/>
      <c r="N44" s="42"/>
      <c r="O44" s="42"/>
      <c r="P44" s="42"/>
      <c r="Q44" s="42"/>
      <c r="R44" s="42"/>
      <c r="S44" s="42"/>
      <c r="T44" s="42"/>
      <c r="U44" s="42"/>
      <c r="V44" s="44"/>
    </row>
    <row r="45">
      <c r="A45" s="25"/>
      <c r="B45" s="22"/>
      <c r="C45" s="22"/>
      <c r="D45" s="22"/>
      <c r="E45" s="128" t="s">
        <v>114</v>
      </c>
      <c r="F45" s="129" t="s">
        <v>115</v>
      </c>
      <c r="G45" s="42"/>
      <c r="H45" s="42"/>
      <c r="I45" s="42"/>
      <c r="J45" s="42"/>
      <c r="K45" s="42"/>
      <c r="L45" s="42"/>
      <c r="M45" s="42"/>
      <c r="N45" s="42"/>
      <c r="O45" s="42"/>
      <c r="P45" s="42"/>
      <c r="Q45" s="42"/>
      <c r="R45" s="42"/>
      <c r="S45" s="42"/>
      <c r="T45" s="42"/>
      <c r="U45" s="42"/>
      <c r="V45" s="44"/>
    </row>
    <row r="46">
      <c r="A46" s="25"/>
      <c r="B46" s="22"/>
      <c r="C46" s="22"/>
      <c r="D46" s="22"/>
      <c r="E46" s="128" t="s">
        <v>116</v>
      </c>
      <c r="F46" s="129" t="s">
        <v>117</v>
      </c>
      <c r="G46" s="42"/>
      <c r="H46" s="42"/>
      <c r="I46" s="42"/>
      <c r="J46" s="42"/>
      <c r="K46" s="42"/>
      <c r="L46" s="42"/>
      <c r="M46" s="42"/>
      <c r="N46" s="42"/>
      <c r="O46" s="42"/>
      <c r="P46" s="42"/>
      <c r="Q46" s="42"/>
      <c r="R46" s="42"/>
      <c r="S46" s="42"/>
      <c r="T46" s="42"/>
      <c r="U46" s="42"/>
      <c r="V46" s="44"/>
    </row>
    <row r="47">
      <c r="A47" s="25"/>
      <c r="B47" s="22"/>
      <c r="C47" s="22"/>
      <c r="D47" s="22"/>
      <c r="E47" s="134" t="s">
        <v>118</v>
      </c>
      <c r="F47" s="136" t="s">
        <v>119</v>
      </c>
      <c r="G47" s="138"/>
      <c r="H47" s="138"/>
      <c r="I47" s="138"/>
      <c r="J47" s="138"/>
      <c r="K47" s="138"/>
      <c r="L47" s="138"/>
      <c r="M47" s="138"/>
      <c r="N47" s="138"/>
      <c r="O47" s="138"/>
      <c r="P47" s="138"/>
      <c r="Q47" s="138"/>
      <c r="R47" s="138"/>
      <c r="S47" s="138"/>
      <c r="T47" s="138"/>
      <c r="U47" s="138"/>
      <c r="V47" s="139"/>
    </row>
    <row r="48">
      <c r="A48" s="25"/>
      <c r="B48" s="22"/>
      <c r="C48" s="22"/>
      <c r="D48" s="22"/>
      <c r="E48" s="22"/>
      <c r="F48" s="22"/>
      <c r="G48" s="22"/>
      <c r="H48" s="22"/>
      <c r="I48" s="22"/>
      <c r="J48" s="22"/>
      <c r="K48" s="22"/>
      <c r="L48" s="22"/>
      <c r="M48" s="22"/>
      <c r="N48" s="22"/>
      <c r="O48" s="22"/>
      <c r="P48" s="22"/>
      <c r="Q48" s="22"/>
      <c r="R48" s="22"/>
      <c r="S48" s="22"/>
      <c r="T48" s="22"/>
      <c r="U48" s="22"/>
      <c r="V48" s="78"/>
    </row>
    <row r="49">
      <c r="A49" s="25"/>
      <c r="B49" s="22"/>
      <c r="C49" s="123" t="s">
        <v>120</v>
      </c>
      <c r="F49" s="22"/>
      <c r="G49" s="22"/>
      <c r="H49" s="22"/>
      <c r="I49" s="22"/>
      <c r="J49" s="22"/>
      <c r="K49" s="22"/>
      <c r="L49" s="22"/>
      <c r="M49" s="22"/>
      <c r="N49" s="22"/>
      <c r="O49" s="22"/>
      <c r="P49" s="22"/>
      <c r="Q49" s="22"/>
      <c r="R49" s="22"/>
      <c r="S49" s="22"/>
      <c r="T49" s="22"/>
      <c r="U49" s="22"/>
      <c r="V49" s="78"/>
    </row>
    <row r="50">
      <c r="A50" s="25"/>
      <c r="B50" s="22"/>
      <c r="C50" s="22"/>
      <c r="D50" s="22"/>
      <c r="E50" s="22"/>
      <c r="F50" s="22"/>
      <c r="G50" s="22"/>
      <c r="H50" s="22"/>
      <c r="I50" s="22"/>
      <c r="J50" s="22"/>
      <c r="K50" s="22"/>
      <c r="L50" s="22"/>
      <c r="M50" s="22"/>
      <c r="N50" s="22"/>
      <c r="O50" s="22"/>
      <c r="P50" s="22"/>
      <c r="Q50" s="22"/>
      <c r="R50" s="22"/>
      <c r="S50" s="22"/>
      <c r="T50" s="22"/>
      <c r="U50" s="22"/>
      <c r="V50" s="78"/>
    </row>
    <row r="51">
      <c r="A51" s="25"/>
      <c r="B51" s="22"/>
      <c r="C51" s="22"/>
      <c r="D51" s="22"/>
      <c r="E51" s="124" t="s">
        <v>122</v>
      </c>
      <c r="F51" s="126" t="s">
        <v>123</v>
      </c>
      <c r="G51" s="34"/>
      <c r="H51" s="34"/>
      <c r="I51" s="34"/>
      <c r="J51" s="34"/>
      <c r="K51" s="34"/>
      <c r="L51" s="34"/>
      <c r="M51" s="34"/>
      <c r="N51" s="34"/>
      <c r="O51" s="34"/>
      <c r="P51" s="34"/>
      <c r="Q51" s="34"/>
      <c r="R51" s="34"/>
      <c r="S51" s="34"/>
      <c r="T51" s="34"/>
      <c r="U51" s="34"/>
      <c r="V51" s="36"/>
    </row>
    <row r="52">
      <c r="A52" s="25"/>
      <c r="B52" s="22"/>
      <c r="C52" s="22"/>
      <c r="D52" s="22"/>
      <c r="E52" s="128" t="s">
        <v>124</v>
      </c>
      <c r="F52" s="129" t="s">
        <v>125</v>
      </c>
      <c r="G52" s="42"/>
      <c r="H52" s="42"/>
      <c r="I52" s="42"/>
      <c r="J52" s="42"/>
      <c r="K52" s="42"/>
      <c r="L52" s="42"/>
      <c r="M52" s="42"/>
      <c r="N52" s="42"/>
      <c r="O52" s="42"/>
      <c r="P52" s="42"/>
      <c r="Q52" s="42"/>
      <c r="R52" s="42"/>
      <c r="S52" s="42"/>
      <c r="T52" s="42"/>
      <c r="U52" s="42"/>
      <c r="V52" s="44"/>
    </row>
    <row r="53">
      <c r="A53" s="25"/>
      <c r="B53" s="22"/>
      <c r="C53" s="22"/>
      <c r="D53" s="22"/>
      <c r="E53" s="128" t="s">
        <v>126</v>
      </c>
      <c r="F53" s="129" t="s">
        <v>127</v>
      </c>
      <c r="G53" s="42"/>
      <c r="H53" s="42"/>
      <c r="I53" s="42"/>
      <c r="J53" s="42"/>
      <c r="K53" s="42"/>
      <c r="L53" s="42"/>
      <c r="M53" s="42"/>
      <c r="N53" s="42"/>
      <c r="O53" s="42"/>
      <c r="P53" s="42"/>
      <c r="Q53" s="42"/>
      <c r="R53" s="42"/>
      <c r="S53" s="42"/>
      <c r="T53" s="42"/>
      <c r="U53" s="42"/>
      <c r="V53" s="44"/>
    </row>
    <row r="54">
      <c r="A54" s="25"/>
      <c r="B54" s="22"/>
      <c r="C54" s="22"/>
      <c r="D54" s="22"/>
      <c r="E54" s="128" t="s">
        <v>128</v>
      </c>
      <c r="F54" s="129" t="s">
        <v>129</v>
      </c>
      <c r="G54" s="42"/>
      <c r="H54" s="42"/>
      <c r="I54" s="42"/>
      <c r="J54" s="42"/>
      <c r="K54" s="42"/>
      <c r="L54" s="42"/>
      <c r="M54" s="42"/>
      <c r="N54" s="42"/>
      <c r="O54" s="42"/>
      <c r="P54" s="42"/>
      <c r="Q54" s="42"/>
      <c r="R54" s="42"/>
      <c r="S54" s="42"/>
      <c r="T54" s="42"/>
      <c r="U54" s="42"/>
      <c r="V54" s="44"/>
    </row>
    <row r="55">
      <c r="A55" s="25"/>
      <c r="B55" s="22"/>
      <c r="C55" s="22"/>
      <c r="D55" s="22"/>
      <c r="E55" s="134" t="s">
        <v>130</v>
      </c>
      <c r="F55" s="136" t="s">
        <v>131</v>
      </c>
      <c r="G55" s="138"/>
      <c r="H55" s="138"/>
      <c r="I55" s="138"/>
      <c r="J55" s="138"/>
      <c r="K55" s="138"/>
      <c r="L55" s="138"/>
      <c r="M55" s="138"/>
      <c r="N55" s="138"/>
      <c r="O55" s="138"/>
      <c r="P55" s="138"/>
      <c r="Q55" s="138"/>
      <c r="R55" s="138"/>
      <c r="S55" s="138"/>
      <c r="T55" s="138"/>
      <c r="U55" s="138"/>
      <c r="V55" s="139"/>
    </row>
    <row r="56">
      <c r="A56" s="25"/>
      <c r="B56" s="22"/>
      <c r="C56" s="22"/>
      <c r="D56" s="22"/>
      <c r="E56" s="22"/>
      <c r="F56" s="22"/>
      <c r="G56" s="22"/>
      <c r="H56" s="22"/>
      <c r="I56" s="22"/>
      <c r="J56" s="22"/>
      <c r="K56" s="22"/>
      <c r="L56" s="22"/>
      <c r="M56" s="22"/>
      <c r="N56" s="22"/>
      <c r="O56" s="22"/>
      <c r="P56" s="22"/>
      <c r="Q56" s="22"/>
      <c r="R56" s="22"/>
      <c r="S56" s="22"/>
      <c r="T56" s="22"/>
      <c r="U56" s="22"/>
      <c r="V56" s="78"/>
    </row>
    <row r="57">
      <c r="A57" s="11" t="s">
        <v>133</v>
      </c>
      <c r="B57" s="12"/>
      <c r="C57" s="12"/>
      <c r="D57" s="12"/>
      <c r="E57" s="12"/>
      <c r="F57" s="12"/>
      <c r="G57" s="12"/>
      <c r="H57" s="16"/>
      <c r="I57" s="16"/>
      <c r="J57" s="16"/>
      <c r="K57" s="16"/>
      <c r="L57" s="16"/>
      <c r="M57" s="16"/>
      <c r="N57" s="16"/>
      <c r="O57" s="16"/>
      <c r="P57" s="16"/>
      <c r="Q57" s="16"/>
      <c r="R57" s="16"/>
      <c r="S57" s="16"/>
      <c r="T57" s="16"/>
      <c r="U57" s="16"/>
      <c r="V57" s="18"/>
    </row>
    <row r="58">
      <c r="A58" s="146"/>
      <c r="B58" s="22"/>
      <c r="D58" s="22"/>
      <c r="E58" s="147"/>
      <c r="F58" s="22"/>
      <c r="G58" s="22"/>
      <c r="H58" s="22"/>
      <c r="I58" s="22"/>
      <c r="J58" s="22"/>
      <c r="K58" s="22"/>
      <c r="L58" s="22"/>
      <c r="M58" s="22"/>
      <c r="N58" s="22"/>
      <c r="O58" s="22"/>
      <c r="P58" s="22"/>
      <c r="Q58" s="22"/>
      <c r="R58" s="22"/>
      <c r="S58" s="22"/>
      <c r="T58" s="22"/>
      <c r="U58" s="22"/>
      <c r="V58" s="78"/>
    </row>
    <row r="59">
      <c r="A59" s="146"/>
      <c r="B59" s="22"/>
      <c r="C59" s="149" t="s">
        <v>134</v>
      </c>
      <c r="G59" s="22"/>
      <c r="H59" s="22"/>
      <c r="I59" s="22"/>
      <c r="J59" s="22"/>
      <c r="K59" s="22"/>
      <c r="L59" s="22"/>
      <c r="M59" s="22"/>
      <c r="N59" s="22"/>
      <c r="O59" s="22"/>
      <c r="P59" s="22"/>
      <c r="Q59" s="22"/>
      <c r="R59" s="22"/>
      <c r="S59" s="22"/>
      <c r="T59" s="22"/>
      <c r="U59" s="22"/>
      <c r="V59" s="78"/>
    </row>
    <row r="60">
      <c r="A60" s="146"/>
      <c r="B60" s="22"/>
      <c r="D60" s="22"/>
      <c r="E60" s="158" t="s">
        <v>135</v>
      </c>
      <c r="F60" s="34"/>
      <c r="G60" s="34"/>
      <c r="H60" s="34"/>
      <c r="I60" s="34"/>
      <c r="J60" s="34"/>
      <c r="K60" s="34"/>
      <c r="L60" s="34"/>
      <c r="M60" s="34"/>
      <c r="N60" s="34"/>
      <c r="O60" s="34"/>
      <c r="P60" s="34"/>
      <c r="Q60" s="34"/>
      <c r="R60" s="34"/>
      <c r="S60" s="34"/>
      <c r="T60" s="34"/>
      <c r="U60" s="34"/>
      <c r="V60" s="36"/>
    </row>
    <row r="61">
      <c r="A61" s="160"/>
      <c r="B61" s="22"/>
      <c r="D61" s="22"/>
      <c r="E61" s="164" t="s">
        <v>138</v>
      </c>
      <c r="F61" s="42"/>
      <c r="G61" s="42"/>
      <c r="H61" s="42"/>
      <c r="I61" s="42"/>
      <c r="J61" s="42"/>
      <c r="K61" s="42"/>
      <c r="L61" s="42"/>
      <c r="M61" s="42"/>
      <c r="N61" s="42"/>
      <c r="O61" s="42"/>
      <c r="P61" s="42"/>
      <c r="Q61" s="42"/>
      <c r="R61" s="42"/>
      <c r="S61" s="42"/>
      <c r="T61" s="42"/>
      <c r="U61" s="42"/>
      <c r="V61" s="44"/>
    </row>
    <row r="62">
      <c r="A62" s="165"/>
      <c r="B62" s="22"/>
      <c r="D62" s="22"/>
      <c r="E62" s="167" t="s">
        <v>139</v>
      </c>
      <c r="F62" s="34"/>
      <c r="G62" s="34"/>
      <c r="H62" s="34"/>
      <c r="I62" s="34"/>
      <c r="J62" s="34"/>
      <c r="K62" s="34"/>
      <c r="L62" s="34"/>
      <c r="M62" s="34"/>
      <c r="N62" s="34"/>
      <c r="O62" s="34"/>
      <c r="P62" s="34"/>
      <c r="Q62" s="34"/>
      <c r="R62" s="34"/>
      <c r="S62" s="34"/>
      <c r="T62" s="34"/>
      <c r="U62" s="34"/>
      <c r="V62" s="36"/>
    </row>
    <row r="63">
      <c r="A63" s="165"/>
      <c r="B63" s="22"/>
      <c r="D63" s="22"/>
      <c r="E63" s="167" t="s">
        <v>140</v>
      </c>
      <c r="F63" s="34"/>
      <c r="G63" s="34"/>
      <c r="H63" s="34"/>
      <c r="I63" s="34"/>
      <c r="J63" s="34"/>
      <c r="K63" s="34"/>
      <c r="L63" s="34"/>
      <c r="M63" s="34"/>
      <c r="N63" s="34"/>
      <c r="O63" s="34"/>
      <c r="P63" s="34"/>
      <c r="Q63" s="34"/>
      <c r="R63" s="34"/>
      <c r="S63" s="34"/>
      <c r="T63" s="34"/>
      <c r="U63" s="34"/>
      <c r="V63" s="36"/>
    </row>
    <row r="64">
      <c r="A64" s="165"/>
      <c r="B64" s="22"/>
      <c r="D64" s="22"/>
      <c r="E64" s="170" t="s">
        <v>141</v>
      </c>
      <c r="F64" s="34"/>
      <c r="G64" s="34"/>
      <c r="H64" s="34"/>
      <c r="I64" s="34"/>
      <c r="J64" s="34"/>
      <c r="K64" s="34"/>
      <c r="L64" s="34"/>
      <c r="M64" s="34"/>
      <c r="N64" s="34"/>
      <c r="O64" s="34"/>
      <c r="P64" s="34"/>
      <c r="Q64" s="34"/>
      <c r="R64" s="34"/>
      <c r="S64" s="34"/>
      <c r="T64" s="34"/>
      <c r="U64" s="34"/>
      <c r="V64" s="36"/>
    </row>
    <row r="65">
      <c r="A65" s="165"/>
      <c r="B65" s="22"/>
      <c r="C65" s="22"/>
      <c r="D65" s="22"/>
      <c r="E65" s="174" t="s">
        <v>143</v>
      </c>
      <c r="F65" s="34"/>
      <c r="G65" s="34"/>
      <c r="H65" s="34"/>
      <c r="I65" s="34"/>
      <c r="J65" s="34"/>
      <c r="K65" s="34"/>
      <c r="L65" s="34"/>
      <c r="M65" s="34"/>
      <c r="N65" s="34"/>
      <c r="O65" s="34"/>
      <c r="P65" s="34"/>
      <c r="Q65" s="34"/>
      <c r="R65" s="34"/>
      <c r="S65" s="34"/>
      <c r="T65" s="34"/>
      <c r="U65" s="34"/>
      <c r="V65" s="36"/>
    </row>
    <row r="66">
      <c r="A66" s="165"/>
      <c r="B66" s="22"/>
      <c r="C66" s="22"/>
      <c r="D66" s="22"/>
      <c r="E66" s="178" t="s">
        <v>145</v>
      </c>
      <c r="F66" s="42"/>
      <c r="G66" s="42"/>
      <c r="H66" s="42"/>
      <c r="I66" s="42"/>
      <c r="J66" s="42"/>
      <c r="K66" s="42"/>
      <c r="L66" s="42"/>
      <c r="M66" s="42"/>
      <c r="N66" s="42"/>
      <c r="O66" s="42"/>
      <c r="P66" s="42"/>
      <c r="Q66" s="42"/>
      <c r="R66" s="42"/>
      <c r="S66" s="42"/>
      <c r="T66" s="42"/>
      <c r="U66" s="42"/>
      <c r="V66" s="44"/>
    </row>
    <row r="67">
      <c r="A67" s="165"/>
      <c r="B67" s="22"/>
      <c r="C67" s="22"/>
      <c r="D67" s="22"/>
      <c r="E67" s="178" t="s">
        <v>146</v>
      </c>
      <c r="F67" s="42"/>
      <c r="G67" s="42"/>
      <c r="H67" s="42"/>
      <c r="I67" s="42"/>
      <c r="J67" s="42"/>
      <c r="K67" s="42"/>
      <c r="L67" s="42"/>
      <c r="M67" s="42"/>
      <c r="N67" s="42"/>
      <c r="O67" s="42"/>
      <c r="P67" s="42"/>
      <c r="Q67" s="42"/>
      <c r="R67" s="42"/>
      <c r="S67" s="42"/>
      <c r="T67" s="42"/>
      <c r="U67" s="42"/>
      <c r="V67" s="44"/>
    </row>
    <row r="68">
      <c r="A68" s="165"/>
      <c r="B68" s="22"/>
      <c r="C68" s="22"/>
      <c r="D68" s="22"/>
      <c r="E68" s="185" t="s">
        <v>148</v>
      </c>
      <c r="F68" s="138"/>
      <c r="G68" s="138"/>
      <c r="H68" s="138"/>
      <c r="I68" s="138"/>
      <c r="J68" s="138"/>
      <c r="K68" s="138"/>
      <c r="L68" s="138"/>
      <c r="M68" s="138"/>
      <c r="N68" s="138"/>
      <c r="O68" s="138"/>
      <c r="P68" s="138"/>
      <c r="Q68" s="138"/>
      <c r="R68" s="138"/>
      <c r="S68" s="138"/>
      <c r="T68" s="138"/>
      <c r="U68" s="138"/>
      <c r="V68" s="139"/>
    </row>
    <row r="69">
      <c r="A69" s="165"/>
      <c r="B69" s="22"/>
      <c r="D69" s="22"/>
      <c r="E69" s="186"/>
      <c r="F69" s="22"/>
      <c r="G69" s="22"/>
      <c r="H69" s="22"/>
      <c r="I69" s="22"/>
      <c r="J69" s="22"/>
      <c r="K69" s="22"/>
      <c r="L69" s="22"/>
      <c r="M69" s="22"/>
      <c r="N69" s="22"/>
      <c r="O69" s="22"/>
      <c r="P69" s="22"/>
      <c r="Q69" s="22"/>
      <c r="R69" s="22"/>
      <c r="S69" s="22"/>
      <c r="T69" s="22"/>
      <c r="U69" s="22"/>
      <c r="V69" s="78"/>
    </row>
    <row r="70">
      <c r="A70" s="165"/>
      <c r="B70" s="22"/>
      <c r="C70" s="149" t="s">
        <v>149</v>
      </c>
      <c r="G70" s="22"/>
      <c r="H70" s="22"/>
      <c r="I70" s="22"/>
      <c r="J70" s="22"/>
      <c r="K70" s="22"/>
      <c r="L70" s="22"/>
      <c r="M70" s="22"/>
      <c r="N70" s="22"/>
      <c r="O70" s="22"/>
      <c r="P70" s="22"/>
      <c r="Q70" s="22"/>
      <c r="R70" s="22"/>
      <c r="S70" s="22"/>
      <c r="T70" s="22"/>
      <c r="U70" s="22"/>
      <c r="V70" s="78"/>
    </row>
    <row r="71">
      <c r="A71" s="188"/>
      <c r="B71" s="22"/>
      <c r="D71" s="22"/>
      <c r="E71" s="189" t="s">
        <v>150</v>
      </c>
      <c r="F71" s="34"/>
      <c r="G71" s="34"/>
      <c r="H71" s="34"/>
      <c r="I71" s="34"/>
      <c r="J71" s="34"/>
      <c r="K71" s="34"/>
      <c r="L71" s="34"/>
      <c r="M71" s="34"/>
      <c r="N71" s="34"/>
      <c r="O71" s="34"/>
      <c r="P71" s="34"/>
      <c r="Q71" s="34"/>
      <c r="R71" s="34"/>
      <c r="S71" s="34"/>
      <c r="T71" s="34"/>
      <c r="U71" s="34"/>
      <c r="V71" s="36"/>
    </row>
    <row r="72">
      <c r="A72" s="165"/>
      <c r="B72" s="22"/>
      <c r="D72" s="22"/>
      <c r="E72" s="191" t="s">
        <v>151</v>
      </c>
      <c r="F72" s="193"/>
      <c r="G72" s="193"/>
      <c r="H72" s="193"/>
      <c r="I72" s="193"/>
      <c r="J72" s="193"/>
      <c r="K72" s="193"/>
      <c r="L72" s="193"/>
      <c r="M72" s="193"/>
      <c r="N72" s="193"/>
      <c r="O72" s="193"/>
      <c r="P72" s="193"/>
      <c r="Q72" s="193"/>
      <c r="R72" s="193"/>
      <c r="S72" s="193"/>
      <c r="T72" s="193"/>
      <c r="U72" s="193"/>
      <c r="V72" s="195"/>
    </row>
    <row r="73">
      <c r="A73" s="197"/>
      <c r="B73" s="198"/>
      <c r="C73" s="198"/>
      <c r="D73" s="198"/>
      <c r="E73" s="32" t="s">
        <v>153</v>
      </c>
      <c r="F73" s="198"/>
      <c r="G73" s="198"/>
      <c r="H73" s="198"/>
      <c r="I73" s="198"/>
      <c r="J73" s="198"/>
      <c r="K73" s="198"/>
      <c r="L73" s="198"/>
      <c r="M73" s="198"/>
      <c r="N73" s="198"/>
      <c r="O73" s="198"/>
      <c r="P73" s="198"/>
      <c r="Q73" s="198"/>
      <c r="R73" s="198"/>
      <c r="S73" s="198"/>
      <c r="T73" s="198"/>
      <c r="U73" s="198"/>
      <c r="V73" s="202"/>
    </row>
    <row r="74">
      <c r="A74" s="165"/>
      <c r="B74" s="22"/>
      <c r="D74" s="22"/>
      <c r="E74" s="191" t="s">
        <v>154</v>
      </c>
      <c r="F74" s="193"/>
      <c r="G74" s="193"/>
      <c r="H74" s="193"/>
      <c r="I74" s="193"/>
      <c r="J74" s="193"/>
      <c r="K74" s="193"/>
      <c r="L74" s="193"/>
      <c r="M74" s="193"/>
      <c r="N74" s="193"/>
      <c r="O74" s="193"/>
      <c r="P74" s="193"/>
      <c r="Q74" s="193"/>
      <c r="R74" s="193"/>
      <c r="S74" s="193"/>
      <c r="T74" s="193"/>
      <c r="U74" s="193"/>
      <c r="V74" s="195"/>
    </row>
    <row r="75">
      <c r="A75" s="165"/>
      <c r="B75" s="22"/>
      <c r="C75" s="22"/>
      <c r="D75" s="22"/>
      <c r="E75" s="205" t="s">
        <v>156</v>
      </c>
      <c r="F75" s="138"/>
      <c r="G75" s="138"/>
      <c r="H75" s="138"/>
      <c r="I75" s="138"/>
      <c r="J75" s="138"/>
      <c r="K75" s="138"/>
      <c r="L75" s="138"/>
      <c r="M75" s="138"/>
      <c r="N75" s="138"/>
      <c r="O75" s="138"/>
      <c r="P75" s="138"/>
      <c r="Q75" s="138"/>
      <c r="R75" s="138"/>
      <c r="S75" s="138"/>
      <c r="T75" s="138"/>
      <c r="U75" s="138"/>
      <c r="V75" s="139"/>
    </row>
    <row r="76">
      <c r="A76" s="206"/>
      <c r="B76" s="93"/>
      <c r="C76" s="93"/>
      <c r="D76" s="93"/>
      <c r="E76" s="93"/>
      <c r="F76" s="93"/>
      <c r="G76" s="93"/>
      <c r="H76" s="93"/>
      <c r="I76" s="93"/>
      <c r="J76" s="93"/>
      <c r="K76" s="93"/>
      <c r="L76" s="93"/>
      <c r="M76" s="93"/>
      <c r="N76" s="93"/>
      <c r="O76" s="93"/>
      <c r="P76" s="93"/>
      <c r="Q76" s="93"/>
      <c r="R76" s="93"/>
      <c r="S76" s="93"/>
      <c r="T76" s="93"/>
      <c r="U76" s="93"/>
      <c r="V76" s="95"/>
    </row>
  </sheetData>
  <mergeCells count="27">
    <mergeCell ref="A1:G1"/>
    <mergeCell ref="A2:G2"/>
    <mergeCell ref="A14:G14"/>
    <mergeCell ref="C16:F16"/>
    <mergeCell ref="F17:S17"/>
    <mergeCell ref="F18:S18"/>
    <mergeCell ref="F19:S19"/>
    <mergeCell ref="F20:S20"/>
    <mergeCell ref="F21:S21"/>
    <mergeCell ref="F22:S22"/>
    <mergeCell ref="F23:S23"/>
    <mergeCell ref="F24:S24"/>
    <mergeCell ref="C26:F26"/>
    <mergeCell ref="F27:S27"/>
    <mergeCell ref="A36:G36"/>
    <mergeCell ref="C38:E38"/>
    <mergeCell ref="C49:E49"/>
    <mergeCell ref="A57:G57"/>
    <mergeCell ref="C59:F59"/>
    <mergeCell ref="C70:F70"/>
    <mergeCell ref="F28:S28"/>
    <mergeCell ref="F29:S29"/>
    <mergeCell ref="F30:S30"/>
    <mergeCell ref="F31:S31"/>
    <mergeCell ref="F32:S32"/>
    <mergeCell ref="F33:S33"/>
    <mergeCell ref="F34:S34"/>
  </mergeCells>
  <hyperlinks>
    <hyperlink display="Main CEA" location="'Main CEA'!A1" ref="E4"/>
    <hyperlink display="Counterfactual mortality" location="'Counterfactual mortality'!A1" ref="E5"/>
    <hyperlink display="External validity" location="'External validity'!A1" ref="E6"/>
    <hyperlink display="Leverage/Funging" location="LeverageFunging!A1" ref="E7"/>
    <hyperlink display="Inputs" location="Inputs!A1" ref="E8"/>
    <hyperlink display="GBD estimates" location="'GBD estimates'!A1" ref="E9"/>
    <hyperlink display="Simple CEA" location="'Simple CEA'!A1" ref="E10"/>
    <hyperlink display="Confidence intervals" location="'Confidence intervals'!A1" ref="E11"/>
    <hyperlink display="Sensitivity analysis" location="'Sensitivity analysis'!A1" ref="E12"/>
    <hyperlink r:id="rId1" ref="E60"/>
    <hyperlink r:id="rId2" ref="E61"/>
    <hyperlink r:id="rId3" ref="E62"/>
    <hyperlink r:id="rId4" ref="E63"/>
    <hyperlink r:id="rId5" ref="E64"/>
    <hyperlink r:id="rId6" ref="E65"/>
    <hyperlink r:id="rId7" ref="E66"/>
    <hyperlink r:id="rId8" ref="E67"/>
    <hyperlink r:id="rId9" location="gid=1660169542" ref="E68"/>
    <hyperlink r:id="rId10" location="gid=1087538420" ref="E71"/>
    <hyperlink r:id="rId11" ref="E72"/>
    <hyperlink r:id="rId12" location="gid=1110574950" ref="E73"/>
    <hyperlink r:id="rId13" ref="E74"/>
    <hyperlink r:id="rId14" ref="E75"/>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6" width="12.13"/>
    <col customWidth="1" min="37" max="37" width="3.63"/>
  </cols>
  <sheetData>
    <row r="1">
      <c r="A1" s="1"/>
      <c r="B1" s="4"/>
      <c r="C1" s="4"/>
      <c r="D1" s="4"/>
      <c r="E1" s="6"/>
      <c r="F1" s="7"/>
      <c r="G1" s="14"/>
      <c r="H1" s="15"/>
      <c r="I1" s="10" t="s">
        <v>1</v>
      </c>
      <c r="Q1" s="13" t="s">
        <v>1</v>
      </c>
      <c r="R1" s="3"/>
      <c r="S1" s="3"/>
      <c r="T1" s="3"/>
      <c r="U1" s="3"/>
      <c r="V1" s="3"/>
      <c r="W1" s="3"/>
      <c r="X1" s="3"/>
      <c r="Y1" s="13" t="s">
        <v>1</v>
      </c>
      <c r="Z1" s="3"/>
      <c r="AA1" s="3"/>
      <c r="AB1" s="3"/>
      <c r="AC1" s="3"/>
      <c r="AD1" s="3"/>
      <c r="AE1" s="3"/>
      <c r="AF1" s="17"/>
      <c r="AG1" s="20" t="s">
        <v>3</v>
      </c>
      <c r="AH1" s="12"/>
      <c r="AI1" s="12"/>
      <c r="AJ1" s="30"/>
      <c r="AK1" s="31"/>
    </row>
    <row r="2">
      <c r="A2" s="23"/>
      <c r="B2" s="24"/>
      <c r="C2" s="24"/>
      <c r="D2" s="24"/>
      <c r="E2" s="26"/>
      <c r="F2" s="27"/>
      <c r="G2" s="35"/>
      <c r="H2" s="37"/>
      <c r="I2" s="29" t="s">
        <v>5</v>
      </c>
      <c r="J2" s="29" t="s">
        <v>6</v>
      </c>
      <c r="K2" s="29" t="s">
        <v>7</v>
      </c>
      <c r="L2" s="29" t="s">
        <v>8</v>
      </c>
      <c r="M2" s="29" t="s">
        <v>9</v>
      </c>
      <c r="N2" s="29" t="s">
        <v>10</v>
      </c>
      <c r="O2" s="29" t="s">
        <v>11</v>
      </c>
      <c r="P2" s="29" t="s">
        <v>12</v>
      </c>
      <c r="Q2" s="13" t="s">
        <v>13</v>
      </c>
      <c r="R2" s="29" t="s">
        <v>14</v>
      </c>
      <c r="S2" s="29" t="s">
        <v>14</v>
      </c>
      <c r="T2" s="29" t="s">
        <v>14</v>
      </c>
      <c r="U2" s="29" t="s">
        <v>14</v>
      </c>
      <c r="V2" s="29" t="s">
        <v>14</v>
      </c>
      <c r="W2" s="29" t="s">
        <v>14</v>
      </c>
      <c r="X2" s="29" t="s">
        <v>14</v>
      </c>
      <c r="Y2" s="13" t="s">
        <v>14</v>
      </c>
      <c r="Z2" s="29" t="s">
        <v>14</v>
      </c>
      <c r="AA2" s="29" t="s">
        <v>14</v>
      </c>
      <c r="AB2" s="29" t="s">
        <v>14</v>
      </c>
      <c r="AC2" s="29" t="s">
        <v>14</v>
      </c>
      <c r="AD2" s="29" t="s">
        <v>14</v>
      </c>
      <c r="AE2" s="29" t="s">
        <v>14</v>
      </c>
      <c r="AF2" s="52" t="s">
        <v>14</v>
      </c>
      <c r="AG2" s="39" t="s">
        <v>17</v>
      </c>
      <c r="AH2" s="41" t="s">
        <v>19</v>
      </c>
      <c r="AI2" s="41" t="s">
        <v>20</v>
      </c>
      <c r="AJ2" s="41" t="s">
        <v>21</v>
      </c>
      <c r="AK2" s="54"/>
    </row>
    <row r="3">
      <c r="A3" s="46" t="s">
        <v>46</v>
      </c>
      <c r="B3" s="47"/>
      <c r="C3" s="47"/>
      <c r="D3" s="47"/>
      <c r="E3" s="47"/>
      <c r="F3" s="48" t="s">
        <v>50</v>
      </c>
      <c r="G3" s="59" t="s">
        <v>52</v>
      </c>
      <c r="H3" s="49" t="s">
        <v>25</v>
      </c>
      <c r="I3" s="50"/>
      <c r="J3" s="50"/>
      <c r="K3" s="50"/>
      <c r="L3" s="50"/>
      <c r="M3" s="50"/>
      <c r="N3" s="50"/>
      <c r="O3" s="50"/>
      <c r="P3" s="50"/>
      <c r="Q3" s="51"/>
      <c r="R3" s="50" t="s">
        <v>27</v>
      </c>
      <c r="S3" s="50" t="s">
        <v>28</v>
      </c>
      <c r="T3" s="50" t="s">
        <v>30</v>
      </c>
      <c r="U3" s="50" t="s">
        <v>31</v>
      </c>
      <c r="V3" s="50" t="s">
        <v>32</v>
      </c>
      <c r="W3" s="50" t="s">
        <v>33</v>
      </c>
      <c r="X3" s="50" t="s">
        <v>34</v>
      </c>
      <c r="Y3" s="51" t="s">
        <v>35</v>
      </c>
      <c r="Z3" s="50" t="s">
        <v>36</v>
      </c>
      <c r="AA3" s="50" t="s">
        <v>37</v>
      </c>
      <c r="AB3" s="50" t="s">
        <v>38</v>
      </c>
      <c r="AC3" s="50" t="s">
        <v>40</v>
      </c>
      <c r="AD3" s="50" t="s">
        <v>41</v>
      </c>
      <c r="AE3" s="50" t="s">
        <v>42</v>
      </c>
      <c r="AF3" s="70" t="s">
        <v>43</v>
      </c>
      <c r="AG3" s="53"/>
      <c r="AH3" s="50"/>
      <c r="AI3" s="50"/>
      <c r="AJ3" s="50"/>
      <c r="AK3" s="72"/>
    </row>
    <row r="4">
      <c r="A4" s="56"/>
      <c r="B4" s="57"/>
      <c r="C4" s="57"/>
      <c r="D4" s="57"/>
      <c r="E4" s="58" t="s">
        <v>58</v>
      </c>
      <c r="F4" s="67" t="str">
        <f>F149</f>
        <v>xbenchmark</v>
      </c>
      <c r="G4" s="80" t="s">
        <v>60</v>
      </c>
      <c r="H4" s="71" t="str">
        <f t="shared" ref="H4:AJ4" si="1">H149</f>
        <v>-</v>
      </c>
      <c r="I4" s="76">
        <f t="shared" si="1"/>
        <v>22.60415752</v>
      </c>
      <c r="J4" s="76">
        <f t="shared" si="1"/>
        <v>15.90795125</v>
      </c>
      <c r="K4" s="76">
        <f t="shared" si="1"/>
        <v>8.539170255</v>
      </c>
      <c r="L4" s="76">
        <f t="shared" si="1"/>
        <v>16.91453322</v>
      </c>
      <c r="M4" s="76">
        <f t="shared" si="1"/>
        <v>10.93220737</v>
      </c>
      <c r="N4" s="76">
        <f t="shared" si="1"/>
        <v>4.797449632</v>
      </c>
      <c r="O4" s="76">
        <f t="shared" si="1"/>
        <v>15.91291055</v>
      </c>
      <c r="P4" s="76">
        <f t="shared" si="1"/>
        <v>32.8307888</v>
      </c>
      <c r="Q4" s="76">
        <f t="shared" si="1"/>
        <v>59.34334121</v>
      </c>
      <c r="R4" s="76">
        <f t="shared" si="1"/>
        <v>21.47896702</v>
      </c>
      <c r="S4" s="76">
        <f t="shared" si="1"/>
        <v>4.41378032</v>
      </c>
      <c r="T4" s="76">
        <f t="shared" si="1"/>
        <v>2.306263162</v>
      </c>
      <c r="U4" s="76">
        <f t="shared" si="1"/>
        <v>9.528711546</v>
      </c>
      <c r="V4" s="76">
        <f t="shared" si="1"/>
        <v>5.198055163</v>
      </c>
      <c r="W4" s="76">
        <f t="shared" si="1"/>
        <v>13.5193518</v>
      </c>
      <c r="X4" s="76">
        <f t="shared" si="1"/>
        <v>3.812617409</v>
      </c>
      <c r="Y4" s="76">
        <f t="shared" si="1"/>
        <v>5.895050222</v>
      </c>
      <c r="Z4" s="76">
        <f t="shared" si="1"/>
        <v>3.155973833</v>
      </c>
      <c r="AA4" s="76">
        <f t="shared" si="1"/>
        <v>4.188151971</v>
      </c>
      <c r="AB4" s="76">
        <f t="shared" si="1"/>
        <v>11.97636056</v>
      </c>
      <c r="AC4" s="76">
        <f t="shared" si="1"/>
        <v>4.828298764</v>
      </c>
      <c r="AD4" s="76">
        <f t="shared" si="1"/>
        <v>2.328547655</v>
      </c>
      <c r="AE4" s="76">
        <f t="shared" si="1"/>
        <v>7.686300139</v>
      </c>
      <c r="AF4" s="76">
        <f t="shared" si="1"/>
        <v>28.9613448</v>
      </c>
      <c r="AG4" s="91">
        <f t="shared" si="1"/>
        <v>5.627604036</v>
      </c>
      <c r="AH4" s="76">
        <f t="shared" si="1"/>
        <v>20.12427722</v>
      </c>
      <c r="AI4" s="76">
        <f t="shared" si="1"/>
        <v>14.89433335</v>
      </c>
      <c r="AJ4" s="76">
        <f t="shared" si="1"/>
        <v>6.31059923</v>
      </c>
      <c r="AK4" s="96"/>
    </row>
    <row r="5">
      <c r="A5" s="99" t="s">
        <v>79</v>
      </c>
      <c r="B5" s="12"/>
      <c r="C5" s="12"/>
      <c r="D5" s="12"/>
      <c r="E5" s="12"/>
      <c r="F5" s="12"/>
      <c r="G5" s="12"/>
      <c r="H5" s="97"/>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108"/>
    </row>
    <row r="6">
      <c r="A6" s="101"/>
      <c r="B6" s="102"/>
      <c r="C6" s="102"/>
      <c r="D6" s="102"/>
      <c r="E6" s="103"/>
      <c r="F6" s="104"/>
      <c r="G6" s="111"/>
      <c r="H6" s="105"/>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7"/>
    </row>
    <row r="7">
      <c r="A7" s="101"/>
      <c r="B7" s="102"/>
      <c r="C7" s="113" t="s">
        <v>91</v>
      </c>
      <c r="F7" s="104"/>
      <c r="G7" s="115"/>
      <c r="H7" s="105"/>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7"/>
    </row>
    <row r="8">
      <c r="A8" s="101"/>
      <c r="B8" s="102"/>
      <c r="C8" s="102"/>
      <c r="D8" s="102"/>
      <c r="E8" s="120" t="s">
        <v>96</v>
      </c>
      <c r="F8" s="121" t="str">
        <f>Inputs!F8</f>
        <v>$</v>
      </c>
      <c r="G8" s="122" t="str">
        <f>Inputs!G8</f>
        <v>input</v>
      </c>
      <c r="H8" s="125">
        <f>Inputs!H8</f>
        <v>1000000</v>
      </c>
      <c r="I8" s="127" t="str">
        <f>Inputs!I8</f>
        <v>-</v>
      </c>
      <c r="J8" s="127" t="str">
        <f>Inputs!J8</f>
        <v>-</v>
      </c>
      <c r="K8" s="127" t="str">
        <f>Inputs!K8</f>
        <v>-</v>
      </c>
      <c r="L8" s="127" t="str">
        <f>Inputs!L8</f>
        <v>-</v>
      </c>
      <c r="M8" s="127" t="str">
        <f>Inputs!M8</f>
        <v>-</v>
      </c>
      <c r="N8" s="127" t="str">
        <f>Inputs!N8</f>
        <v>-</v>
      </c>
      <c r="O8" s="127" t="str">
        <f>Inputs!O8</f>
        <v>-</v>
      </c>
      <c r="P8" s="127" t="str">
        <f>Inputs!P8</f>
        <v>-</v>
      </c>
      <c r="Q8" s="127" t="str">
        <f>Inputs!Q8</f>
        <v>-</v>
      </c>
      <c r="R8" s="127" t="str">
        <f>Inputs!R8</f>
        <v>-</v>
      </c>
      <c r="S8" s="127" t="str">
        <f>Inputs!S8</f>
        <v>-</v>
      </c>
      <c r="T8" s="127" t="str">
        <f>Inputs!T8</f>
        <v>-</v>
      </c>
      <c r="U8" s="127" t="str">
        <f>Inputs!U8</f>
        <v>-</v>
      </c>
      <c r="V8" s="127" t="str">
        <f>Inputs!V8</f>
        <v>-</v>
      </c>
      <c r="W8" s="127" t="str">
        <f>Inputs!W8</f>
        <v>-</v>
      </c>
      <c r="X8" s="127" t="str">
        <f>Inputs!X8</f>
        <v>-</v>
      </c>
      <c r="Y8" s="127" t="str">
        <f>Inputs!Y8</f>
        <v>-</v>
      </c>
      <c r="Z8" s="127" t="str">
        <f>Inputs!Z8</f>
        <v>-</v>
      </c>
      <c r="AA8" s="127" t="str">
        <f>Inputs!AA8</f>
        <v>-</v>
      </c>
      <c r="AB8" s="127" t="str">
        <f>Inputs!AB8</f>
        <v>-</v>
      </c>
      <c r="AC8" s="127" t="str">
        <f>Inputs!AC8</f>
        <v>-</v>
      </c>
      <c r="AD8" s="127" t="str">
        <f>Inputs!AD8</f>
        <v>-</v>
      </c>
      <c r="AE8" s="127" t="str">
        <f>Inputs!AE8</f>
        <v>-</v>
      </c>
      <c r="AF8" s="127" t="str">
        <f>Inputs!AF8</f>
        <v>-</v>
      </c>
      <c r="AG8" s="127" t="str">
        <f>Inputs!AG8</f>
        <v>-</v>
      </c>
      <c r="AH8" s="127" t="str">
        <f>Inputs!AH8</f>
        <v>-</v>
      </c>
      <c r="AI8" s="127" t="str">
        <f>Inputs!AI8</f>
        <v>-</v>
      </c>
      <c r="AJ8" s="127" t="str">
        <f>Inputs!AJ8</f>
        <v>-</v>
      </c>
      <c r="AK8" s="152"/>
    </row>
    <row r="9">
      <c r="A9" s="101"/>
      <c r="B9" s="102"/>
      <c r="C9" s="102"/>
      <c r="D9" s="102"/>
      <c r="E9" s="131"/>
      <c r="F9" s="132"/>
      <c r="G9" s="155"/>
      <c r="H9" s="105"/>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7"/>
    </row>
    <row r="10">
      <c r="A10" s="101"/>
      <c r="B10" s="102"/>
      <c r="C10" s="123" t="s">
        <v>136</v>
      </c>
      <c r="F10" s="156"/>
      <c r="G10" s="157"/>
      <c r="H10" s="105"/>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7"/>
    </row>
    <row r="11">
      <c r="A11" s="101"/>
      <c r="B11" s="102"/>
      <c r="C11" s="22"/>
      <c r="D11" s="22"/>
      <c r="E11" s="159" t="s">
        <v>137</v>
      </c>
      <c r="F11" s="162" t="str">
        <f>Inputs!F11</f>
        <v>%</v>
      </c>
      <c r="G11" s="163" t="str">
        <f>Inputs!G11</f>
        <v>input</v>
      </c>
      <c r="H11" s="117" t="str">
        <f>Inputs!H11</f>
        <v>-</v>
      </c>
      <c r="I11" s="166">
        <f>Inputs!I11</f>
        <v>0.4310638</v>
      </c>
      <c r="J11" s="166">
        <f>Inputs!J11</f>
        <v>0.6403403</v>
      </c>
      <c r="K11" s="166">
        <f>Inputs!K11</f>
        <v>0.4659904</v>
      </c>
      <c r="L11" s="166">
        <f>Inputs!L11</f>
        <v>0.4659904</v>
      </c>
      <c r="M11" s="166">
        <f>Inputs!M11</f>
        <v>0.5527665</v>
      </c>
      <c r="N11" s="166">
        <f>Inputs!N11</f>
        <v>0.4659904</v>
      </c>
      <c r="O11" s="166">
        <f>Inputs!O11</f>
        <v>0.5983099</v>
      </c>
      <c r="P11" s="166">
        <f>Inputs!P11</f>
        <v>0.4324667</v>
      </c>
      <c r="Q11" s="166">
        <f>Inputs!Q11</f>
        <v>0.3616872</v>
      </c>
      <c r="R11" s="166">
        <f>Inputs!R11</f>
        <v>0.4659904</v>
      </c>
      <c r="S11" s="166">
        <f>Inputs!S11</f>
        <v>0.4659904</v>
      </c>
      <c r="T11" s="166">
        <f>Inputs!T11</f>
        <v>0.4659904</v>
      </c>
      <c r="U11" s="166">
        <f>Inputs!U11</f>
        <v>0.4659904</v>
      </c>
      <c r="V11" s="166">
        <f>Inputs!V11</f>
        <v>0.4659904</v>
      </c>
      <c r="W11" s="166">
        <f>Inputs!W11</f>
        <v>0.4659904</v>
      </c>
      <c r="X11" s="166">
        <f>Inputs!X11</f>
        <v>0.4659904</v>
      </c>
      <c r="Y11" s="166">
        <f>Inputs!Y11</f>
        <v>0.4659904</v>
      </c>
      <c r="Z11" s="166">
        <f>Inputs!Z11</f>
        <v>0.4659904</v>
      </c>
      <c r="AA11" s="166">
        <f>Inputs!AA11</f>
        <v>0.4659904</v>
      </c>
      <c r="AB11" s="166">
        <f>Inputs!AB11</f>
        <v>0.4659904</v>
      </c>
      <c r="AC11" s="166">
        <f>Inputs!AC11</f>
        <v>0.4659904</v>
      </c>
      <c r="AD11" s="166">
        <f>Inputs!AD11</f>
        <v>0.4659904</v>
      </c>
      <c r="AE11" s="166">
        <f>Inputs!AE11</f>
        <v>0.4659904</v>
      </c>
      <c r="AF11" s="166">
        <f>Inputs!AF11</f>
        <v>0.4659904</v>
      </c>
      <c r="AG11" s="166">
        <f>Inputs!AG11</f>
        <v>0.7</v>
      </c>
      <c r="AH11" s="166">
        <f>Inputs!AH11</f>
        <v>0.7</v>
      </c>
      <c r="AI11" s="166">
        <f>Inputs!AI11</f>
        <v>0.7</v>
      </c>
      <c r="AJ11" s="166">
        <f>Inputs!AJ11</f>
        <v>0.7</v>
      </c>
      <c r="AK11" s="180"/>
    </row>
    <row r="12">
      <c r="A12" s="101"/>
      <c r="B12" s="102"/>
      <c r="C12" s="22"/>
      <c r="D12" s="22"/>
      <c r="E12" s="182" t="s">
        <v>147</v>
      </c>
      <c r="F12" s="183" t="str">
        <f>Inputs!F12</f>
        <v>%</v>
      </c>
      <c r="G12" s="184" t="str">
        <f>Inputs!G12</f>
        <v>input</v>
      </c>
      <c r="H12" s="150" t="str">
        <f>Inputs!H12</f>
        <v>-</v>
      </c>
      <c r="I12" s="187">
        <f>Inputs!I12</f>
        <v>0.0642112</v>
      </c>
      <c r="J12" s="187">
        <f>Inputs!J12</f>
        <v>0.0596597</v>
      </c>
      <c r="K12" s="187">
        <f>Inputs!K12</f>
        <v>0.0697078</v>
      </c>
      <c r="L12" s="187">
        <f>Inputs!L12</f>
        <v>0.0697078</v>
      </c>
      <c r="M12" s="187">
        <f>Inputs!M12</f>
        <v>0.0486625</v>
      </c>
      <c r="N12" s="187">
        <f>Inputs!N12</f>
        <v>0.0697078</v>
      </c>
      <c r="O12" s="187">
        <f>Inputs!O12</f>
        <v>0.0697078</v>
      </c>
      <c r="P12" s="187">
        <f>Inputs!P12</f>
        <v>0.0845829</v>
      </c>
      <c r="Q12" s="187">
        <f>Inputs!Q12</f>
        <v>0.078881</v>
      </c>
      <c r="R12" s="187">
        <f>Inputs!R12</f>
        <v>0.0697078</v>
      </c>
      <c r="S12" s="187">
        <f>Inputs!S12</f>
        <v>0.0697078</v>
      </c>
      <c r="T12" s="187">
        <f>Inputs!T12</f>
        <v>0.0697078</v>
      </c>
      <c r="U12" s="187">
        <f>Inputs!U12</f>
        <v>0.0697078</v>
      </c>
      <c r="V12" s="187">
        <f>Inputs!V12</f>
        <v>0.0697078</v>
      </c>
      <c r="W12" s="187">
        <f>Inputs!W12</f>
        <v>0.0697078</v>
      </c>
      <c r="X12" s="187">
        <f>Inputs!X12</f>
        <v>0.0697078</v>
      </c>
      <c r="Y12" s="187">
        <f>Inputs!Y12</f>
        <v>0.0697078</v>
      </c>
      <c r="Z12" s="187">
        <f>Inputs!Z12</f>
        <v>0.0697078</v>
      </c>
      <c r="AA12" s="187">
        <f>Inputs!AA12</f>
        <v>0.0697078</v>
      </c>
      <c r="AB12" s="187">
        <f>Inputs!AB12</f>
        <v>0.0697078</v>
      </c>
      <c r="AC12" s="187">
        <f>Inputs!AC12</f>
        <v>0.0697078</v>
      </c>
      <c r="AD12" s="187">
        <f>Inputs!AD12</f>
        <v>0.0697078</v>
      </c>
      <c r="AE12" s="187">
        <f>Inputs!AE12</f>
        <v>0.0697078</v>
      </c>
      <c r="AF12" s="187">
        <f>Inputs!AF12</f>
        <v>0.0697078</v>
      </c>
      <c r="AG12" s="187">
        <f>Inputs!AG12</f>
        <v>0</v>
      </c>
      <c r="AH12" s="187">
        <f>Inputs!AH12</f>
        <v>0</v>
      </c>
      <c r="AI12" s="187">
        <f>Inputs!AI12</f>
        <v>0</v>
      </c>
      <c r="AJ12" s="187">
        <f>Inputs!AJ12</f>
        <v>0</v>
      </c>
      <c r="AK12" s="204"/>
    </row>
    <row r="13">
      <c r="A13" s="101"/>
      <c r="B13" s="102"/>
      <c r="C13" s="22"/>
      <c r="D13" s="22"/>
      <c r="E13" s="182" t="s">
        <v>158</v>
      </c>
      <c r="F13" s="183" t="str">
        <f>Inputs!F13</f>
        <v>%</v>
      </c>
      <c r="G13" s="184" t="str">
        <f>Inputs!G13</f>
        <v>input</v>
      </c>
      <c r="H13" s="150" t="str">
        <f>Inputs!H13</f>
        <v>-</v>
      </c>
      <c r="I13" s="187">
        <f>Inputs!I13</f>
        <v>0.0565391</v>
      </c>
      <c r="J13" s="187">
        <f>Inputs!J13</f>
        <v>0</v>
      </c>
      <c r="K13" s="187">
        <f>Inputs!K13</f>
        <v>0.1323195</v>
      </c>
      <c r="L13" s="187">
        <f>Inputs!L13</f>
        <v>0.1323195</v>
      </c>
      <c r="M13" s="187">
        <f>Inputs!M13</f>
        <v>0.098571</v>
      </c>
      <c r="N13" s="187">
        <f>Inputs!N13</f>
        <v>0.1323195</v>
      </c>
      <c r="O13" s="187">
        <f>Inputs!O13</f>
        <v>0</v>
      </c>
      <c r="P13" s="187">
        <f>Inputs!P13</f>
        <v>0.1829504</v>
      </c>
      <c r="Q13" s="187">
        <f>Inputs!Q13</f>
        <v>0.2594317</v>
      </c>
      <c r="R13" s="187">
        <f>Inputs!R13</f>
        <v>0.1323195</v>
      </c>
      <c r="S13" s="187">
        <f>Inputs!S13</f>
        <v>0.1323195</v>
      </c>
      <c r="T13" s="187">
        <f>Inputs!T13</f>
        <v>0.1323195</v>
      </c>
      <c r="U13" s="187">
        <f>Inputs!U13</f>
        <v>0.1323195</v>
      </c>
      <c r="V13" s="187">
        <f>Inputs!V13</f>
        <v>0.1323195</v>
      </c>
      <c r="W13" s="187">
        <f>Inputs!W13</f>
        <v>0.1323195</v>
      </c>
      <c r="X13" s="187">
        <f>Inputs!X13</f>
        <v>0.1323195</v>
      </c>
      <c r="Y13" s="187">
        <f>Inputs!Y13</f>
        <v>0.1323195</v>
      </c>
      <c r="Z13" s="187">
        <f>Inputs!Z13</f>
        <v>0.1323195</v>
      </c>
      <c r="AA13" s="187">
        <f>Inputs!AA13</f>
        <v>0.1323195</v>
      </c>
      <c r="AB13" s="187">
        <f>Inputs!AB13</f>
        <v>0.1323195</v>
      </c>
      <c r="AC13" s="187">
        <f>Inputs!AC13</f>
        <v>0.1323195</v>
      </c>
      <c r="AD13" s="187">
        <f>Inputs!AD13</f>
        <v>0.1323195</v>
      </c>
      <c r="AE13" s="187">
        <f>Inputs!AE13</f>
        <v>0.1323195</v>
      </c>
      <c r="AF13" s="187">
        <f>Inputs!AF13</f>
        <v>0.1323195</v>
      </c>
      <c r="AG13" s="187">
        <f>Inputs!AG13</f>
        <v>0</v>
      </c>
      <c r="AH13" s="187">
        <f>Inputs!AH13</f>
        <v>0</v>
      </c>
      <c r="AI13" s="187">
        <f>Inputs!AI13</f>
        <v>0</v>
      </c>
      <c r="AJ13" s="187">
        <f>Inputs!AJ13</f>
        <v>0</v>
      </c>
      <c r="AK13" s="204"/>
    </row>
    <row r="14">
      <c r="A14" s="101"/>
      <c r="B14" s="102"/>
      <c r="C14" s="22"/>
      <c r="D14" s="22"/>
      <c r="E14" s="182" t="s">
        <v>160</v>
      </c>
      <c r="F14" s="214" t="str">
        <f>Inputs!F14</f>
        <v>%</v>
      </c>
      <c r="G14" s="215" t="str">
        <f>Inputs!G14</f>
        <v>input</v>
      </c>
      <c r="H14" s="216" t="str">
        <f>Inputs!H14</f>
        <v>-</v>
      </c>
      <c r="I14" s="218">
        <f>Inputs!I14</f>
        <v>0.1481859</v>
      </c>
      <c r="J14" s="218">
        <f>Inputs!J14</f>
        <v>0</v>
      </c>
      <c r="K14" s="218">
        <f>Inputs!K14</f>
        <v>0.0319823</v>
      </c>
      <c r="L14" s="218">
        <f>Inputs!L14</f>
        <v>0.0319823</v>
      </c>
      <c r="M14" s="218">
        <f>Inputs!M14</f>
        <v>0</v>
      </c>
      <c r="N14" s="218">
        <f>Inputs!N14</f>
        <v>0.0319823</v>
      </c>
      <c r="O14" s="218">
        <f>Inputs!O14</f>
        <v>0.0319823</v>
      </c>
      <c r="P14" s="218">
        <f>Inputs!P14</f>
        <v>0</v>
      </c>
      <c r="Q14" s="218">
        <f>Inputs!Q14</f>
        <v>0</v>
      </c>
      <c r="R14" s="218">
        <f>Inputs!R14</f>
        <v>0.0319823</v>
      </c>
      <c r="S14" s="218">
        <f>Inputs!S14</f>
        <v>0.0319823</v>
      </c>
      <c r="T14" s="218">
        <f>Inputs!T14</f>
        <v>0.0319823</v>
      </c>
      <c r="U14" s="218">
        <f>Inputs!U14</f>
        <v>0.0319823</v>
      </c>
      <c r="V14" s="218">
        <f>Inputs!V14</f>
        <v>0.0319823</v>
      </c>
      <c r="W14" s="218">
        <f>Inputs!W14</f>
        <v>0.0319823</v>
      </c>
      <c r="X14" s="218">
        <f>Inputs!X14</f>
        <v>0.0319823</v>
      </c>
      <c r="Y14" s="218">
        <f>Inputs!Y14</f>
        <v>0.0319823</v>
      </c>
      <c r="Z14" s="218">
        <f>Inputs!Z14</f>
        <v>0.0319823</v>
      </c>
      <c r="AA14" s="218">
        <f>Inputs!AA14</f>
        <v>0.0319823</v>
      </c>
      <c r="AB14" s="218">
        <f>Inputs!AB14</f>
        <v>0.0319823</v>
      </c>
      <c r="AC14" s="218">
        <f>Inputs!AC14</f>
        <v>0.0319823</v>
      </c>
      <c r="AD14" s="218">
        <f>Inputs!AD14</f>
        <v>0.0319823</v>
      </c>
      <c r="AE14" s="218">
        <f>Inputs!AE14</f>
        <v>0.0319823</v>
      </c>
      <c r="AF14" s="218">
        <f>Inputs!AF14</f>
        <v>0.0319823</v>
      </c>
      <c r="AG14" s="218">
        <f>Inputs!AG14</f>
        <v>0</v>
      </c>
      <c r="AH14" s="218">
        <f>Inputs!AH14</f>
        <v>0</v>
      </c>
      <c r="AI14" s="218">
        <f>Inputs!AI14</f>
        <v>0</v>
      </c>
      <c r="AJ14" s="218">
        <f>Inputs!AJ14</f>
        <v>0</v>
      </c>
      <c r="AK14" s="227"/>
    </row>
    <row r="15">
      <c r="A15" s="101"/>
      <c r="B15" s="102"/>
      <c r="C15" s="22"/>
      <c r="D15" s="22"/>
      <c r="E15" s="229" t="s">
        <v>167</v>
      </c>
      <c r="F15" s="230" t="str">
        <f>Inputs!F15</f>
        <v>%</v>
      </c>
      <c r="G15" s="231" t="str">
        <f>Inputs!G15</f>
        <v>input</v>
      </c>
      <c r="H15" s="199" t="str">
        <f>Inputs!H15</f>
        <v>-</v>
      </c>
      <c r="I15" s="233">
        <f>Inputs!I15</f>
        <v>0.3</v>
      </c>
      <c r="J15" s="233">
        <f>Inputs!J15</f>
        <v>0.3</v>
      </c>
      <c r="K15" s="233">
        <f>Inputs!K15</f>
        <v>0.3</v>
      </c>
      <c r="L15" s="233">
        <f>Inputs!L15</f>
        <v>0.3</v>
      </c>
      <c r="M15" s="233">
        <f>Inputs!M15</f>
        <v>0.3</v>
      </c>
      <c r="N15" s="233">
        <f>Inputs!N15</f>
        <v>0.3</v>
      </c>
      <c r="O15" s="233">
        <f>Inputs!O15</f>
        <v>0.3</v>
      </c>
      <c r="P15" s="233">
        <f>Inputs!P15</f>
        <v>0.3</v>
      </c>
      <c r="Q15" s="233">
        <f>Inputs!Q15</f>
        <v>0.3</v>
      </c>
      <c r="R15" s="233">
        <f>Inputs!R15</f>
        <v>0.3</v>
      </c>
      <c r="S15" s="233">
        <f>Inputs!S15</f>
        <v>0.3</v>
      </c>
      <c r="T15" s="233">
        <f>Inputs!T15</f>
        <v>0.3</v>
      </c>
      <c r="U15" s="233">
        <f>Inputs!U15</f>
        <v>0.3</v>
      </c>
      <c r="V15" s="233">
        <f>Inputs!V15</f>
        <v>0.3</v>
      </c>
      <c r="W15" s="233">
        <f>Inputs!W15</f>
        <v>0.3</v>
      </c>
      <c r="X15" s="233">
        <f>Inputs!X15</f>
        <v>0.3</v>
      </c>
      <c r="Y15" s="233">
        <f>Inputs!Y15</f>
        <v>0.3</v>
      </c>
      <c r="Z15" s="233">
        <f>Inputs!Z15</f>
        <v>0.3</v>
      </c>
      <c r="AA15" s="233">
        <f>Inputs!AA15</f>
        <v>0.3</v>
      </c>
      <c r="AB15" s="233">
        <f>Inputs!AB15</f>
        <v>0.3</v>
      </c>
      <c r="AC15" s="233">
        <f>Inputs!AC15</f>
        <v>0.3</v>
      </c>
      <c r="AD15" s="233">
        <f>Inputs!AD15</f>
        <v>0.3</v>
      </c>
      <c r="AE15" s="233">
        <f>Inputs!AE15</f>
        <v>0.3</v>
      </c>
      <c r="AF15" s="233">
        <f>Inputs!AF15</f>
        <v>0.3</v>
      </c>
      <c r="AG15" s="233">
        <f>Inputs!AG15</f>
        <v>0.3</v>
      </c>
      <c r="AH15" s="233">
        <f>Inputs!AH15</f>
        <v>0.3</v>
      </c>
      <c r="AI15" s="233">
        <f>Inputs!AI15</f>
        <v>0.3</v>
      </c>
      <c r="AJ15" s="233">
        <f>Inputs!AJ15</f>
        <v>0.3</v>
      </c>
      <c r="AK15" s="239"/>
    </row>
    <row r="16">
      <c r="A16" s="101"/>
      <c r="B16" s="102"/>
      <c r="C16" s="109"/>
      <c r="D16" s="102"/>
      <c r="E16" s="131"/>
      <c r="F16" s="132"/>
      <c r="G16" s="242"/>
      <c r="H16" s="105"/>
      <c r="I16" s="106"/>
      <c r="J16" s="106"/>
      <c r="K16" s="106"/>
      <c r="L16" s="106"/>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7"/>
    </row>
    <row r="17">
      <c r="A17" s="101"/>
      <c r="B17" s="102"/>
      <c r="C17" s="109" t="s">
        <v>171</v>
      </c>
      <c r="F17" s="132"/>
      <c r="G17" s="242"/>
      <c r="H17" s="105"/>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7"/>
    </row>
    <row r="18">
      <c r="A18" s="101"/>
      <c r="B18" s="102"/>
      <c r="C18" s="109"/>
      <c r="D18" s="102"/>
      <c r="E18" s="246" t="s">
        <v>174</v>
      </c>
      <c r="F18" s="121" t="s">
        <v>108</v>
      </c>
      <c r="G18" s="248" t="s">
        <v>164</v>
      </c>
      <c r="H18" s="249" t="s">
        <v>165</v>
      </c>
      <c r="I18" s="251">
        <f t="shared" ref="I18:AJ18" si="2">IF(I8="-",$H8/I11,I8/I11)</f>
        <v>2319842.214</v>
      </c>
      <c r="J18" s="251">
        <f t="shared" si="2"/>
        <v>1561669.631</v>
      </c>
      <c r="K18" s="251">
        <f t="shared" si="2"/>
        <v>2145966.956</v>
      </c>
      <c r="L18" s="251">
        <f t="shared" si="2"/>
        <v>2145966.956</v>
      </c>
      <c r="M18" s="251">
        <f t="shared" si="2"/>
        <v>1809082.135</v>
      </c>
      <c r="N18" s="251">
        <f t="shared" si="2"/>
        <v>2145966.956</v>
      </c>
      <c r="O18" s="251">
        <f t="shared" si="2"/>
        <v>1671374.65</v>
      </c>
      <c r="P18" s="251">
        <f t="shared" si="2"/>
        <v>2312316.763</v>
      </c>
      <c r="Q18" s="251">
        <f t="shared" si="2"/>
        <v>2764819.988</v>
      </c>
      <c r="R18" s="251">
        <f t="shared" si="2"/>
        <v>2145966.956</v>
      </c>
      <c r="S18" s="251">
        <f t="shared" si="2"/>
        <v>2145966.956</v>
      </c>
      <c r="T18" s="251">
        <f t="shared" si="2"/>
        <v>2145966.956</v>
      </c>
      <c r="U18" s="251">
        <f t="shared" si="2"/>
        <v>2145966.956</v>
      </c>
      <c r="V18" s="251">
        <f t="shared" si="2"/>
        <v>2145966.956</v>
      </c>
      <c r="W18" s="251">
        <f t="shared" si="2"/>
        <v>2145966.956</v>
      </c>
      <c r="X18" s="251">
        <f t="shared" si="2"/>
        <v>2145966.956</v>
      </c>
      <c r="Y18" s="251">
        <f t="shared" si="2"/>
        <v>2145966.956</v>
      </c>
      <c r="Z18" s="251">
        <f t="shared" si="2"/>
        <v>2145966.956</v>
      </c>
      <c r="AA18" s="251">
        <f t="shared" si="2"/>
        <v>2145966.956</v>
      </c>
      <c r="AB18" s="251">
        <f t="shared" si="2"/>
        <v>2145966.956</v>
      </c>
      <c r="AC18" s="251">
        <f t="shared" si="2"/>
        <v>2145966.956</v>
      </c>
      <c r="AD18" s="251">
        <f t="shared" si="2"/>
        <v>2145966.956</v>
      </c>
      <c r="AE18" s="251">
        <f t="shared" si="2"/>
        <v>2145966.956</v>
      </c>
      <c r="AF18" s="251">
        <f t="shared" si="2"/>
        <v>2145966.956</v>
      </c>
      <c r="AG18" s="251">
        <f t="shared" si="2"/>
        <v>1428571.429</v>
      </c>
      <c r="AH18" s="251">
        <f t="shared" si="2"/>
        <v>1428571.429</v>
      </c>
      <c r="AI18" s="251">
        <f t="shared" si="2"/>
        <v>1428571.429</v>
      </c>
      <c r="AJ18" s="251">
        <f t="shared" si="2"/>
        <v>1428571.429</v>
      </c>
      <c r="AK18" s="252"/>
    </row>
    <row r="19">
      <c r="A19" s="101"/>
      <c r="B19" s="102"/>
      <c r="C19" s="109"/>
      <c r="D19" s="102"/>
      <c r="E19" s="131"/>
      <c r="F19" s="132"/>
      <c r="G19" s="242"/>
      <c r="H19" s="105"/>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7"/>
    </row>
    <row r="20">
      <c r="A20" s="101"/>
      <c r="B20" s="102"/>
      <c r="C20" s="130" t="s">
        <v>177</v>
      </c>
      <c r="F20" s="104"/>
      <c r="G20" s="115"/>
      <c r="H20" s="105"/>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7"/>
    </row>
    <row r="21">
      <c r="A21" s="101"/>
      <c r="B21" s="102"/>
      <c r="C21" s="102"/>
      <c r="D21" s="102"/>
      <c r="E21" s="143" t="s">
        <v>178</v>
      </c>
      <c r="F21" s="114" t="s">
        <v>108</v>
      </c>
      <c r="G21" s="255" t="s">
        <v>164</v>
      </c>
      <c r="H21" s="256" t="s">
        <v>165</v>
      </c>
      <c r="I21" s="257">
        <f t="shared" ref="I21:AJ21" si="3">I$18*I11</f>
        <v>1000000</v>
      </c>
      <c r="J21" s="257">
        <f t="shared" si="3"/>
        <v>1000000</v>
      </c>
      <c r="K21" s="257">
        <f t="shared" si="3"/>
        <v>1000000</v>
      </c>
      <c r="L21" s="257">
        <f t="shared" si="3"/>
        <v>1000000</v>
      </c>
      <c r="M21" s="257">
        <f t="shared" si="3"/>
        <v>1000000</v>
      </c>
      <c r="N21" s="257">
        <f t="shared" si="3"/>
        <v>1000000</v>
      </c>
      <c r="O21" s="257">
        <f t="shared" si="3"/>
        <v>1000000</v>
      </c>
      <c r="P21" s="257">
        <f t="shared" si="3"/>
        <v>1000000</v>
      </c>
      <c r="Q21" s="257">
        <f t="shared" si="3"/>
        <v>1000000</v>
      </c>
      <c r="R21" s="257">
        <f t="shared" si="3"/>
        <v>1000000</v>
      </c>
      <c r="S21" s="257">
        <f t="shared" si="3"/>
        <v>1000000</v>
      </c>
      <c r="T21" s="257">
        <f t="shared" si="3"/>
        <v>1000000</v>
      </c>
      <c r="U21" s="257">
        <f t="shared" si="3"/>
        <v>1000000</v>
      </c>
      <c r="V21" s="257">
        <f t="shared" si="3"/>
        <v>1000000</v>
      </c>
      <c r="W21" s="257">
        <f t="shared" si="3"/>
        <v>1000000</v>
      </c>
      <c r="X21" s="257">
        <f t="shared" si="3"/>
        <v>1000000</v>
      </c>
      <c r="Y21" s="257">
        <f t="shared" si="3"/>
        <v>1000000</v>
      </c>
      <c r="Z21" s="257">
        <f t="shared" si="3"/>
        <v>1000000</v>
      </c>
      <c r="AA21" s="257">
        <f t="shared" si="3"/>
        <v>1000000</v>
      </c>
      <c r="AB21" s="257">
        <f t="shared" si="3"/>
        <v>1000000</v>
      </c>
      <c r="AC21" s="257">
        <f t="shared" si="3"/>
        <v>1000000</v>
      </c>
      <c r="AD21" s="257">
        <f t="shared" si="3"/>
        <v>1000000</v>
      </c>
      <c r="AE21" s="257">
        <f t="shared" si="3"/>
        <v>1000000</v>
      </c>
      <c r="AF21" s="257">
        <f t="shared" si="3"/>
        <v>1000000</v>
      </c>
      <c r="AG21" s="257">
        <f t="shared" si="3"/>
        <v>1000000</v>
      </c>
      <c r="AH21" s="257">
        <f t="shared" si="3"/>
        <v>1000000</v>
      </c>
      <c r="AI21" s="257">
        <f t="shared" si="3"/>
        <v>1000000</v>
      </c>
      <c r="AJ21" s="257">
        <f t="shared" si="3"/>
        <v>1000000</v>
      </c>
      <c r="AK21" s="259"/>
    </row>
    <row r="22">
      <c r="A22" s="101"/>
      <c r="B22" s="102"/>
      <c r="C22" s="130"/>
      <c r="D22" s="102"/>
      <c r="E22" s="260" t="s">
        <v>180</v>
      </c>
      <c r="F22" s="145" t="s">
        <v>108</v>
      </c>
      <c r="G22" s="261" t="s">
        <v>164</v>
      </c>
      <c r="H22" s="223" t="s">
        <v>165</v>
      </c>
      <c r="I22" s="262">
        <f t="shared" ref="I22:AJ22" si="4">I$18*I12</f>
        <v>148959.8523</v>
      </c>
      <c r="J22" s="262">
        <f t="shared" si="4"/>
        <v>93168.74168</v>
      </c>
      <c r="K22" s="262">
        <f t="shared" si="4"/>
        <v>149590.6353</v>
      </c>
      <c r="L22" s="262">
        <f t="shared" si="4"/>
        <v>149590.6353</v>
      </c>
      <c r="M22" s="262">
        <f t="shared" si="4"/>
        <v>88034.4594</v>
      </c>
      <c r="N22" s="262">
        <f t="shared" si="4"/>
        <v>149590.6353</v>
      </c>
      <c r="O22" s="262">
        <f t="shared" si="4"/>
        <v>116507.8499</v>
      </c>
      <c r="P22" s="262">
        <f t="shared" si="4"/>
        <v>195582.4576</v>
      </c>
      <c r="Q22" s="262">
        <f t="shared" si="4"/>
        <v>218091.7655</v>
      </c>
      <c r="R22" s="262">
        <f t="shared" si="4"/>
        <v>149590.6353</v>
      </c>
      <c r="S22" s="262">
        <f t="shared" si="4"/>
        <v>149590.6353</v>
      </c>
      <c r="T22" s="262">
        <f t="shared" si="4"/>
        <v>149590.6353</v>
      </c>
      <c r="U22" s="262">
        <f t="shared" si="4"/>
        <v>149590.6353</v>
      </c>
      <c r="V22" s="262">
        <f t="shared" si="4"/>
        <v>149590.6353</v>
      </c>
      <c r="W22" s="262">
        <f t="shared" si="4"/>
        <v>149590.6353</v>
      </c>
      <c r="X22" s="262">
        <f t="shared" si="4"/>
        <v>149590.6353</v>
      </c>
      <c r="Y22" s="262">
        <f t="shared" si="4"/>
        <v>149590.6353</v>
      </c>
      <c r="Z22" s="262">
        <f t="shared" si="4"/>
        <v>149590.6353</v>
      </c>
      <c r="AA22" s="262">
        <f t="shared" si="4"/>
        <v>149590.6353</v>
      </c>
      <c r="AB22" s="262">
        <f t="shared" si="4"/>
        <v>149590.6353</v>
      </c>
      <c r="AC22" s="262">
        <f t="shared" si="4"/>
        <v>149590.6353</v>
      </c>
      <c r="AD22" s="262">
        <f t="shared" si="4"/>
        <v>149590.6353</v>
      </c>
      <c r="AE22" s="262">
        <f t="shared" si="4"/>
        <v>149590.6353</v>
      </c>
      <c r="AF22" s="262">
        <f t="shared" si="4"/>
        <v>149590.6353</v>
      </c>
      <c r="AG22" s="262">
        <f t="shared" si="4"/>
        <v>0</v>
      </c>
      <c r="AH22" s="262">
        <f t="shared" si="4"/>
        <v>0</v>
      </c>
      <c r="AI22" s="262">
        <f t="shared" si="4"/>
        <v>0</v>
      </c>
      <c r="AJ22" s="262">
        <f t="shared" si="4"/>
        <v>0</v>
      </c>
      <c r="AK22" s="263"/>
    </row>
    <row r="23">
      <c r="A23" s="101"/>
      <c r="B23" s="102"/>
      <c r="C23" s="130"/>
      <c r="D23" s="102"/>
      <c r="E23" s="260" t="s">
        <v>181</v>
      </c>
      <c r="F23" s="145" t="s">
        <v>108</v>
      </c>
      <c r="G23" s="261" t="s">
        <v>164</v>
      </c>
      <c r="H23" s="219" t="s">
        <v>165</v>
      </c>
      <c r="I23" s="262">
        <f t="shared" ref="I23:AJ23" si="5">I$18*I13</f>
        <v>131161.7909</v>
      </c>
      <c r="J23" s="262">
        <f t="shared" si="5"/>
        <v>0</v>
      </c>
      <c r="K23" s="262">
        <f t="shared" si="5"/>
        <v>283953.2746</v>
      </c>
      <c r="L23" s="262">
        <f t="shared" si="5"/>
        <v>283953.2746</v>
      </c>
      <c r="M23" s="262">
        <f t="shared" si="5"/>
        <v>178323.0351</v>
      </c>
      <c r="N23" s="262">
        <f t="shared" si="5"/>
        <v>283953.2746</v>
      </c>
      <c r="O23" s="262">
        <f t="shared" si="5"/>
        <v>0</v>
      </c>
      <c r="P23" s="262">
        <f t="shared" si="5"/>
        <v>423039.2768</v>
      </c>
      <c r="Q23" s="262">
        <f t="shared" si="5"/>
        <v>717281.9497</v>
      </c>
      <c r="R23" s="262">
        <f t="shared" si="5"/>
        <v>283953.2746</v>
      </c>
      <c r="S23" s="262">
        <f t="shared" si="5"/>
        <v>283953.2746</v>
      </c>
      <c r="T23" s="262">
        <f t="shared" si="5"/>
        <v>283953.2746</v>
      </c>
      <c r="U23" s="262">
        <f t="shared" si="5"/>
        <v>283953.2746</v>
      </c>
      <c r="V23" s="262">
        <f t="shared" si="5"/>
        <v>283953.2746</v>
      </c>
      <c r="W23" s="262">
        <f t="shared" si="5"/>
        <v>283953.2746</v>
      </c>
      <c r="X23" s="262">
        <f t="shared" si="5"/>
        <v>283953.2746</v>
      </c>
      <c r="Y23" s="262">
        <f t="shared" si="5"/>
        <v>283953.2746</v>
      </c>
      <c r="Z23" s="262">
        <f t="shared" si="5"/>
        <v>283953.2746</v>
      </c>
      <c r="AA23" s="262">
        <f t="shared" si="5"/>
        <v>283953.2746</v>
      </c>
      <c r="AB23" s="262">
        <f t="shared" si="5"/>
        <v>283953.2746</v>
      </c>
      <c r="AC23" s="262">
        <f t="shared" si="5"/>
        <v>283953.2746</v>
      </c>
      <c r="AD23" s="262">
        <f t="shared" si="5"/>
        <v>283953.2746</v>
      </c>
      <c r="AE23" s="262">
        <f t="shared" si="5"/>
        <v>283953.2746</v>
      </c>
      <c r="AF23" s="262">
        <f t="shared" si="5"/>
        <v>283953.2746</v>
      </c>
      <c r="AG23" s="262">
        <f t="shared" si="5"/>
        <v>0</v>
      </c>
      <c r="AH23" s="262">
        <f t="shared" si="5"/>
        <v>0</v>
      </c>
      <c r="AI23" s="262">
        <f t="shared" si="5"/>
        <v>0</v>
      </c>
      <c r="AJ23" s="262">
        <f t="shared" si="5"/>
        <v>0</v>
      </c>
      <c r="AK23" s="263"/>
    </row>
    <row r="24">
      <c r="A24" s="101"/>
      <c r="B24" s="102"/>
      <c r="C24" s="130"/>
      <c r="D24" s="102"/>
      <c r="E24" s="260" t="s">
        <v>184</v>
      </c>
      <c r="F24" s="145" t="s">
        <v>108</v>
      </c>
      <c r="G24" s="261" t="s">
        <v>164</v>
      </c>
      <c r="H24" s="266" t="s">
        <v>165</v>
      </c>
      <c r="I24" s="262">
        <f t="shared" ref="I24:AJ24" si="6">I$18*I14</f>
        <v>343767.9063</v>
      </c>
      <c r="J24" s="262">
        <f t="shared" si="6"/>
        <v>0</v>
      </c>
      <c r="K24" s="262">
        <f t="shared" si="6"/>
        <v>68632.95896</v>
      </c>
      <c r="L24" s="262">
        <f t="shared" si="6"/>
        <v>68632.95896</v>
      </c>
      <c r="M24" s="262">
        <f t="shared" si="6"/>
        <v>0</v>
      </c>
      <c r="N24" s="262">
        <f t="shared" si="6"/>
        <v>68632.95896</v>
      </c>
      <c r="O24" s="262">
        <f t="shared" si="6"/>
        <v>53454.40548</v>
      </c>
      <c r="P24" s="262">
        <f t="shared" si="6"/>
        <v>0</v>
      </c>
      <c r="Q24" s="262">
        <f t="shared" si="6"/>
        <v>0</v>
      </c>
      <c r="R24" s="262">
        <f t="shared" si="6"/>
        <v>68632.95896</v>
      </c>
      <c r="S24" s="262">
        <f t="shared" si="6"/>
        <v>68632.95896</v>
      </c>
      <c r="T24" s="262">
        <f t="shared" si="6"/>
        <v>68632.95896</v>
      </c>
      <c r="U24" s="262">
        <f t="shared" si="6"/>
        <v>68632.95896</v>
      </c>
      <c r="V24" s="262">
        <f t="shared" si="6"/>
        <v>68632.95896</v>
      </c>
      <c r="W24" s="262">
        <f t="shared" si="6"/>
        <v>68632.95896</v>
      </c>
      <c r="X24" s="262">
        <f t="shared" si="6"/>
        <v>68632.95896</v>
      </c>
      <c r="Y24" s="262">
        <f t="shared" si="6"/>
        <v>68632.95896</v>
      </c>
      <c r="Z24" s="262">
        <f t="shared" si="6"/>
        <v>68632.95896</v>
      </c>
      <c r="AA24" s="262">
        <f t="shared" si="6"/>
        <v>68632.95896</v>
      </c>
      <c r="AB24" s="262">
        <f t="shared" si="6"/>
        <v>68632.95896</v>
      </c>
      <c r="AC24" s="262">
        <f t="shared" si="6"/>
        <v>68632.95896</v>
      </c>
      <c r="AD24" s="262">
        <f t="shared" si="6"/>
        <v>68632.95896</v>
      </c>
      <c r="AE24" s="262">
        <f t="shared" si="6"/>
        <v>68632.95896</v>
      </c>
      <c r="AF24" s="262">
        <f t="shared" si="6"/>
        <v>68632.95896</v>
      </c>
      <c r="AG24" s="262">
        <f t="shared" si="6"/>
        <v>0</v>
      </c>
      <c r="AH24" s="262">
        <f t="shared" si="6"/>
        <v>0</v>
      </c>
      <c r="AI24" s="262">
        <f t="shared" si="6"/>
        <v>0</v>
      </c>
      <c r="AJ24" s="262">
        <f t="shared" si="6"/>
        <v>0</v>
      </c>
      <c r="AK24" s="263"/>
    </row>
    <row r="25">
      <c r="A25" s="101"/>
      <c r="B25" s="102"/>
      <c r="C25" s="130"/>
      <c r="D25" s="102"/>
      <c r="E25" s="175" t="s">
        <v>186</v>
      </c>
      <c r="F25" s="176" t="s">
        <v>108</v>
      </c>
      <c r="G25" s="268" t="s">
        <v>164</v>
      </c>
      <c r="H25" s="179" t="s">
        <v>165</v>
      </c>
      <c r="I25" s="269">
        <f t="shared" ref="I25:AJ25" si="7">I$18*I15</f>
        <v>695952.6641</v>
      </c>
      <c r="J25" s="269">
        <f t="shared" si="7"/>
        <v>468500.8893</v>
      </c>
      <c r="K25" s="269">
        <f t="shared" si="7"/>
        <v>643790.0867</v>
      </c>
      <c r="L25" s="269">
        <f t="shared" si="7"/>
        <v>643790.0867</v>
      </c>
      <c r="M25" s="269">
        <f t="shared" si="7"/>
        <v>542724.6405</v>
      </c>
      <c r="N25" s="269">
        <f t="shared" si="7"/>
        <v>643790.0867</v>
      </c>
      <c r="O25" s="269">
        <f t="shared" si="7"/>
        <v>501412.3951</v>
      </c>
      <c r="P25" s="269">
        <f t="shared" si="7"/>
        <v>693695.029</v>
      </c>
      <c r="Q25" s="269">
        <f t="shared" si="7"/>
        <v>829445.9964</v>
      </c>
      <c r="R25" s="269">
        <f t="shared" si="7"/>
        <v>643790.0867</v>
      </c>
      <c r="S25" s="269">
        <f t="shared" si="7"/>
        <v>643790.0867</v>
      </c>
      <c r="T25" s="269">
        <f t="shared" si="7"/>
        <v>643790.0867</v>
      </c>
      <c r="U25" s="269">
        <f t="shared" si="7"/>
        <v>643790.0867</v>
      </c>
      <c r="V25" s="269">
        <f t="shared" si="7"/>
        <v>643790.0867</v>
      </c>
      <c r="W25" s="269">
        <f t="shared" si="7"/>
        <v>643790.0867</v>
      </c>
      <c r="X25" s="269">
        <f t="shared" si="7"/>
        <v>643790.0867</v>
      </c>
      <c r="Y25" s="269">
        <f t="shared" si="7"/>
        <v>643790.0867</v>
      </c>
      <c r="Z25" s="269">
        <f t="shared" si="7"/>
        <v>643790.0867</v>
      </c>
      <c r="AA25" s="269">
        <f t="shared" si="7"/>
        <v>643790.0867</v>
      </c>
      <c r="AB25" s="269">
        <f t="shared" si="7"/>
        <v>643790.0867</v>
      </c>
      <c r="AC25" s="269">
        <f t="shared" si="7"/>
        <v>643790.0867</v>
      </c>
      <c r="AD25" s="269">
        <f t="shared" si="7"/>
        <v>643790.0867</v>
      </c>
      <c r="AE25" s="269">
        <f t="shared" si="7"/>
        <v>643790.0867</v>
      </c>
      <c r="AF25" s="269">
        <f t="shared" si="7"/>
        <v>643790.0867</v>
      </c>
      <c r="AG25" s="269">
        <f t="shared" si="7"/>
        <v>428571.4286</v>
      </c>
      <c r="AH25" s="269">
        <f t="shared" si="7"/>
        <v>428571.4286</v>
      </c>
      <c r="AI25" s="269">
        <f t="shared" si="7"/>
        <v>428571.4286</v>
      </c>
      <c r="AJ25" s="269">
        <f t="shared" si="7"/>
        <v>428571.4286</v>
      </c>
      <c r="AK25" s="270"/>
    </row>
    <row r="26">
      <c r="A26" s="101"/>
      <c r="B26" s="102"/>
      <c r="C26" s="109"/>
      <c r="D26" s="102"/>
      <c r="E26" s="131"/>
      <c r="F26" s="132"/>
      <c r="G26" s="242"/>
      <c r="H26" s="105"/>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7"/>
    </row>
    <row r="27">
      <c r="A27" s="101"/>
      <c r="B27" s="102"/>
      <c r="C27" s="130" t="s">
        <v>188</v>
      </c>
      <c r="F27" s="132"/>
      <c r="G27" s="271"/>
      <c r="H27" s="105"/>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7"/>
    </row>
    <row r="28">
      <c r="A28" s="101"/>
      <c r="B28" s="102"/>
      <c r="C28" s="102"/>
      <c r="D28" s="102"/>
      <c r="E28" s="143" t="s">
        <v>190</v>
      </c>
      <c r="F28" s="114" t="s">
        <v>108</v>
      </c>
      <c r="G28" s="272" t="s">
        <v>164</v>
      </c>
      <c r="H28" s="256" t="s">
        <v>165</v>
      </c>
      <c r="I28" s="257">
        <f t="shared" ref="I28:AJ28" si="8">SUM(I21,I23:I24)</f>
        <v>1474929.697</v>
      </c>
      <c r="J28" s="257">
        <f t="shared" si="8"/>
        <v>1000000</v>
      </c>
      <c r="K28" s="257">
        <f t="shared" si="8"/>
        <v>1352586.234</v>
      </c>
      <c r="L28" s="257">
        <f t="shared" si="8"/>
        <v>1352586.234</v>
      </c>
      <c r="M28" s="257">
        <f t="shared" si="8"/>
        <v>1178323.035</v>
      </c>
      <c r="N28" s="257">
        <f t="shared" si="8"/>
        <v>1352586.234</v>
      </c>
      <c r="O28" s="257">
        <f t="shared" si="8"/>
        <v>1053454.405</v>
      </c>
      <c r="P28" s="257">
        <f t="shared" si="8"/>
        <v>1423039.277</v>
      </c>
      <c r="Q28" s="257">
        <f t="shared" si="8"/>
        <v>1717281.95</v>
      </c>
      <c r="R28" s="257">
        <f t="shared" si="8"/>
        <v>1352586.234</v>
      </c>
      <c r="S28" s="257">
        <f t="shared" si="8"/>
        <v>1352586.234</v>
      </c>
      <c r="T28" s="257">
        <f t="shared" si="8"/>
        <v>1352586.234</v>
      </c>
      <c r="U28" s="257">
        <f t="shared" si="8"/>
        <v>1352586.234</v>
      </c>
      <c r="V28" s="257">
        <f t="shared" si="8"/>
        <v>1352586.234</v>
      </c>
      <c r="W28" s="257">
        <f t="shared" si="8"/>
        <v>1352586.234</v>
      </c>
      <c r="X28" s="257">
        <f t="shared" si="8"/>
        <v>1352586.234</v>
      </c>
      <c r="Y28" s="257">
        <f t="shared" si="8"/>
        <v>1352586.234</v>
      </c>
      <c r="Z28" s="257">
        <f t="shared" si="8"/>
        <v>1352586.234</v>
      </c>
      <c r="AA28" s="257">
        <f t="shared" si="8"/>
        <v>1352586.234</v>
      </c>
      <c r="AB28" s="257">
        <f t="shared" si="8"/>
        <v>1352586.234</v>
      </c>
      <c r="AC28" s="257">
        <f t="shared" si="8"/>
        <v>1352586.234</v>
      </c>
      <c r="AD28" s="257">
        <f t="shared" si="8"/>
        <v>1352586.234</v>
      </c>
      <c r="AE28" s="257">
        <f t="shared" si="8"/>
        <v>1352586.234</v>
      </c>
      <c r="AF28" s="257">
        <f t="shared" si="8"/>
        <v>1352586.234</v>
      </c>
      <c r="AG28" s="257">
        <f t="shared" si="8"/>
        <v>1000000</v>
      </c>
      <c r="AH28" s="257">
        <f t="shared" si="8"/>
        <v>1000000</v>
      </c>
      <c r="AI28" s="257">
        <f t="shared" si="8"/>
        <v>1000000</v>
      </c>
      <c r="AJ28" s="257">
        <f t="shared" si="8"/>
        <v>1000000</v>
      </c>
      <c r="AK28" s="259"/>
    </row>
    <row r="29">
      <c r="A29" s="101"/>
      <c r="B29" s="102"/>
      <c r="C29" s="102"/>
      <c r="D29" s="102"/>
      <c r="E29" s="274" t="s">
        <v>192</v>
      </c>
      <c r="F29" s="121" t="s">
        <v>108</v>
      </c>
      <c r="G29" s="275" t="s">
        <v>164</v>
      </c>
      <c r="H29" s="235" t="s">
        <v>165</v>
      </c>
      <c r="I29" s="127">
        <f t="shared" ref="I29:AJ29" si="9">SUM(I22,I25)</f>
        <v>844912.5164</v>
      </c>
      <c r="J29" s="127">
        <f t="shared" si="9"/>
        <v>561669.631</v>
      </c>
      <c r="K29" s="127">
        <f t="shared" si="9"/>
        <v>793380.722</v>
      </c>
      <c r="L29" s="127">
        <f t="shared" si="9"/>
        <v>793380.722</v>
      </c>
      <c r="M29" s="127">
        <f t="shared" si="9"/>
        <v>630759.0999</v>
      </c>
      <c r="N29" s="127">
        <f t="shared" si="9"/>
        <v>793380.722</v>
      </c>
      <c r="O29" s="127">
        <f t="shared" si="9"/>
        <v>617920.245</v>
      </c>
      <c r="P29" s="127">
        <f t="shared" si="9"/>
        <v>889277.4866</v>
      </c>
      <c r="Q29" s="127">
        <f t="shared" si="9"/>
        <v>1047537.762</v>
      </c>
      <c r="R29" s="127">
        <f t="shared" si="9"/>
        <v>793380.722</v>
      </c>
      <c r="S29" s="127">
        <f t="shared" si="9"/>
        <v>793380.722</v>
      </c>
      <c r="T29" s="127">
        <f t="shared" si="9"/>
        <v>793380.722</v>
      </c>
      <c r="U29" s="127">
        <f t="shared" si="9"/>
        <v>793380.722</v>
      </c>
      <c r="V29" s="127">
        <f t="shared" si="9"/>
        <v>793380.722</v>
      </c>
      <c r="W29" s="127">
        <f t="shared" si="9"/>
        <v>793380.722</v>
      </c>
      <c r="X29" s="127">
        <f t="shared" si="9"/>
        <v>793380.722</v>
      </c>
      <c r="Y29" s="127">
        <f t="shared" si="9"/>
        <v>793380.722</v>
      </c>
      <c r="Z29" s="127">
        <f t="shared" si="9"/>
        <v>793380.722</v>
      </c>
      <c r="AA29" s="127">
        <f t="shared" si="9"/>
        <v>793380.722</v>
      </c>
      <c r="AB29" s="127">
        <f t="shared" si="9"/>
        <v>793380.722</v>
      </c>
      <c r="AC29" s="127">
        <f t="shared" si="9"/>
        <v>793380.722</v>
      </c>
      <c r="AD29" s="127">
        <f t="shared" si="9"/>
        <v>793380.722</v>
      </c>
      <c r="AE29" s="127">
        <f t="shared" si="9"/>
        <v>793380.722</v>
      </c>
      <c r="AF29" s="127">
        <f t="shared" si="9"/>
        <v>793380.722</v>
      </c>
      <c r="AG29" s="127">
        <f t="shared" si="9"/>
        <v>428571.4286</v>
      </c>
      <c r="AH29" s="127">
        <f t="shared" si="9"/>
        <v>428571.4286</v>
      </c>
      <c r="AI29" s="127">
        <f t="shared" si="9"/>
        <v>428571.4286</v>
      </c>
      <c r="AJ29" s="127">
        <f t="shared" si="9"/>
        <v>428571.4286</v>
      </c>
      <c r="AK29" s="152"/>
    </row>
    <row r="30">
      <c r="A30" s="101"/>
      <c r="B30" s="102"/>
      <c r="C30" s="109"/>
      <c r="D30" s="109"/>
      <c r="E30" s="109"/>
      <c r="F30" s="278"/>
      <c r="G30" s="279"/>
      <c r="H30" s="105"/>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7"/>
    </row>
    <row r="31">
      <c r="A31" s="101"/>
      <c r="B31" s="102"/>
      <c r="C31" s="109" t="s">
        <v>196</v>
      </c>
      <c r="F31" s="278"/>
      <c r="G31" s="279"/>
      <c r="H31" s="105"/>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7"/>
    </row>
    <row r="32">
      <c r="A32" s="101"/>
      <c r="B32" s="102"/>
      <c r="C32" s="283"/>
      <c r="D32" s="284"/>
      <c r="E32" s="112" t="s">
        <v>197</v>
      </c>
      <c r="F32" s="114" t="str">
        <f>Inputs!F18</f>
        <v>$</v>
      </c>
      <c r="G32" s="286" t="str">
        <f>Inputs!G18</f>
        <v>input</v>
      </c>
      <c r="H32" s="117" t="str">
        <f>Inputs!H18</f>
        <v>-</v>
      </c>
      <c r="I32" s="291">
        <f>Inputs!I18</f>
        <v>1.05602</v>
      </c>
      <c r="J32" s="291">
        <f>Inputs!J18</f>
        <v>1.13658</v>
      </c>
      <c r="K32" s="291">
        <f>Inputs!K18</f>
        <v>1.01732</v>
      </c>
      <c r="L32" s="291">
        <f>Inputs!L18</f>
        <v>1.01732</v>
      </c>
      <c r="M32" s="291">
        <f>Inputs!M18</f>
        <v>1.39344</v>
      </c>
      <c r="N32" s="291">
        <f>Inputs!N18</f>
        <v>1.01732</v>
      </c>
      <c r="O32" s="291">
        <f>Inputs!O18</f>
        <v>1.01732</v>
      </c>
      <c r="P32" s="291">
        <f>Inputs!P18</f>
        <v>0.80168</v>
      </c>
      <c r="Q32" s="291">
        <f>Inputs!Q18</f>
        <v>0.85963</v>
      </c>
      <c r="R32" s="291">
        <f>Inputs!R18</f>
        <v>1.01732</v>
      </c>
      <c r="S32" s="291">
        <f>Inputs!S18</f>
        <v>1.01732</v>
      </c>
      <c r="T32" s="291">
        <f>Inputs!T18</f>
        <v>1.01732</v>
      </c>
      <c r="U32" s="291">
        <f>Inputs!U18</f>
        <v>1.01732</v>
      </c>
      <c r="V32" s="291">
        <f>Inputs!V18</f>
        <v>1.01732</v>
      </c>
      <c r="W32" s="291">
        <f>Inputs!W18</f>
        <v>1.01732</v>
      </c>
      <c r="X32" s="291">
        <f>Inputs!X18</f>
        <v>1.01732</v>
      </c>
      <c r="Y32" s="291">
        <f>Inputs!Y18</f>
        <v>1.01732</v>
      </c>
      <c r="Z32" s="291">
        <f>Inputs!Z18</f>
        <v>1.01732</v>
      </c>
      <c r="AA32" s="291">
        <f>Inputs!AA18</f>
        <v>1.01732</v>
      </c>
      <c r="AB32" s="291">
        <f>Inputs!AB18</f>
        <v>1.01732</v>
      </c>
      <c r="AC32" s="291">
        <f>Inputs!AC18</f>
        <v>1.01732</v>
      </c>
      <c r="AD32" s="291">
        <f>Inputs!AD18</f>
        <v>1.01732</v>
      </c>
      <c r="AE32" s="291">
        <f>Inputs!AE18</f>
        <v>1.01732</v>
      </c>
      <c r="AF32" s="291">
        <f>Inputs!AF18</f>
        <v>1.01732</v>
      </c>
      <c r="AG32" s="291">
        <f>Inputs!AG18</f>
        <v>1.52598</v>
      </c>
      <c r="AH32" s="291">
        <f>Inputs!AH18</f>
        <v>1.52598</v>
      </c>
      <c r="AI32" s="291">
        <f>Inputs!AI18</f>
        <v>1.0895</v>
      </c>
      <c r="AJ32" s="291">
        <f>Inputs!AJ18</f>
        <v>1.01732</v>
      </c>
      <c r="AK32" s="295"/>
    </row>
    <row r="33">
      <c r="A33" s="101"/>
      <c r="B33" s="102"/>
      <c r="C33" s="283"/>
      <c r="D33" s="284"/>
      <c r="E33" s="112" t="s">
        <v>199</v>
      </c>
      <c r="F33" s="114" t="str">
        <f>Inputs!F19</f>
        <v>#</v>
      </c>
      <c r="G33" s="286" t="str">
        <f>Inputs!G19</f>
        <v>input</v>
      </c>
      <c r="H33" s="117">
        <f>Inputs!H19</f>
        <v>2</v>
      </c>
      <c r="I33" s="297" t="str">
        <f>Inputs!I19</f>
        <v>-</v>
      </c>
      <c r="J33" s="297" t="str">
        <f>Inputs!J19</f>
        <v>-</v>
      </c>
      <c r="K33" s="297" t="str">
        <f>Inputs!K19</f>
        <v>-</v>
      </c>
      <c r="L33" s="297" t="str">
        <f>Inputs!L19</f>
        <v>-</v>
      </c>
      <c r="M33" s="297" t="str">
        <f>Inputs!M19</f>
        <v>-</v>
      </c>
      <c r="N33" s="297" t="str">
        <f>Inputs!N19</f>
        <v>-</v>
      </c>
      <c r="O33" s="297" t="str">
        <f>Inputs!O19</f>
        <v>-</v>
      </c>
      <c r="P33" s="297" t="str">
        <f>Inputs!P19</f>
        <v>-</v>
      </c>
      <c r="Q33" s="297" t="str">
        <f>Inputs!Q19</f>
        <v>-</v>
      </c>
      <c r="R33" s="297" t="str">
        <f>Inputs!R19</f>
        <v>-</v>
      </c>
      <c r="S33" s="297" t="str">
        <f>Inputs!S19</f>
        <v>-</v>
      </c>
      <c r="T33" s="297" t="str">
        <f>Inputs!T19</f>
        <v>-</v>
      </c>
      <c r="U33" s="297" t="str">
        <f>Inputs!U19</f>
        <v>-</v>
      </c>
      <c r="V33" s="297" t="str">
        <f>Inputs!V19</f>
        <v>-</v>
      </c>
      <c r="W33" s="297" t="str">
        <f>Inputs!W19</f>
        <v>-</v>
      </c>
      <c r="X33" s="297" t="str">
        <f>Inputs!X19</f>
        <v>-</v>
      </c>
      <c r="Y33" s="297" t="str">
        <f>Inputs!Y19</f>
        <v>-</v>
      </c>
      <c r="Z33" s="297" t="str">
        <f>Inputs!Z19</f>
        <v>-</v>
      </c>
      <c r="AA33" s="297" t="str">
        <f>Inputs!AA19</f>
        <v>-</v>
      </c>
      <c r="AB33" s="297" t="str">
        <f>Inputs!AB19</f>
        <v>-</v>
      </c>
      <c r="AC33" s="297" t="str">
        <f>Inputs!AC19</f>
        <v>-</v>
      </c>
      <c r="AD33" s="297" t="str">
        <f>Inputs!AD19</f>
        <v>-</v>
      </c>
      <c r="AE33" s="297" t="str">
        <f>Inputs!AE19</f>
        <v>-</v>
      </c>
      <c r="AF33" s="297" t="str">
        <f>Inputs!AF19</f>
        <v>-</v>
      </c>
      <c r="AG33" s="297" t="str">
        <f>Inputs!AG19</f>
        <v>-</v>
      </c>
      <c r="AH33" s="297" t="str">
        <f>Inputs!AH19</f>
        <v>-</v>
      </c>
      <c r="AI33" s="297" t="str">
        <f>Inputs!AI19</f>
        <v>-</v>
      </c>
      <c r="AJ33" s="297" t="str">
        <f>Inputs!AJ19</f>
        <v>-</v>
      </c>
      <c r="AK33" s="306"/>
    </row>
    <row r="34">
      <c r="A34" s="101"/>
      <c r="B34" s="102"/>
      <c r="C34" s="283"/>
      <c r="D34" s="284"/>
      <c r="E34" s="112" t="s">
        <v>202</v>
      </c>
      <c r="F34" s="114" t="s">
        <v>108</v>
      </c>
      <c r="G34" s="286" t="s">
        <v>164</v>
      </c>
      <c r="H34" s="256" t="s">
        <v>165</v>
      </c>
      <c r="I34" s="291">
        <f t="shared" ref="I34:AJ34" si="10">I32*$H33</f>
        <v>2.11204</v>
      </c>
      <c r="J34" s="291">
        <f t="shared" si="10"/>
        <v>2.27316</v>
      </c>
      <c r="K34" s="291">
        <f t="shared" si="10"/>
        <v>2.03464</v>
      </c>
      <c r="L34" s="291">
        <f t="shared" si="10"/>
        <v>2.03464</v>
      </c>
      <c r="M34" s="291">
        <f t="shared" si="10"/>
        <v>2.78688</v>
      </c>
      <c r="N34" s="291">
        <f t="shared" si="10"/>
        <v>2.03464</v>
      </c>
      <c r="O34" s="291">
        <f t="shared" si="10"/>
        <v>2.03464</v>
      </c>
      <c r="P34" s="291">
        <f t="shared" si="10"/>
        <v>1.60336</v>
      </c>
      <c r="Q34" s="291">
        <f t="shared" si="10"/>
        <v>1.71926</v>
      </c>
      <c r="R34" s="291">
        <f t="shared" si="10"/>
        <v>2.03464</v>
      </c>
      <c r="S34" s="291">
        <f t="shared" si="10"/>
        <v>2.03464</v>
      </c>
      <c r="T34" s="291">
        <f t="shared" si="10"/>
        <v>2.03464</v>
      </c>
      <c r="U34" s="291">
        <f t="shared" si="10"/>
        <v>2.03464</v>
      </c>
      <c r="V34" s="291">
        <f t="shared" si="10"/>
        <v>2.03464</v>
      </c>
      <c r="W34" s="291">
        <f t="shared" si="10"/>
        <v>2.03464</v>
      </c>
      <c r="X34" s="291">
        <f t="shared" si="10"/>
        <v>2.03464</v>
      </c>
      <c r="Y34" s="291">
        <f t="shared" si="10"/>
        <v>2.03464</v>
      </c>
      <c r="Z34" s="291">
        <f t="shared" si="10"/>
        <v>2.03464</v>
      </c>
      <c r="AA34" s="291">
        <f t="shared" si="10"/>
        <v>2.03464</v>
      </c>
      <c r="AB34" s="291">
        <f t="shared" si="10"/>
        <v>2.03464</v>
      </c>
      <c r="AC34" s="291">
        <f t="shared" si="10"/>
        <v>2.03464</v>
      </c>
      <c r="AD34" s="291">
        <f t="shared" si="10"/>
        <v>2.03464</v>
      </c>
      <c r="AE34" s="291">
        <f t="shared" si="10"/>
        <v>2.03464</v>
      </c>
      <c r="AF34" s="291">
        <f t="shared" si="10"/>
        <v>2.03464</v>
      </c>
      <c r="AG34" s="291">
        <f t="shared" si="10"/>
        <v>3.05196</v>
      </c>
      <c r="AH34" s="291">
        <f t="shared" si="10"/>
        <v>3.05196</v>
      </c>
      <c r="AI34" s="291">
        <f t="shared" si="10"/>
        <v>2.179</v>
      </c>
      <c r="AJ34" s="291">
        <f t="shared" si="10"/>
        <v>2.03464</v>
      </c>
      <c r="AK34" s="295"/>
    </row>
    <row r="35">
      <c r="A35" s="101"/>
      <c r="B35" s="102"/>
      <c r="C35" s="283"/>
      <c r="D35" s="284"/>
      <c r="E35" s="246" t="s">
        <v>205</v>
      </c>
      <c r="F35" s="121" t="s">
        <v>108</v>
      </c>
      <c r="G35" s="248" t="s">
        <v>164</v>
      </c>
      <c r="H35" s="249" t="s">
        <v>165</v>
      </c>
      <c r="I35" s="315">
        <f t="shared" ref="I35:AJ35" si="11">(I28/I18)*I34</f>
        <v>1.342811377</v>
      </c>
      <c r="J35" s="315">
        <f t="shared" si="11"/>
        <v>1.455595956</v>
      </c>
      <c r="K35" s="315">
        <f t="shared" si="11"/>
        <v>1.282417722</v>
      </c>
      <c r="L35" s="315">
        <f t="shared" si="11"/>
        <v>1.282417722</v>
      </c>
      <c r="M35" s="315">
        <f t="shared" si="11"/>
        <v>1.815199452</v>
      </c>
      <c r="N35" s="315">
        <f t="shared" si="11"/>
        <v>1.282417722</v>
      </c>
      <c r="O35" s="315">
        <f t="shared" si="11"/>
        <v>1.282417722</v>
      </c>
      <c r="P35" s="315">
        <f t="shared" si="11"/>
        <v>0.9867351615</v>
      </c>
      <c r="Q35" s="315">
        <f t="shared" si="11"/>
        <v>1.06786488</v>
      </c>
      <c r="R35" s="315">
        <f t="shared" si="11"/>
        <v>1.282417722</v>
      </c>
      <c r="S35" s="315">
        <f t="shared" si="11"/>
        <v>1.282417722</v>
      </c>
      <c r="T35" s="315">
        <f t="shared" si="11"/>
        <v>1.282417722</v>
      </c>
      <c r="U35" s="315">
        <f t="shared" si="11"/>
        <v>1.282417722</v>
      </c>
      <c r="V35" s="315">
        <f t="shared" si="11"/>
        <v>1.282417722</v>
      </c>
      <c r="W35" s="315">
        <f t="shared" si="11"/>
        <v>1.282417722</v>
      </c>
      <c r="X35" s="315">
        <f t="shared" si="11"/>
        <v>1.282417722</v>
      </c>
      <c r="Y35" s="315">
        <f t="shared" si="11"/>
        <v>1.282417722</v>
      </c>
      <c r="Z35" s="315">
        <f t="shared" si="11"/>
        <v>1.282417722</v>
      </c>
      <c r="AA35" s="315">
        <f t="shared" si="11"/>
        <v>1.282417722</v>
      </c>
      <c r="AB35" s="315">
        <f t="shared" si="11"/>
        <v>1.282417722</v>
      </c>
      <c r="AC35" s="315">
        <f t="shared" si="11"/>
        <v>1.282417722</v>
      </c>
      <c r="AD35" s="315">
        <f t="shared" si="11"/>
        <v>1.282417722</v>
      </c>
      <c r="AE35" s="315">
        <f t="shared" si="11"/>
        <v>1.282417722</v>
      </c>
      <c r="AF35" s="315">
        <f t="shared" si="11"/>
        <v>1.282417722</v>
      </c>
      <c r="AG35" s="315">
        <f t="shared" si="11"/>
        <v>2.136372</v>
      </c>
      <c r="AH35" s="315">
        <f t="shared" si="11"/>
        <v>2.136372</v>
      </c>
      <c r="AI35" s="315">
        <f t="shared" si="11"/>
        <v>1.5253</v>
      </c>
      <c r="AJ35" s="315">
        <f t="shared" si="11"/>
        <v>1.424248</v>
      </c>
      <c r="AK35" s="317"/>
    </row>
    <row r="36">
      <c r="A36" s="101"/>
      <c r="B36" s="102"/>
      <c r="C36" s="109"/>
      <c r="D36" s="102"/>
      <c r="E36" s="131"/>
      <c r="F36" s="132"/>
      <c r="G36" s="242"/>
      <c r="H36" s="105"/>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7"/>
    </row>
    <row r="37">
      <c r="A37" s="99" t="s">
        <v>208</v>
      </c>
      <c r="B37" s="12"/>
      <c r="C37" s="12"/>
      <c r="D37" s="12"/>
      <c r="E37" s="12"/>
      <c r="F37" s="12"/>
      <c r="G37" s="12"/>
      <c r="H37" s="318"/>
      <c r="I37" s="319"/>
      <c r="J37" s="319"/>
      <c r="K37" s="319"/>
      <c r="L37" s="319"/>
      <c r="M37" s="319"/>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20"/>
    </row>
    <row r="38">
      <c r="A38" s="101"/>
      <c r="B38" s="102"/>
      <c r="C38" s="102"/>
      <c r="D38" s="102"/>
      <c r="E38" s="103"/>
      <c r="F38" s="104"/>
      <c r="G38" s="321"/>
      <c r="H38" s="105"/>
      <c r="I38" s="322"/>
      <c r="J38" s="322"/>
      <c r="K38" s="322"/>
      <c r="L38" s="322"/>
      <c r="M38" s="322"/>
      <c r="N38" s="322"/>
      <c r="O38" s="322"/>
      <c r="P38" s="322"/>
      <c r="Q38" s="322"/>
      <c r="R38" s="322"/>
      <c r="S38" s="322"/>
      <c r="T38" s="322"/>
      <c r="U38" s="322"/>
      <c r="V38" s="322"/>
      <c r="W38" s="322"/>
      <c r="X38" s="322"/>
      <c r="Y38" s="322"/>
      <c r="Z38" s="322"/>
      <c r="AA38" s="323"/>
      <c r="AB38" s="106"/>
      <c r="AC38" s="106"/>
      <c r="AD38" s="106"/>
      <c r="AE38" s="106"/>
      <c r="AF38" s="106"/>
      <c r="AG38" s="106"/>
      <c r="AH38" s="106"/>
      <c r="AI38" s="106"/>
      <c r="AJ38" s="106"/>
      <c r="AK38" s="107"/>
    </row>
    <row r="39">
      <c r="A39" s="101"/>
      <c r="B39" s="102"/>
      <c r="C39" s="113" t="s">
        <v>209</v>
      </c>
      <c r="F39" s="132"/>
      <c r="G39" s="271"/>
      <c r="H39" s="243"/>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5"/>
    </row>
    <row r="40">
      <c r="A40" s="101"/>
      <c r="B40" s="102"/>
      <c r="C40" s="326"/>
      <c r="D40" s="102"/>
      <c r="E40" s="112" t="s">
        <v>210</v>
      </c>
      <c r="F40" s="114" t="s">
        <v>101</v>
      </c>
      <c r="G40" s="255" t="s">
        <v>164</v>
      </c>
      <c r="H40" s="256" t="s">
        <v>165</v>
      </c>
      <c r="I40" s="212">
        <f t="shared" ref="I40:AJ40" si="12">I21/I35</f>
        <v>744706.2313</v>
      </c>
      <c r="J40" s="212">
        <f t="shared" si="12"/>
        <v>687003.8321</v>
      </c>
      <c r="K40" s="212">
        <f t="shared" si="12"/>
        <v>779777.1218</v>
      </c>
      <c r="L40" s="212">
        <f t="shared" si="12"/>
        <v>779777.1218</v>
      </c>
      <c r="M40" s="212">
        <f t="shared" si="12"/>
        <v>550903.648</v>
      </c>
      <c r="N40" s="212">
        <f t="shared" si="12"/>
        <v>779777.1218</v>
      </c>
      <c r="O40" s="212">
        <f t="shared" si="12"/>
        <v>779777.1218</v>
      </c>
      <c r="P40" s="212">
        <f t="shared" si="12"/>
        <v>1013443.16</v>
      </c>
      <c r="Q40" s="212">
        <f t="shared" si="12"/>
        <v>936448.0645</v>
      </c>
      <c r="R40" s="212">
        <f t="shared" si="12"/>
        <v>779777.1218</v>
      </c>
      <c r="S40" s="212">
        <f t="shared" si="12"/>
        <v>779777.1218</v>
      </c>
      <c r="T40" s="212">
        <f t="shared" si="12"/>
        <v>779777.1218</v>
      </c>
      <c r="U40" s="212">
        <f t="shared" si="12"/>
        <v>779777.1218</v>
      </c>
      <c r="V40" s="212">
        <f t="shared" si="12"/>
        <v>779777.1218</v>
      </c>
      <c r="W40" s="212">
        <f t="shared" si="12"/>
        <v>779777.1218</v>
      </c>
      <c r="X40" s="212">
        <f t="shared" si="12"/>
        <v>779777.1218</v>
      </c>
      <c r="Y40" s="212">
        <f t="shared" si="12"/>
        <v>779777.1218</v>
      </c>
      <c r="Z40" s="212">
        <f t="shared" si="12"/>
        <v>779777.1218</v>
      </c>
      <c r="AA40" s="212">
        <f t="shared" si="12"/>
        <v>779777.1218</v>
      </c>
      <c r="AB40" s="212">
        <f t="shared" si="12"/>
        <v>779777.1218</v>
      </c>
      <c r="AC40" s="212">
        <f t="shared" si="12"/>
        <v>779777.1218</v>
      </c>
      <c r="AD40" s="212">
        <f t="shared" si="12"/>
        <v>779777.1218</v>
      </c>
      <c r="AE40" s="212">
        <f t="shared" si="12"/>
        <v>779777.1218</v>
      </c>
      <c r="AF40" s="212">
        <f t="shared" si="12"/>
        <v>779777.1218</v>
      </c>
      <c r="AG40" s="212">
        <f t="shared" si="12"/>
        <v>468083.2739</v>
      </c>
      <c r="AH40" s="212">
        <f t="shared" si="12"/>
        <v>468083.2739</v>
      </c>
      <c r="AI40" s="212">
        <f t="shared" si="12"/>
        <v>655608.7327</v>
      </c>
      <c r="AJ40" s="212">
        <f t="shared" si="12"/>
        <v>702124.9108</v>
      </c>
      <c r="AK40" s="221"/>
    </row>
    <row r="41">
      <c r="A41" s="101"/>
      <c r="B41" s="102"/>
      <c r="C41" s="326"/>
      <c r="D41" s="102"/>
      <c r="E41" s="335" t="s">
        <v>212</v>
      </c>
      <c r="F41" s="338" t="str">
        <f>Inputs!F139</f>
        <v>%</v>
      </c>
      <c r="G41" s="341" t="str">
        <f>Inputs!G139</f>
        <v>input</v>
      </c>
      <c r="H41" s="316" t="str">
        <f>Inputs!H139</f>
        <v>-</v>
      </c>
      <c r="I41" s="222">
        <f>Inputs!I139</f>
        <v>0.25</v>
      </c>
      <c r="J41" s="222">
        <f>Inputs!J139</f>
        <v>0.25</v>
      </c>
      <c r="K41" s="222">
        <f>Inputs!K139</f>
        <v>0.25</v>
      </c>
      <c r="L41" s="222">
        <f>Inputs!L139</f>
        <v>0.25</v>
      </c>
      <c r="M41" s="222">
        <f>Inputs!M139</f>
        <v>0.25</v>
      </c>
      <c r="N41" s="222">
        <f>Inputs!N139</f>
        <v>0.25</v>
      </c>
      <c r="O41" s="222">
        <f>Inputs!O139</f>
        <v>0.44</v>
      </c>
      <c r="P41" s="222">
        <f>Inputs!P139</f>
        <v>0.25</v>
      </c>
      <c r="Q41" s="222">
        <f>Inputs!Q139</f>
        <v>0.25</v>
      </c>
      <c r="R41" s="222">
        <f>Inputs!R139</f>
        <v>0.25</v>
      </c>
      <c r="S41" s="222">
        <f>Inputs!S139</f>
        <v>0.25</v>
      </c>
      <c r="T41" s="222">
        <f>Inputs!T139</f>
        <v>0.25</v>
      </c>
      <c r="U41" s="222">
        <f>Inputs!U139</f>
        <v>0.25</v>
      </c>
      <c r="V41" s="222">
        <f>Inputs!V139</f>
        <v>0.25</v>
      </c>
      <c r="W41" s="222">
        <f>Inputs!W139</f>
        <v>0.25</v>
      </c>
      <c r="X41" s="222">
        <f>Inputs!X139</f>
        <v>0.25</v>
      </c>
      <c r="Y41" s="222">
        <f>Inputs!Y139</f>
        <v>0.25</v>
      </c>
      <c r="Z41" s="222">
        <f>Inputs!Z139</f>
        <v>0.25</v>
      </c>
      <c r="AA41" s="222">
        <f>Inputs!AA139</f>
        <v>0.25</v>
      </c>
      <c r="AB41" s="222">
        <f>Inputs!AB139</f>
        <v>0.25</v>
      </c>
      <c r="AC41" s="222">
        <f>Inputs!AC139</f>
        <v>0.25</v>
      </c>
      <c r="AD41" s="222">
        <f>Inputs!AD139</f>
        <v>0.25</v>
      </c>
      <c r="AE41" s="222">
        <f>Inputs!AE139</f>
        <v>0.25</v>
      </c>
      <c r="AF41" s="222">
        <f>Inputs!AF139</f>
        <v>0.25</v>
      </c>
      <c r="AG41" s="222">
        <f>Inputs!AG139</f>
        <v>0.25</v>
      </c>
      <c r="AH41" s="222">
        <f>Inputs!AH139</f>
        <v>0.25</v>
      </c>
      <c r="AI41" s="222">
        <f>Inputs!AI139</f>
        <v>0.25</v>
      </c>
      <c r="AJ41" s="222">
        <f>Inputs!AJ139</f>
        <v>0.25</v>
      </c>
      <c r="AK41" s="226"/>
    </row>
    <row r="42">
      <c r="A42" s="101"/>
      <c r="B42" s="102"/>
      <c r="C42" s="326"/>
      <c r="D42" s="102"/>
      <c r="E42" s="190" t="s">
        <v>217</v>
      </c>
      <c r="F42" s="176" t="s">
        <v>101</v>
      </c>
      <c r="G42" s="361" t="s">
        <v>164</v>
      </c>
      <c r="H42" s="235" t="s">
        <v>165</v>
      </c>
      <c r="I42" s="362">
        <f t="shared" ref="I42:AJ42" si="13">I40*(1-I41)</f>
        <v>558529.6735</v>
      </c>
      <c r="J42" s="362">
        <f t="shared" si="13"/>
        <v>515252.8741</v>
      </c>
      <c r="K42" s="362">
        <f t="shared" si="13"/>
        <v>584832.8413</v>
      </c>
      <c r="L42" s="362">
        <f t="shared" si="13"/>
        <v>584832.8413</v>
      </c>
      <c r="M42" s="362">
        <f t="shared" si="13"/>
        <v>413177.736</v>
      </c>
      <c r="N42" s="362">
        <f t="shared" si="13"/>
        <v>584832.8413</v>
      </c>
      <c r="O42" s="362">
        <f t="shared" si="13"/>
        <v>436675.1882</v>
      </c>
      <c r="P42" s="362">
        <f t="shared" si="13"/>
        <v>760082.3699</v>
      </c>
      <c r="Q42" s="362">
        <f t="shared" si="13"/>
        <v>702336.0483</v>
      </c>
      <c r="R42" s="362">
        <f t="shared" si="13"/>
        <v>584832.8413</v>
      </c>
      <c r="S42" s="362">
        <f t="shared" si="13"/>
        <v>584832.8413</v>
      </c>
      <c r="T42" s="362">
        <f t="shared" si="13"/>
        <v>584832.8413</v>
      </c>
      <c r="U42" s="362">
        <f t="shared" si="13"/>
        <v>584832.8413</v>
      </c>
      <c r="V42" s="362">
        <f t="shared" si="13"/>
        <v>584832.8413</v>
      </c>
      <c r="W42" s="362">
        <f t="shared" si="13"/>
        <v>584832.8413</v>
      </c>
      <c r="X42" s="362">
        <f t="shared" si="13"/>
        <v>584832.8413</v>
      </c>
      <c r="Y42" s="362">
        <f t="shared" si="13"/>
        <v>584832.8413</v>
      </c>
      <c r="Z42" s="362">
        <f t="shared" si="13"/>
        <v>584832.8413</v>
      </c>
      <c r="AA42" s="362">
        <f t="shared" si="13"/>
        <v>584832.8413</v>
      </c>
      <c r="AB42" s="362">
        <f t="shared" si="13"/>
        <v>584832.8413</v>
      </c>
      <c r="AC42" s="362">
        <f t="shared" si="13"/>
        <v>584832.8413</v>
      </c>
      <c r="AD42" s="362">
        <f t="shared" si="13"/>
        <v>584832.8413</v>
      </c>
      <c r="AE42" s="362">
        <f t="shared" si="13"/>
        <v>584832.8413</v>
      </c>
      <c r="AF42" s="362">
        <f t="shared" si="13"/>
        <v>584832.8413</v>
      </c>
      <c r="AG42" s="362">
        <f t="shared" si="13"/>
        <v>351062.4554</v>
      </c>
      <c r="AH42" s="362">
        <f t="shared" si="13"/>
        <v>351062.4554</v>
      </c>
      <c r="AI42" s="362">
        <f t="shared" si="13"/>
        <v>491706.5495</v>
      </c>
      <c r="AJ42" s="362">
        <f t="shared" si="13"/>
        <v>526593.6831</v>
      </c>
      <c r="AK42" s="371"/>
    </row>
    <row r="43">
      <c r="A43" s="101"/>
      <c r="B43" s="102"/>
      <c r="C43" s="102"/>
      <c r="D43" s="102"/>
      <c r="E43" s="103"/>
      <c r="F43" s="104"/>
      <c r="G43" s="115"/>
      <c r="H43" s="105"/>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7"/>
    </row>
    <row r="44">
      <c r="A44" s="99" t="s">
        <v>218</v>
      </c>
      <c r="B44" s="12"/>
      <c r="C44" s="12"/>
      <c r="D44" s="12"/>
      <c r="E44" s="12"/>
      <c r="F44" s="12"/>
      <c r="G44" s="12"/>
      <c r="H44" s="318"/>
      <c r="I44" s="319"/>
      <c r="J44" s="319"/>
      <c r="K44" s="319"/>
      <c r="L44" s="319"/>
      <c r="M44" s="319"/>
      <c r="N44" s="319"/>
      <c r="O44" s="319"/>
      <c r="P44" s="319"/>
      <c r="Q44" s="319"/>
      <c r="R44" s="319"/>
      <c r="S44" s="319"/>
      <c r="T44" s="319"/>
      <c r="U44" s="319"/>
      <c r="V44" s="319"/>
      <c r="W44" s="319"/>
      <c r="X44" s="319"/>
      <c r="Y44" s="319"/>
      <c r="Z44" s="319"/>
      <c r="AA44" s="319"/>
      <c r="AB44" s="319"/>
      <c r="AC44" s="319"/>
      <c r="AD44" s="319"/>
      <c r="AE44" s="319"/>
      <c r="AF44" s="319"/>
      <c r="AG44" s="319"/>
      <c r="AH44" s="319"/>
      <c r="AI44" s="319"/>
      <c r="AJ44" s="319"/>
      <c r="AK44" s="320"/>
    </row>
    <row r="45">
      <c r="A45" s="101"/>
      <c r="B45" s="102"/>
      <c r="C45" s="374"/>
      <c r="D45" s="102"/>
      <c r="E45" s="103"/>
      <c r="F45" s="104"/>
      <c r="G45" s="111"/>
      <c r="H45" s="105"/>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7"/>
    </row>
    <row r="46">
      <c r="A46" s="101"/>
      <c r="B46" s="102"/>
      <c r="C46" s="377" t="s">
        <v>219</v>
      </c>
      <c r="F46" s="104"/>
      <c r="G46" s="111"/>
      <c r="H46" s="105"/>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7"/>
    </row>
    <row r="47">
      <c r="A47" s="101"/>
      <c r="B47" s="102"/>
      <c r="C47" s="377"/>
      <c r="D47" s="377"/>
      <c r="E47" s="112" t="s">
        <v>220</v>
      </c>
      <c r="F47" s="114" t="str">
        <f>Inputs!F144</f>
        <v>%</v>
      </c>
      <c r="G47" s="286" t="str">
        <f>Inputs!G144</f>
        <v>input</v>
      </c>
      <c r="H47" s="385">
        <f>Inputs!H144</f>
        <v>0.24</v>
      </c>
      <c r="I47" s="387" t="str">
        <f>Inputs!I144</f>
        <v>-</v>
      </c>
      <c r="J47" s="387" t="str">
        <f>Inputs!J144</f>
        <v>-</v>
      </c>
      <c r="K47" s="387" t="str">
        <f>Inputs!K144</f>
        <v>-</v>
      </c>
      <c r="L47" s="387" t="str">
        <f>Inputs!L144</f>
        <v>-</v>
      </c>
      <c r="M47" s="387" t="str">
        <f>Inputs!M144</f>
        <v>-</v>
      </c>
      <c r="N47" s="387" t="str">
        <f>Inputs!N144</f>
        <v>-</v>
      </c>
      <c r="O47" s="387" t="str">
        <f>Inputs!O144</f>
        <v>-</v>
      </c>
      <c r="P47" s="387" t="str">
        <f>Inputs!P144</f>
        <v>-</v>
      </c>
      <c r="Q47" s="387" t="str">
        <f>Inputs!Q144</f>
        <v>-</v>
      </c>
      <c r="R47" s="387" t="str">
        <f>Inputs!R144</f>
        <v>-</v>
      </c>
      <c r="S47" s="387" t="str">
        <f>Inputs!S144</f>
        <v>-</v>
      </c>
      <c r="T47" s="387" t="str">
        <f>Inputs!T144</f>
        <v>-</v>
      </c>
      <c r="U47" s="387" t="str">
        <f>Inputs!U144</f>
        <v>-</v>
      </c>
      <c r="V47" s="387" t="str">
        <f>Inputs!V144</f>
        <v>-</v>
      </c>
      <c r="W47" s="387" t="str">
        <f>Inputs!W144</f>
        <v>-</v>
      </c>
      <c r="X47" s="387" t="str">
        <f>Inputs!X144</f>
        <v>-</v>
      </c>
      <c r="Y47" s="387" t="str">
        <f>Inputs!Y144</f>
        <v>-</v>
      </c>
      <c r="Z47" s="387" t="str">
        <f>Inputs!Z144</f>
        <v>-</v>
      </c>
      <c r="AA47" s="387" t="str">
        <f>Inputs!AA144</f>
        <v>-</v>
      </c>
      <c r="AB47" s="387" t="str">
        <f>Inputs!AB144</f>
        <v>-</v>
      </c>
      <c r="AC47" s="387" t="str">
        <f>Inputs!AC144</f>
        <v>-</v>
      </c>
      <c r="AD47" s="387" t="str">
        <f>Inputs!AD144</f>
        <v>-</v>
      </c>
      <c r="AE47" s="387" t="str">
        <f>Inputs!AE144</f>
        <v>-</v>
      </c>
      <c r="AF47" s="387" t="str">
        <f>Inputs!AF144</f>
        <v>-</v>
      </c>
      <c r="AG47" s="387" t="str">
        <f>Inputs!AG144</f>
        <v>-</v>
      </c>
      <c r="AH47" s="387" t="str">
        <f>Inputs!AH144</f>
        <v>-</v>
      </c>
      <c r="AI47" s="387" t="str">
        <f>Inputs!AI144</f>
        <v>-</v>
      </c>
      <c r="AJ47" s="387" t="str">
        <f>Inputs!AJ144</f>
        <v>-</v>
      </c>
      <c r="AK47" s="400"/>
    </row>
    <row r="48">
      <c r="A48" s="101"/>
      <c r="B48" s="102"/>
      <c r="C48" s="377"/>
      <c r="D48" s="377"/>
      <c r="E48" s="112" t="s">
        <v>224</v>
      </c>
      <c r="F48" s="145" t="str">
        <f>Inputs!F145</f>
        <v>%</v>
      </c>
      <c r="G48" s="242" t="str">
        <f>Inputs!G145</f>
        <v>input</v>
      </c>
      <c r="H48" s="405">
        <f>Inputs!H145</f>
        <v>0.8729567</v>
      </c>
      <c r="I48" s="106" t="str">
        <f>Inputs!I145</f>
        <v>-</v>
      </c>
      <c r="J48" s="106" t="str">
        <f>Inputs!J145</f>
        <v>-</v>
      </c>
      <c r="K48" s="106" t="str">
        <f>Inputs!K145</f>
        <v>-</v>
      </c>
      <c r="L48" s="106" t="str">
        <f>Inputs!L145</f>
        <v>-</v>
      </c>
      <c r="M48" s="106" t="str">
        <f>Inputs!M145</f>
        <v>-</v>
      </c>
      <c r="N48" s="106" t="str">
        <f>Inputs!N145</f>
        <v>-</v>
      </c>
      <c r="O48" s="106" t="str">
        <f>Inputs!O145</f>
        <v>-</v>
      </c>
      <c r="P48" s="106" t="str">
        <f>Inputs!P145</f>
        <v>-</v>
      </c>
      <c r="Q48" s="106" t="str">
        <f>Inputs!Q145</f>
        <v>-</v>
      </c>
      <c r="R48" s="106" t="str">
        <f>Inputs!R145</f>
        <v>-</v>
      </c>
      <c r="S48" s="106" t="str">
        <f>Inputs!S145</f>
        <v>-</v>
      </c>
      <c r="T48" s="106" t="str">
        <f>Inputs!T145</f>
        <v>-</v>
      </c>
      <c r="U48" s="106" t="str">
        <f>Inputs!U145</f>
        <v>-</v>
      </c>
      <c r="V48" s="106" t="str">
        <f>Inputs!V145</f>
        <v>-</v>
      </c>
      <c r="W48" s="106" t="str">
        <f>Inputs!W145</f>
        <v>-</v>
      </c>
      <c r="X48" s="106" t="str">
        <f>Inputs!X145</f>
        <v>-</v>
      </c>
      <c r="Y48" s="106" t="str">
        <f>Inputs!Y145</f>
        <v>-</v>
      </c>
      <c r="Z48" s="106" t="str">
        <f>Inputs!Z145</f>
        <v>-</v>
      </c>
      <c r="AA48" s="106" t="str">
        <f>Inputs!AA145</f>
        <v>-</v>
      </c>
      <c r="AB48" s="106" t="str">
        <f>Inputs!AB145</f>
        <v>-</v>
      </c>
      <c r="AC48" s="106" t="str">
        <f>Inputs!AC145</f>
        <v>-</v>
      </c>
      <c r="AD48" s="106" t="str">
        <f>Inputs!AD145</f>
        <v>-</v>
      </c>
      <c r="AE48" s="106" t="str">
        <f>Inputs!AE145</f>
        <v>-</v>
      </c>
      <c r="AF48" s="106" t="str">
        <f>Inputs!AF145</f>
        <v>-</v>
      </c>
      <c r="AG48" s="106" t="str">
        <f>Inputs!AG145</f>
        <v>-</v>
      </c>
      <c r="AH48" s="106" t="str">
        <f>Inputs!AH145</f>
        <v>-</v>
      </c>
      <c r="AI48" s="106" t="str">
        <f>Inputs!AI145</f>
        <v>-</v>
      </c>
      <c r="AJ48" s="106" t="str">
        <f>Inputs!AJ145</f>
        <v>-</v>
      </c>
      <c r="AK48" s="107"/>
    </row>
    <row r="49">
      <c r="A49" s="101"/>
      <c r="B49" s="102"/>
      <c r="C49" s="326"/>
      <c r="D49" s="102"/>
      <c r="E49" s="144" t="s">
        <v>227</v>
      </c>
      <c r="F49" s="145" t="s">
        <v>112</v>
      </c>
      <c r="G49" s="419" t="s">
        <v>164</v>
      </c>
      <c r="H49" s="316">
        <f>H47/H48</f>
        <v>0.2749277255</v>
      </c>
      <c r="I49" s="420" t="s">
        <v>165</v>
      </c>
      <c r="J49" s="420" t="s">
        <v>165</v>
      </c>
      <c r="K49" s="420" t="s">
        <v>165</v>
      </c>
      <c r="L49" s="420" t="s">
        <v>165</v>
      </c>
      <c r="M49" s="420" t="s">
        <v>165</v>
      </c>
      <c r="N49" s="420" t="s">
        <v>165</v>
      </c>
      <c r="O49" s="420" t="s">
        <v>165</v>
      </c>
      <c r="P49" s="420" t="s">
        <v>165</v>
      </c>
      <c r="Q49" s="420" t="s">
        <v>165</v>
      </c>
      <c r="R49" s="420" t="s">
        <v>165</v>
      </c>
      <c r="S49" s="420" t="s">
        <v>165</v>
      </c>
      <c r="T49" s="420" t="s">
        <v>165</v>
      </c>
      <c r="U49" s="420" t="s">
        <v>165</v>
      </c>
      <c r="V49" s="420" t="s">
        <v>165</v>
      </c>
      <c r="W49" s="420" t="s">
        <v>165</v>
      </c>
      <c r="X49" s="420" t="s">
        <v>165</v>
      </c>
      <c r="Y49" s="420" t="s">
        <v>165</v>
      </c>
      <c r="Z49" s="420" t="s">
        <v>165</v>
      </c>
      <c r="AA49" s="420" t="s">
        <v>165</v>
      </c>
      <c r="AB49" s="420" t="s">
        <v>165</v>
      </c>
      <c r="AC49" s="420" t="s">
        <v>165</v>
      </c>
      <c r="AD49" s="420" t="s">
        <v>165</v>
      </c>
      <c r="AE49" s="420" t="s">
        <v>165</v>
      </c>
      <c r="AF49" s="420" t="s">
        <v>165</v>
      </c>
      <c r="AG49" s="420" t="s">
        <v>165</v>
      </c>
      <c r="AH49" s="420" t="s">
        <v>165</v>
      </c>
      <c r="AI49" s="420" t="s">
        <v>165</v>
      </c>
      <c r="AJ49" s="420" t="s">
        <v>165</v>
      </c>
      <c r="AK49" s="422"/>
    </row>
    <row r="50">
      <c r="A50" s="101"/>
      <c r="B50" s="102"/>
      <c r="C50" s="102"/>
      <c r="D50" s="102"/>
      <c r="E50" s="144" t="s">
        <v>228</v>
      </c>
      <c r="F50" s="145" t="str">
        <f>Inputs!F146</f>
        <v>%</v>
      </c>
      <c r="G50" s="423" t="str">
        <f>Inputs!G146</f>
        <v>input</v>
      </c>
      <c r="H50" s="316">
        <f>Inputs!H146</f>
        <v>-0.25</v>
      </c>
      <c r="I50" s="187" t="str">
        <f>Inputs!I146</f>
        <v>-</v>
      </c>
      <c r="J50" s="187" t="str">
        <f>Inputs!J146</f>
        <v>-</v>
      </c>
      <c r="K50" s="187" t="str">
        <f>Inputs!K146</f>
        <v>-</v>
      </c>
      <c r="L50" s="187" t="str">
        <f>Inputs!L146</f>
        <v>-</v>
      </c>
      <c r="M50" s="187" t="str">
        <f>Inputs!M146</f>
        <v>-</v>
      </c>
      <c r="N50" s="187" t="str">
        <f>Inputs!N146</f>
        <v>-</v>
      </c>
      <c r="O50" s="187" t="str">
        <f>Inputs!O146</f>
        <v>-</v>
      </c>
      <c r="P50" s="187" t="str">
        <f>Inputs!P146</f>
        <v>-</v>
      </c>
      <c r="Q50" s="187" t="str">
        <f>Inputs!Q146</f>
        <v>-</v>
      </c>
      <c r="R50" s="187" t="str">
        <f>Inputs!R146</f>
        <v>-</v>
      </c>
      <c r="S50" s="187" t="str">
        <f>Inputs!S146</f>
        <v>-</v>
      </c>
      <c r="T50" s="187" t="str">
        <f>Inputs!T146</f>
        <v>-</v>
      </c>
      <c r="U50" s="187" t="str">
        <f>Inputs!U146</f>
        <v>-</v>
      </c>
      <c r="V50" s="187" t="str">
        <f>Inputs!V146</f>
        <v>-</v>
      </c>
      <c r="W50" s="187" t="str">
        <f>Inputs!W146</f>
        <v>-</v>
      </c>
      <c r="X50" s="187" t="str">
        <f>Inputs!X146</f>
        <v>-</v>
      </c>
      <c r="Y50" s="187" t="str">
        <f>Inputs!Y146</f>
        <v>-</v>
      </c>
      <c r="Z50" s="187" t="str">
        <f>Inputs!Z146</f>
        <v>-</v>
      </c>
      <c r="AA50" s="187" t="str">
        <f>Inputs!AA146</f>
        <v>-</v>
      </c>
      <c r="AB50" s="187" t="str">
        <f>Inputs!AB146</f>
        <v>-</v>
      </c>
      <c r="AC50" s="187" t="str">
        <f>Inputs!AC146</f>
        <v>-</v>
      </c>
      <c r="AD50" s="187" t="str">
        <f>Inputs!AD146</f>
        <v>-</v>
      </c>
      <c r="AE50" s="187" t="str">
        <f>Inputs!AE146</f>
        <v>-</v>
      </c>
      <c r="AF50" s="187" t="str">
        <f>Inputs!AF146</f>
        <v>-</v>
      </c>
      <c r="AG50" s="187" t="str">
        <f>Inputs!AG146</f>
        <v>-</v>
      </c>
      <c r="AH50" s="187" t="str">
        <f>Inputs!AH146</f>
        <v>-</v>
      </c>
      <c r="AI50" s="187" t="str">
        <f>Inputs!AI146</f>
        <v>-</v>
      </c>
      <c r="AJ50" s="187" t="str">
        <f>Inputs!AJ146</f>
        <v>-</v>
      </c>
      <c r="AK50" s="204"/>
    </row>
    <row r="51">
      <c r="A51" s="101"/>
      <c r="B51" s="102"/>
      <c r="C51" s="377"/>
      <c r="D51" s="377"/>
      <c r="E51" s="112" t="s">
        <v>230</v>
      </c>
      <c r="F51" s="114" t="str">
        <f>'External validity'!F182</f>
        <v>%</v>
      </c>
      <c r="G51" s="286" t="s">
        <v>232</v>
      </c>
      <c r="H51" s="256" t="str">
        <f>'External validity'!H182</f>
        <v>-</v>
      </c>
      <c r="I51" s="166">
        <f>'External validity'!I182</f>
        <v>-0.6887187799</v>
      </c>
      <c r="J51" s="166">
        <f>'External validity'!J182</f>
        <v>-0.4742831007</v>
      </c>
      <c r="K51" s="166">
        <f>'External validity'!K182</f>
        <v>-0.7452767972</v>
      </c>
      <c r="L51" s="166">
        <f>'External validity'!L182</f>
        <v>-0.5279259433</v>
      </c>
      <c r="M51" s="166">
        <f>'External validity'!M182</f>
        <v>-0.712254815</v>
      </c>
      <c r="N51" s="166">
        <f>'External validity'!N182</f>
        <v>-0.6927313457</v>
      </c>
      <c r="O51" s="166">
        <f>'External validity'!O182</f>
        <v>-0.4109350582</v>
      </c>
      <c r="P51" s="166">
        <f>'External validity'!P182</f>
        <v>-0.647438595</v>
      </c>
      <c r="Q51" s="166">
        <f>'External validity'!Q182</f>
        <v>-0.4218172882</v>
      </c>
      <c r="R51" s="166">
        <f>'External validity'!R182</f>
        <v>-0.7044101865</v>
      </c>
      <c r="S51" s="166">
        <f>'External validity'!S182</f>
        <v>-0.8393744177</v>
      </c>
      <c r="T51" s="166">
        <f>'External validity'!T182</f>
        <v>-0.87511983</v>
      </c>
      <c r="U51" s="166">
        <f>'External validity'!U182</f>
        <v>-0.7860090851</v>
      </c>
      <c r="V51" s="166">
        <f>'External validity'!V182</f>
        <v>-0.8577029347</v>
      </c>
      <c r="W51" s="166">
        <f>'External validity'!W182</f>
        <v>-0.711173653</v>
      </c>
      <c r="X51" s="166">
        <f>'External validity'!X182</f>
        <v>-0.8603908187</v>
      </c>
      <c r="Y51" s="166">
        <f>'External validity'!Y182</f>
        <v>-0.8200684803</v>
      </c>
      <c r="Z51" s="166">
        <f>'External validity'!Z182</f>
        <v>-0.8309327711</v>
      </c>
      <c r="AA51" s="166">
        <f>'External validity'!AA182</f>
        <v>-0.8213797455</v>
      </c>
      <c r="AB51" s="166">
        <f>'External validity'!AB182</f>
        <v>-0.7328546319</v>
      </c>
      <c r="AC51" s="166">
        <f>'External validity'!AC182</f>
        <v>-0.8309510431</v>
      </c>
      <c r="AD51" s="166">
        <f>'External validity'!AD182</f>
        <v>-0.8602456681</v>
      </c>
      <c r="AE51" s="166">
        <f>'External validity'!AE182</f>
        <v>-0.8014645287</v>
      </c>
      <c r="AF51" s="166">
        <f>'External validity'!AF182</f>
        <v>-0.6361732678</v>
      </c>
      <c r="AG51" s="166">
        <f>'External validity'!AG182</f>
        <v>-0.6511116788</v>
      </c>
      <c r="AH51" s="166">
        <f>'External validity'!AH182</f>
        <v>-0.4168781709</v>
      </c>
      <c r="AI51" s="166">
        <f>'External validity'!AI182</f>
        <v>-0.4505241306</v>
      </c>
      <c r="AJ51" s="166">
        <f>'External validity'!AJ182</f>
        <v>-0.7238977193</v>
      </c>
      <c r="AK51" s="180"/>
    </row>
    <row r="52">
      <c r="A52" s="101"/>
      <c r="B52" s="102"/>
      <c r="C52" s="377"/>
      <c r="D52" s="377"/>
      <c r="E52" s="112" t="s">
        <v>235</v>
      </c>
      <c r="F52" s="114" t="s">
        <v>112</v>
      </c>
      <c r="G52" s="286" t="s">
        <v>164</v>
      </c>
      <c r="H52" s="256" t="s">
        <v>165</v>
      </c>
      <c r="I52" s="427">
        <f t="shared" ref="I52:AJ52" si="14">$H49*(1+$H50)*(1+I51)</f>
        <v>0.06418487839</v>
      </c>
      <c r="J52" s="427">
        <f t="shared" si="14"/>
        <v>0.1084006136</v>
      </c>
      <c r="K52" s="427">
        <f t="shared" si="14"/>
        <v>0.05252285309</v>
      </c>
      <c r="L52" s="427">
        <f t="shared" si="14"/>
        <v>0.09733968501</v>
      </c>
      <c r="M52" s="427">
        <f t="shared" si="14"/>
        <v>0.05933184692</v>
      </c>
      <c r="N52" s="427">
        <f t="shared" si="14"/>
        <v>0.06335750418</v>
      </c>
      <c r="O52" s="427">
        <f t="shared" si="14"/>
        <v>0.1214627135</v>
      </c>
      <c r="P52" s="427">
        <f t="shared" si="14"/>
        <v>0.07269667889</v>
      </c>
      <c r="Q52" s="427">
        <f t="shared" si="14"/>
        <v>0.1192188434</v>
      </c>
      <c r="R52" s="427">
        <f t="shared" si="14"/>
        <v>0.06094937633</v>
      </c>
      <c r="S52" s="427">
        <f t="shared" si="14"/>
        <v>0.0331203195</v>
      </c>
      <c r="T52" s="427">
        <f t="shared" si="14"/>
        <v>0.02574976582</v>
      </c>
      <c r="U52" s="427">
        <f t="shared" si="14"/>
        <v>0.04412402664</v>
      </c>
      <c r="V52" s="427">
        <f t="shared" si="14"/>
        <v>0.02934105639</v>
      </c>
      <c r="W52" s="427">
        <f t="shared" si="14"/>
        <v>0.05955477798</v>
      </c>
      <c r="X52" s="427">
        <f t="shared" si="14"/>
        <v>0.028786826</v>
      </c>
      <c r="Y52" s="427">
        <f t="shared" si="14"/>
        <v>0.0371011226</v>
      </c>
      <c r="Z52" s="427">
        <f t="shared" si="14"/>
        <v>0.03486095153</v>
      </c>
      <c r="AA52" s="427">
        <f t="shared" si="14"/>
        <v>0.03683074522</v>
      </c>
      <c r="AB52" s="427">
        <f t="shared" si="14"/>
        <v>0.05508425133</v>
      </c>
      <c r="AC52" s="427">
        <f t="shared" si="14"/>
        <v>0.03485718392</v>
      </c>
      <c r="AD52" s="427">
        <f t="shared" si="14"/>
        <v>0.02881675545</v>
      </c>
      <c r="AE52" s="427">
        <f t="shared" si="14"/>
        <v>0.04093717916</v>
      </c>
      <c r="AF52" s="427">
        <f t="shared" si="14"/>
        <v>0.07501954197</v>
      </c>
      <c r="AG52" s="427">
        <f t="shared" si="14"/>
        <v>0.07193930445</v>
      </c>
      <c r="AH52" s="427">
        <f t="shared" si="14"/>
        <v>0.1202372686</v>
      </c>
      <c r="AI52" s="427">
        <f t="shared" si="14"/>
        <v>0.1132996133</v>
      </c>
      <c r="AJ52" s="427">
        <f t="shared" si="14"/>
        <v>0.05693112903</v>
      </c>
      <c r="AK52" s="429"/>
    </row>
    <row r="53">
      <c r="A53" s="101"/>
      <c r="B53" s="102"/>
      <c r="C53" s="326"/>
      <c r="D53" s="102"/>
      <c r="E53" s="112" t="str">
        <f>'Counterfactual mortality'!E26</f>
        <v>Annual all-cause mortality rate among 6-59-month-olds in areas targeted for VAS</v>
      </c>
      <c r="F53" s="114" t="str">
        <f>'Counterfactual mortality'!F26</f>
        <v>%</v>
      </c>
      <c r="G53" s="286" t="s">
        <v>232</v>
      </c>
      <c r="H53" s="253" t="str">
        <f>'Counterfactual mortality'!H26</f>
        <v>-</v>
      </c>
      <c r="I53" s="431">
        <f>'Counterfactual mortality'!I26</f>
        <v>0.01503852364</v>
      </c>
      <c r="J53" s="431">
        <f>'Counterfactual mortality'!J26</f>
        <v>0.007162022958</v>
      </c>
      <c r="K53" s="431">
        <f>'Counterfactual mortality'!K26</f>
        <v>0.007604227297</v>
      </c>
      <c r="L53" s="431">
        <f>'Counterfactual mortality'!L26</f>
        <v>0.006176746865</v>
      </c>
      <c r="M53" s="431">
        <f>'Counterfactual mortality'!M26</f>
        <v>0.01244709887</v>
      </c>
      <c r="N53" s="431">
        <f>'Counterfactual mortality'!N26</f>
        <v>0.003332875424</v>
      </c>
      <c r="O53" s="431">
        <f>'Counterfactual mortality'!O26</f>
        <v>0.006538160731</v>
      </c>
      <c r="P53" s="431">
        <f>'Counterfactual mortality'!P26</f>
        <v>0.01520122207</v>
      </c>
      <c r="Q53" s="431">
        <f>'Counterfactual mortality'!Q26</f>
        <v>0.01656130357</v>
      </c>
      <c r="R53" s="431">
        <f>'Counterfactual mortality'!R26</f>
        <v>0.01370952158</v>
      </c>
      <c r="S53" s="431">
        <f>'Counterfactual mortality'!S26</f>
        <v>0.005512530237</v>
      </c>
      <c r="T53" s="431">
        <f>'Counterfactual mortality'!T26</f>
        <v>0.003918309975</v>
      </c>
      <c r="U53" s="431">
        <f>'Counterfactual mortality'!U26</f>
        <v>0.008604610499</v>
      </c>
      <c r="V53" s="431">
        <f>'Counterfactual mortality'!V26</f>
        <v>0.007276122982</v>
      </c>
      <c r="W53" s="431">
        <f>'Counterfactual mortality'!W26</f>
        <v>0.008903286401</v>
      </c>
      <c r="X53" s="431">
        <f>'Counterfactual mortality'!X26</f>
        <v>0.005540932329</v>
      </c>
      <c r="Y53" s="431">
        <f>'Counterfactual mortality'!Y26</f>
        <v>0.006462837779</v>
      </c>
      <c r="Z53" s="431">
        <f>'Counterfactual mortality'!Z26</f>
        <v>0.003829662218</v>
      </c>
      <c r="AA53" s="431">
        <f>'Counterfactual mortality'!AA26</f>
        <v>0.004710366771</v>
      </c>
      <c r="AB53" s="431">
        <f>'Counterfactual mortality'!AB26</f>
        <v>0.008567755272</v>
      </c>
      <c r="AC53" s="431">
        <f>'Counterfactual mortality'!AC26</f>
        <v>0.005696016461</v>
      </c>
      <c r="AD53" s="431">
        <f>'Counterfactual mortality'!AD26</f>
        <v>0.003526335513</v>
      </c>
      <c r="AE53" s="431">
        <f>'Counterfactual mortality'!AE26</f>
        <v>0.00754333012</v>
      </c>
      <c r="AF53" s="431">
        <f>'Counterfactual mortality'!AF26</f>
        <v>0.01486710081</v>
      </c>
      <c r="AG53" s="431">
        <f>'Counterfactual mortality'!AG26</f>
        <v>0.005458306673</v>
      </c>
      <c r="AH53" s="431">
        <f>'Counterfactual mortality'!AH26</f>
        <v>0.01496709479</v>
      </c>
      <c r="AI53" s="431">
        <f>'Counterfactual mortality'!AI26</f>
        <v>0.006987347335</v>
      </c>
      <c r="AJ53" s="431">
        <f>'Counterfactual mortality'!AJ26</f>
        <v>0.005794996407</v>
      </c>
      <c r="AK53" s="433"/>
    </row>
    <row r="54">
      <c r="A54" s="101"/>
      <c r="B54" s="102"/>
      <c r="C54" s="326"/>
      <c r="D54" s="102"/>
      <c r="E54" s="112" t="s">
        <v>244</v>
      </c>
      <c r="F54" s="114" t="str">
        <f>Inputs!F147</f>
        <v>%</v>
      </c>
      <c r="G54" s="286" t="str">
        <f>Inputs!G147</f>
        <v>input</v>
      </c>
      <c r="H54" s="256" t="str">
        <f>Inputs!H147</f>
        <v>-</v>
      </c>
      <c r="I54" s="187">
        <f>Inputs!I147</f>
        <v>0.401</v>
      </c>
      <c r="J54" s="187">
        <f>Inputs!J147</f>
        <v>0.518</v>
      </c>
      <c r="K54" s="187">
        <f>Inputs!K147</f>
        <v>0.468</v>
      </c>
      <c r="L54" s="187">
        <f>Inputs!L147</f>
        <v>0.541</v>
      </c>
      <c r="M54" s="187">
        <f>Inputs!M147</f>
        <v>0.448</v>
      </c>
      <c r="N54" s="187">
        <f>Inputs!N147</f>
        <v>0.608</v>
      </c>
      <c r="O54" s="187">
        <f>Inputs!O147</f>
        <v>0.409</v>
      </c>
      <c r="P54" s="187">
        <f>Inputs!P147</f>
        <v>0.589</v>
      </c>
      <c r="Q54" s="187">
        <f>Inputs!Q147</f>
        <v>0.5</v>
      </c>
      <c r="R54" s="187">
        <f>Inputs!R147</f>
        <v>0.47</v>
      </c>
      <c r="S54" s="187">
        <f>Inputs!S147</f>
        <v>0.47</v>
      </c>
      <c r="T54" s="187">
        <f>Inputs!T147</f>
        <v>0.47</v>
      </c>
      <c r="U54" s="187">
        <f>Inputs!U147</f>
        <v>0.47</v>
      </c>
      <c r="V54" s="187">
        <f>Inputs!V147</f>
        <v>0.47</v>
      </c>
      <c r="W54" s="187">
        <f>Inputs!W147</f>
        <v>0.47</v>
      </c>
      <c r="X54" s="187">
        <f>Inputs!X147</f>
        <v>0.47</v>
      </c>
      <c r="Y54" s="187">
        <f>Inputs!Y147</f>
        <v>0.47</v>
      </c>
      <c r="Z54" s="187">
        <f>Inputs!Z147</f>
        <v>0.47</v>
      </c>
      <c r="AA54" s="187">
        <f>Inputs!AA147</f>
        <v>0.47</v>
      </c>
      <c r="AB54" s="187">
        <f>Inputs!AB147</f>
        <v>0.47</v>
      </c>
      <c r="AC54" s="187">
        <f>Inputs!AC147</f>
        <v>0.47</v>
      </c>
      <c r="AD54" s="187">
        <f>Inputs!AD147</f>
        <v>0.47</v>
      </c>
      <c r="AE54" s="187">
        <f>Inputs!AE147</f>
        <v>0.47</v>
      </c>
      <c r="AF54" s="187">
        <f>Inputs!AF147</f>
        <v>0.47</v>
      </c>
      <c r="AG54" s="187">
        <f>Inputs!AG147</f>
        <v>0.323</v>
      </c>
      <c r="AH54" s="187">
        <f>Inputs!AH147</f>
        <v>0.474</v>
      </c>
      <c r="AI54" s="187">
        <f>Inputs!AI147</f>
        <v>0.568</v>
      </c>
      <c r="AJ54" s="187">
        <f>Inputs!AJ147</f>
        <v>0.538</v>
      </c>
      <c r="AK54" s="433"/>
    </row>
    <row r="55">
      <c r="A55" s="101"/>
      <c r="B55" s="102"/>
      <c r="C55" s="326"/>
      <c r="D55" s="102"/>
      <c r="E55" s="436" t="s">
        <v>248</v>
      </c>
      <c r="F55" s="145" t="s">
        <v>112</v>
      </c>
      <c r="G55" s="419" t="s">
        <v>164</v>
      </c>
      <c r="H55" s="223" t="s">
        <v>165</v>
      </c>
      <c r="I55" s="431">
        <f t="shared" ref="I55:AJ55" si="15">I53/((1-I52)*I54+(1-I54))</f>
        <v>0.01543581269</v>
      </c>
      <c r="J55" s="431">
        <f t="shared" si="15"/>
        <v>0.007588106664</v>
      </c>
      <c r="K55" s="431">
        <f t="shared" si="15"/>
        <v>0.007795854829</v>
      </c>
      <c r="L55" s="431">
        <f t="shared" si="15"/>
        <v>0.006520100368</v>
      </c>
      <c r="M55" s="431">
        <f t="shared" si="15"/>
        <v>0.01278698548</v>
      </c>
      <c r="N55" s="431">
        <f t="shared" si="15"/>
        <v>0.003466406111</v>
      </c>
      <c r="O55" s="431">
        <f t="shared" si="15"/>
        <v>0.006879944324</v>
      </c>
      <c r="P55" s="431">
        <f t="shared" si="15"/>
        <v>0.01588123004</v>
      </c>
      <c r="Q55" s="431">
        <f t="shared" si="15"/>
        <v>0.01761109049</v>
      </c>
      <c r="R55" s="431">
        <f t="shared" si="15"/>
        <v>0.01411382925</v>
      </c>
      <c r="S55" s="431">
        <f t="shared" si="15"/>
        <v>0.00559969822</v>
      </c>
      <c r="T55" s="431">
        <f t="shared" si="15"/>
        <v>0.003966311828</v>
      </c>
      <c r="U55" s="431">
        <f t="shared" si="15"/>
        <v>0.008786834442</v>
      </c>
      <c r="V55" s="431">
        <f t="shared" si="15"/>
        <v>0.007377865941</v>
      </c>
      <c r="W55" s="431">
        <f t="shared" si="15"/>
        <v>0.009159672463</v>
      </c>
      <c r="X55" s="431">
        <f t="shared" si="15"/>
        <v>0.005616928291</v>
      </c>
      <c r="Y55" s="431">
        <f t="shared" si="15"/>
        <v>0.006577533704</v>
      </c>
      <c r="Z55" s="431">
        <f t="shared" si="15"/>
        <v>0.003893455107</v>
      </c>
      <c r="AA55" s="431">
        <f t="shared" si="15"/>
        <v>0.004793341674</v>
      </c>
      <c r="AB55" s="431">
        <f t="shared" si="15"/>
        <v>0.008795466362</v>
      </c>
      <c r="AC55" s="431">
        <f t="shared" si="15"/>
        <v>0.005790887862</v>
      </c>
      <c r="AD55" s="431">
        <f t="shared" si="15"/>
        <v>0.0035747515</v>
      </c>
      <c r="AE55" s="431">
        <f t="shared" si="15"/>
        <v>0.007691314662</v>
      </c>
      <c r="AF55" s="431">
        <f t="shared" si="15"/>
        <v>0.01541046111</v>
      </c>
      <c r="AG55" s="431">
        <f t="shared" si="15"/>
        <v>0.005588155257</v>
      </c>
      <c r="AH55" s="431">
        <f t="shared" si="15"/>
        <v>0.01587165981</v>
      </c>
      <c r="AI55" s="431">
        <f t="shared" si="15"/>
        <v>0.007467940526</v>
      </c>
      <c r="AJ55" s="431">
        <f t="shared" si="15"/>
        <v>0.005978099296</v>
      </c>
      <c r="AK55" s="433"/>
    </row>
    <row r="56">
      <c r="A56" s="101"/>
      <c r="B56" s="102"/>
      <c r="C56" s="377"/>
      <c r="D56" s="377"/>
      <c r="E56" s="246" t="s">
        <v>251</v>
      </c>
      <c r="F56" s="121" t="s">
        <v>101</v>
      </c>
      <c r="G56" s="248" t="s">
        <v>164</v>
      </c>
      <c r="H56" s="249" t="s">
        <v>165</v>
      </c>
      <c r="I56" s="446">
        <f t="shared" ref="I56:AJ56" si="16">I42*I52*I55</f>
        <v>553.3609059</v>
      </c>
      <c r="J56" s="446">
        <f t="shared" si="16"/>
        <v>423.8240432</v>
      </c>
      <c r="K56" s="446">
        <f t="shared" si="16"/>
        <v>239.4659698</v>
      </c>
      <c r="L56" s="446">
        <f t="shared" si="16"/>
        <v>371.1726522</v>
      </c>
      <c r="M56" s="446">
        <f t="shared" si="16"/>
        <v>313.4678109</v>
      </c>
      <c r="N56" s="446">
        <f t="shared" si="16"/>
        <v>128.4426493</v>
      </c>
      <c r="O56" s="446">
        <f t="shared" si="16"/>
        <v>364.9105494</v>
      </c>
      <c r="P56" s="446">
        <f t="shared" si="16"/>
        <v>877.5247342</v>
      </c>
      <c r="Q56" s="446">
        <f t="shared" si="16"/>
        <v>1474.606393</v>
      </c>
      <c r="R56" s="446">
        <f t="shared" si="16"/>
        <v>503.0902231</v>
      </c>
      <c r="S56" s="446">
        <f t="shared" si="16"/>
        <v>108.4653177</v>
      </c>
      <c r="T56" s="446">
        <f t="shared" si="16"/>
        <v>59.72991425</v>
      </c>
      <c r="U56" s="446">
        <f t="shared" si="16"/>
        <v>226.7458432</v>
      </c>
      <c r="V56" s="446">
        <f t="shared" si="16"/>
        <v>126.6013271</v>
      </c>
      <c r="W56" s="446">
        <f t="shared" si="16"/>
        <v>319.0276366</v>
      </c>
      <c r="X56" s="446">
        <f t="shared" si="16"/>
        <v>94.5636909</v>
      </c>
      <c r="Y56" s="446">
        <f t="shared" si="16"/>
        <v>142.71903</v>
      </c>
      <c r="Z56" s="446">
        <f t="shared" si="16"/>
        <v>79.37909823</v>
      </c>
      <c r="AA56" s="446">
        <f t="shared" si="16"/>
        <v>103.2477618</v>
      </c>
      <c r="AB56" s="446">
        <f t="shared" si="16"/>
        <v>283.3466456</v>
      </c>
      <c r="AC56" s="446">
        <f t="shared" si="16"/>
        <v>118.0508736</v>
      </c>
      <c r="AD56" s="446">
        <f t="shared" si="16"/>
        <v>60.24523331</v>
      </c>
      <c r="AE56" s="446">
        <f t="shared" si="16"/>
        <v>184.1408932</v>
      </c>
      <c r="AF56" s="446">
        <f t="shared" si="16"/>
        <v>676.1169046</v>
      </c>
      <c r="AG56" s="446">
        <f t="shared" si="16"/>
        <v>141.1299164</v>
      </c>
      <c r="AH56" s="446">
        <f t="shared" si="16"/>
        <v>669.9553111</v>
      </c>
      <c r="AI56" s="446">
        <f t="shared" si="16"/>
        <v>416.0401757</v>
      </c>
      <c r="AJ56" s="446">
        <f t="shared" si="16"/>
        <v>179.2208638</v>
      </c>
      <c r="AK56" s="451"/>
    </row>
    <row r="57">
      <c r="A57" s="101"/>
      <c r="B57" s="102"/>
      <c r="C57" s="377"/>
      <c r="D57" s="377"/>
      <c r="E57" s="131"/>
      <c r="F57" s="104"/>
      <c r="G57" s="111"/>
      <c r="H57" s="105"/>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7"/>
    </row>
    <row r="58">
      <c r="A58" s="101"/>
      <c r="B58" s="102"/>
      <c r="C58" s="113" t="s">
        <v>254</v>
      </c>
      <c r="F58" s="132"/>
      <c r="G58" s="242"/>
      <c r="H58" s="105"/>
      <c r="I58" s="452"/>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7"/>
    </row>
    <row r="59">
      <c r="A59" s="101"/>
      <c r="B59" s="102"/>
      <c r="C59" s="454"/>
      <c r="D59" s="102"/>
      <c r="E59" s="112" t="s">
        <v>255</v>
      </c>
      <c r="F59" s="114" t="str">
        <f>Inputs!F150</f>
        <v>#</v>
      </c>
      <c r="G59" s="286" t="str">
        <f>Inputs!G150</f>
        <v>input</v>
      </c>
      <c r="H59" s="455">
        <f>Inputs!H150</f>
        <v>0.30647</v>
      </c>
      <c r="I59" s="118" t="str">
        <f>Inputs!I150</f>
        <v>-</v>
      </c>
      <c r="J59" s="118" t="str">
        <f>Inputs!J150</f>
        <v>-</v>
      </c>
      <c r="K59" s="118" t="str">
        <f>Inputs!K150</f>
        <v>-</v>
      </c>
      <c r="L59" s="118" t="str">
        <f>Inputs!L150</f>
        <v>-</v>
      </c>
      <c r="M59" s="118" t="str">
        <f>Inputs!M150</f>
        <v>-</v>
      </c>
      <c r="N59" s="118" t="str">
        <f>Inputs!N150</f>
        <v>-</v>
      </c>
      <c r="O59" s="118" t="str">
        <f>Inputs!O150</f>
        <v>-</v>
      </c>
      <c r="P59" s="118" t="str">
        <f>Inputs!P150</f>
        <v>-</v>
      </c>
      <c r="Q59" s="118" t="str">
        <f>Inputs!Q150</f>
        <v>-</v>
      </c>
      <c r="R59" s="118" t="str">
        <f>Inputs!R150</f>
        <v>-</v>
      </c>
      <c r="S59" s="118" t="str">
        <f>Inputs!S150</f>
        <v>-</v>
      </c>
      <c r="T59" s="118" t="str">
        <f>Inputs!T150</f>
        <v>-</v>
      </c>
      <c r="U59" s="118" t="str">
        <f>Inputs!U150</f>
        <v>-</v>
      </c>
      <c r="V59" s="118" t="str">
        <f>Inputs!V150</f>
        <v>-</v>
      </c>
      <c r="W59" s="118" t="str">
        <f>Inputs!W150</f>
        <v>-</v>
      </c>
      <c r="X59" s="118" t="str">
        <f>Inputs!X150</f>
        <v>-</v>
      </c>
      <c r="Y59" s="118" t="str">
        <f>Inputs!Y150</f>
        <v>-</v>
      </c>
      <c r="Z59" s="118" t="str">
        <f>Inputs!Z150</f>
        <v>-</v>
      </c>
      <c r="AA59" s="118" t="str">
        <f>Inputs!AA150</f>
        <v>-</v>
      </c>
      <c r="AB59" s="212" t="str">
        <f>Inputs!AB150</f>
        <v>-</v>
      </c>
      <c r="AC59" s="212" t="str">
        <f>Inputs!AC150</f>
        <v>-</v>
      </c>
      <c r="AD59" s="118" t="str">
        <f>Inputs!AD150</f>
        <v>-</v>
      </c>
      <c r="AE59" s="118" t="str">
        <f>Inputs!AE150</f>
        <v>-</v>
      </c>
      <c r="AF59" s="118" t="str">
        <f>Inputs!AF150</f>
        <v>-</v>
      </c>
      <c r="AG59" s="118" t="str">
        <f>Inputs!AG150</f>
        <v>-</v>
      </c>
      <c r="AH59" s="118" t="str">
        <f>Inputs!AH150</f>
        <v>-</v>
      </c>
      <c r="AI59" s="118" t="str">
        <f>Inputs!AI150</f>
        <v>-</v>
      </c>
      <c r="AJ59" s="118" t="str">
        <f>Inputs!AJ150</f>
        <v>-</v>
      </c>
      <c r="AK59" s="142"/>
    </row>
    <row r="60">
      <c r="A60" s="101"/>
      <c r="B60" s="102"/>
      <c r="C60" s="454"/>
      <c r="D60" s="102"/>
      <c r="E60" s="144" t="s">
        <v>258</v>
      </c>
      <c r="F60" s="145" t="str">
        <f>Inputs!F151</f>
        <v>%</v>
      </c>
      <c r="G60" s="419" t="str">
        <f>Inputs!G151</f>
        <v>input</v>
      </c>
      <c r="H60" s="439">
        <f>Inputs!H151</f>
        <v>-0.2</v>
      </c>
      <c r="I60" s="153" t="str">
        <f>Inputs!I151</f>
        <v>-</v>
      </c>
      <c r="J60" s="153" t="str">
        <f>Inputs!J151</f>
        <v>-</v>
      </c>
      <c r="K60" s="153" t="str">
        <f>Inputs!K151</f>
        <v>-</v>
      </c>
      <c r="L60" s="153" t="str">
        <f>Inputs!L151</f>
        <v>-</v>
      </c>
      <c r="M60" s="153" t="str">
        <f>Inputs!M151</f>
        <v>-</v>
      </c>
      <c r="N60" s="153" t="str">
        <f>Inputs!N151</f>
        <v>-</v>
      </c>
      <c r="O60" s="153" t="str">
        <f>Inputs!O151</f>
        <v>-</v>
      </c>
      <c r="P60" s="153" t="str">
        <f>Inputs!P151</f>
        <v>-</v>
      </c>
      <c r="Q60" s="153" t="str">
        <f>Inputs!Q151</f>
        <v>-</v>
      </c>
      <c r="R60" s="153" t="str">
        <f>Inputs!R151</f>
        <v>-</v>
      </c>
      <c r="S60" s="153" t="str">
        <f>Inputs!S151</f>
        <v>-</v>
      </c>
      <c r="T60" s="153" t="str">
        <f>Inputs!T151</f>
        <v>-</v>
      </c>
      <c r="U60" s="153" t="str">
        <f>Inputs!U151</f>
        <v>-</v>
      </c>
      <c r="V60" s="153" t="str">
        <f>Inputs!V151</f>
        <v>-</v>
      </c>
      <c r="W60" s="153" t="str">
        <f>Inputs!W151</f>
        <v>-</v>
      </c>
      <c r="X60" s="153" t="str">
        <f>Inputs!X151</f>
        <v>-</v>
      </c>
      <c r="Y60" s="153" t="str">
        <f>Inputs!Y151</f>
        <v>-</v>
      </c>
      <c r="Z60" s="153" t="str">
        <f>Inputs!Z151</f>
        <v>-</v>
      </c>
      <c r="AA60" s="153" t="str">
        <f>Inputs!AA151</f>
        <v>-</v>
      </c>
      <c r="AB60" s="225" t="str">
        <f>Inputs!AB151</f>
        <v>-</v>
      </c>
      <c r="AC60" s="225" t="str">
        <f>Inputs!AC151</f>
        <v>-</v>
      </c>
      <c r="AD60" s="153" t="str">
        <f>Inputs!AD151</f>
        <v>-</v>
      </c>
      <c r="AE60" s="153" t="str">
        <f>Inputs!AE151</f>
        <v>-</v>
      </c>
      <c r="AF60" s="153" t="str">
        <f>Inputs!AF151</f>
        <v>-</v>
      </c>
      <c r="AG60" s="153" t="str">
        <f>Inputs!AG151</f>
        <v>-</v>
      </c>
      <c r="AH60" s="153" t="str">
        <f>Inputs!AH151</f>
        <v>-</v>
      </c>
      <c r="AI60" s="153" t="str">
        <f>Inputs!AI151</f>
        <v>-</v>
      </c>
      <c r="AJ60" s="153" t="str">
        <f>Inputs!AJ151</f>
        <v>-</v>
      </c>
      <c r="AK60" s="168"/>
    </row>
    <row r="61">
      <c r="A61" s="101"/>
      <c r="B61" s="102"/>
      <c r="C61" s="454"/>
      <c r="D61" s="102"/>
      <c r="E61" s="144" t="s">
        <v>261</v>
      </c>
      <c r="F61" s="145" t="s">
        <v>101</v>
      </c>
      <c r="G61" s="419" t="s">
        <v>164</v>
      </c>
      <c r="H61" s="476">
        <f>H59*(1+H60)</f>
        <v>0.245176</v>
      </c>
      <c r="I61" s="225" t="s">
        <v>165</v>
      </c>
      <c r="J61" s="225" t="s">
        <v>165</v>
      </c>
      <c r="K61" s="225" t="s">
        <v>165</v>
      </c>
      <c r="L61" s="225" t="s">
        <v>165</v>
      </c>
      <c r="M61" s="225" t="s">
        <v>165</v>
      </c>
      <c r="N61" s="225" t="s">
        <v>165</v>
      </c>
      <c r="O61" s="225" t="s">
        <v>165</v>
      </c>
      <c r="P61" s="225" t="s">
        <v>165</v>
      </c>
      <c r="Q61" s="225" t="s">
        <v>165</v>
      </c>
      <c r="R61" s="225" t="s">
        <v>165</v>
      </c>
      <c r="S61" s="225" t="s">
        <v>165</v>
      </c>
      <c r="T61" s="225" t="s">
        <v>165</v>
      </c>
      <c r="U61" s="225" t="s">
        <v>165</v>
      </c>
      <c r="V61" s="225" t="s">
        <v>165</v>
      </c>
      <c r="W61" s="225" t="s">
        <v>165</v>
      </c>
      <c r="X61" s="225" t="s">
        <v>165</v>
      </c>
      <c r="Y61" s="225" t="s">
        <v>165</v>
      </c>
      <c r="Z61" s="225" t="s">
        <v>165</v>
      </c>
      <c r="AA61" s="225" t="s">
        <v>165</v>
      </c>
      <c r="AB61" s="225" t="s">
        <v>165</v>
      </c>
      <c r="AC61" s="225" t="s">
        <v>165</v>
      </c>
      <c r="AD61" s="225" t="s">
        <v>165</v>
      </c>
      <c r="AE61" s="225" t="s">
        <v>165</v>
      </c>
      <c r="AF61" s="225" t="s">
        <v>165</v>
      </c>
      <c r="AG61" s="225" t="s">
        <v>165</v>
      </c>
      <c r="AH61" s="225" t="s">
        <v>165</v>
      </c>
      <c r="AI61" s="225" t="s">
        <v>165</v>
      </c>
      <c r="AJ61" s="225" t="s">
        <v>165</v>
      </c>
      <c r="AK61" s="168"/>
    </row>
    <row r="62">
      <c r="A62" s="101"/>
      <c r="B62" s="102"/>
      <c r="C62" s="454"/>
      <c r="D62" s="102"/>
      <c r="E62" s="144" t="s">
        <v>262</v>
      </c>
      <c r="F62" s="145" t="str">
        <f>Inputs!F156</f>
        <v>UoV</v>
      </c>
      <c r="G62" s="419" t="str">
        <f>Inputs!G156</f>
        <v>input</v>
      </c>
      <c r="H62" s="485">
        <f>Inputs!H156</f>
        <v>118.73259</v>
      </c>
      <c r="I62" s="153" t="str">
        <f>Inputs!I156</f>
        <v>-</v>
      </c>
      <c r="J62" s="464" t="str">
        <f>Inputs!J156</f>
        <v>-</v>
      </c>
      <c r="K62" s="464" t="str">
        <f>Inputs!K156</f>
        <v>-</v>
      </c>
      <c r="L62" s="464" t="str">
        <f>Inputs!L156</f>
        <v>-</v>
      </c>
      <c r="M62" s="464" t="str">
        <f>Inputs!M156</f>
        <v>-</v>
      </c>
      <c r="N62" s="464" t="str">
        <f>Inputs!N156</f>
        <v>-</v>
      </c>
      <c r="O62" s="464" t="str">
        <f>Inputs!O156</f>
        <v>-</v>
      </c>
      <c r="P62" s="464" t="str">
        <f>Inputs!P156</f>
        <v>-</v>
      </c>
      <c r="Q62" s="464" t="str">
        <f>Inputs!Q156</f>
        <v>-</v>
      </c>
      <c r="R62" s="464" t="str">
        <f>Inputs!R156</f>
        <v>-</v>
      </c>
      <c r="S62" s="464" t="str">
        <f>Inputs!S156</f>
        <v>-</v>
      </c>
      <c r="T62" s="464" t="str">
        <f>Inputs!T156</f>
        <v>-</v>
      </c>
      <c r="U62" s="464" t="str">
        <f>Inputs!U156</f>
        <v>-</v>
      </c>
      <c r="V62" s="464" t="str">
        <f>Inputs!V156</f>
        <v>-</v>
      </c>
      <c r="W62" s="464" t="str">
        <f>Inputs!W156</f>
        <v>-</v>
      </c>
      <c r="X62" s="464" t="str">
        <f>Inputs!X156</f>
        <v>-</v>
      </c>
      <c r="Y62" s="464" t="str">
        <f>Inputs!Y156</f>
        <v>-</v>
      </c>
      <c r="Z62" s="464" t="str">
        <f>Inputs!Z156</f>
        <v>-</v>
      </c>
      <c r="AA62" s="464" t="str">
        <f>Inputs!AA156</f>
        <v>-</v>
      </c>
      <c r="AB62" s="225" t="str">
        <f>Inputs!AB156</f>
        <v>-</v>
      </c>
      <c r="AC62" s="225" t="str">
        <f>Inputs!AC156</f>
        <v>-</v>
      </c>
      <c r="AD62" s="464" t="str">
        <f>Inputs!AD156</f>
        <v>-</v>
      </c>
      <c r="AE62" s="464" t="str">
        <f>Inputs!AE156</f>
        <v>-</v>
      </c>
      <c r="AF62" s="464" t="str">
        <f>Inputs!AF156</f>
        <v>-</v>
      </c>
      <c r="AG62" s="464" t="str">
        <f>Inputs!AG156</f>
        <v>-</v>
      </c>
      <c r="AH62" s="464" t="str">
        <f>Inputs!AH156</f>
        <v>-</v>
      </c>
      <c r="AI62" s="464" t="str">
        <f>Inputs!AI156</f>
        <v>-</v>
      </c>
      <c r="AJ62" s="464" t="str">
        <f>Inputs!AJ156</f>
        <v>-</v>
      </c>
      <c r="AK62" s="168"/>
    </row>
    <row r="63">
      <c r="A63" s="101"/>
      <c r="B63" s="102"/>
      <c r="C63" s="454"/>
      <c r="D63" s="102"/>
      <c r="E63" s="144" t="s">
        <v>268</v>
      </c>
      <c r="F63" s="145" t="s">
        <v>116</v>
      </c>
      <c r="G63" s="419" t="s">
        <v>164</v>
      </c>
      <c r="H63" s="508" t="s">
        <v>165</v>
      </c>
      <c r="I63" s="153">
        <f t="shared" ref="I63:AJ63" si="17">I56*$H62</f>
        <v>65701.97357</v>
      </c>
      <c r="J63" s="153">
        <f t="shared" si="17"/>
        <v>50321.72636</v>
      </c>
      <c r="K63" s="153">
        <f t="shared" si="17"/>
        <v>28432.41481</v>
      </c>
      <c r="L63" s="153">
        <f t="shared" si="17"/>
        <v>44070.29033</v>
      </c>
      <c r="M63" s="153">
        <f t="shared" si="17"/>
        <v>37218.84507</v>
      </c>
      <c r="N63" s="153">
        <f t="shared" si="17"/>
        <v>15250.32842</v>
      </c>
      <c r="O63" s="153">
        <f t="shared" si="17"/>
        <v>43326.77464</v>
      </c>
      <c r="P63" s="153">
        <f t="shared" si="17"/>
        <v>104190.7845</v>
      </c>
      <c r="Q63" s="153">
        <f t="shared" si="17"/>
        <v>175083.8363</v>
      </c>
      <c r="R63" s="153">
        <f t="shared" si="17"/>
        <v>59733.20519</v>
      </c>
      <c r="S63" s="153">
        <f t="shared" si="17"/>
        <v>12878.3681</v>
      </c>
      <c r="T63" s="153">
        <f t="shared" si="17"/>
        <v>7091.88742</v>
      </c>
      <c r="U63" s="153">
        <f t="shared" si="17"/>
        <v>26922.12124</v>
      </c>
      <c r="V63" s="153">
        <f t="shared" si="17"/>
        <v>15031.70346</v>
      </c>
      <c r="W63" s="153">
        <f t="shared" si="17"/>
        <v>37878.97758</v>
      </c>
      <c r="X63" s="153">
        <f t="shared" si="17"/>
        <v>11227.79194</v>
      </c>
      <c r="Y63" s="153">
        <f t="shared" si="17"/>
        <v>16945.40007</v>
      </c>
      <c r="Z63" s="153">
        <f t="shared" si="17"/>
        <v>9424.885925</v>
      </c>
      <c r="AA63" s="153">
        <f t="shared" si="17"/>
        <v>12258.87417</v>
      </c>
      <c r="AB63" s="153">
        <f t="shared" si="17"/>
        <v>33642.4811</v>
      </c>
      <c r="AC63" s="153">
        <f t="shared" si="17"/>
        <v>14016.48598</v>
      </c>
      <c r="AD63" s="153">
        <f t="shared" si="17"/>
        <v>7153.072586</v>
      </c>
      <c r="AE63" s="153">
        <f t="shared" si="17"/>
        <v>21863.52517</v>
      </c>
      <c r="AF63" s="153">
        <f t="shared" si="17"/>
        <v>80277.11123</v>
      </c>
      <c r="AG63" s="153">
        <f t="shared" si="17"/>
        <v>16756.7205</v>
      </c>
      <c r="AH63" s="153">
        <f t="shared" si="17"/>
        <v>79545.52927</v>
      </c>
      <c r="AI63" s="153">
        <f t="shared" si="17"/>
        <v>49397.52761</v>
      </c>
      <c r="AJ63" s="153">
        <f t="shared" si="17"/>
        <v>21279.35734</v>
      </c>
      <c r="AK63" s="168"/>
    </row>
    <row r="64">
      <c r="A64" s="101"/>
      <c r="B64" s="102"/>
      <c r="C64" s="454"/>
      <c r="D64" s="102"/>
      <c r="E64" s="190" t="s">
        <v>271</v>
      </c>
      <c r="F64" s="176" t="s">
        <v>116</v>
      </c>
      <c r="G64" s="361" t="s">
        <v>164</v>
      </c>
      <c r="H64" s="515" t="s">
        <v>165</v>
      </c>
      <c r="I64" s="200">
        <f t="shared" ref="I64:AJ64" si="18">I63*$H61</f>
        <v>16108.54707</v>
      </c>
      <c r="J64" s="200">
        <f t="shared" si="18"/>
        <v>12337.67958</v>
      </c>
      <c r="K64" s="200">
        <f t="shared" si="18"/>
        <v>6970.945734</v>
      </c>
      <c r="L64" s="200">
        <f t="shared" si="18"/>
        <v>10804.9775</v>
      </c>
      <c r="M64" s="200">
        <f t="shared" si="18"/>
        <v>9125.16756</v>
      </c>
      <c r="N64" s="200">
        <f t="shared" si="18"/>
        <v>3739.014521</v>
      </c>
      <c r="O64" s="200">
        <f t="shared" si="18"/>
        <v>10622.6853</v>
      </c>
      <c r="P64" s="200">
        <f t="shared" si="18"/>
        <v>25545.07978</v>
      </c>
      <c r="Q64" s="200">
        <f t="shared" si="18"/>
        <v>42926.35465</v>
      </c>
      <c r="R64" s="200">
        <f t="shared" si="18"/>
        <v>14645.14832</v>
      </c>
      <c r="S64" s="200">
        <f t="shared" si="18"/>
        <v>3157.466776</v>
      </c>
      <c r="T64" s="200">
        <f t="shared" si="18"/>
        <v>1738.76059</v>
      </c>
      <c r="U64" s="200">
        <f t="shared" si="18"/>
        <v>6600.657997</v>
      </c>
      <c r="V64" s="200">
        <f t="shared" si="18"/>
        <v>3685.412928</v>
      </c>
      <c r="W64" s="200">
        <f t="shared" si="18"/>
        <v>9287.016207</v>
      </c>
      <c r="X64" s="200">
        <f t="shared" si="18"/>
        <v>2752.785117</v>
      </c>
      <c r="Y64" s="200">
        <f t="shared" si="18"/>
        <v>4154.605408</v>
      </c>
      <c r="Z64" s="200">
        <f t="shared" si="18"/>
        <v>2310.755832</v>
      </c>
      <c r="AA64" s="200">
        <f t="shared" si="18"/>
        <v>3005.581733</v>
      </c>
      <c r="AB64" s="200">
        <f t="shared" si="18"/>
        <v>8248.328945</v>
      </c>
      <c r="AC64" s="200">
        <f t="shared" si="18"/>
        <v>3436.505967</v>
      </c>
      <c r="AD64" s="200">
        <f t="shared" si="18"/>
        <v>1753.761724</v>
      </c>
      <c r="AE64" s="200">
        <f t="shared" si="18"/>
        <v>5360.411647</v>
      </c>
      <c r="AF64" s="200">
        <f t="shared" si="18"/>
        <v>19682.02102</v>
      </c>
      <c r="AG64" s="200">
        <f t="shared" si="18"/>
        <v>4108.345706</v>
      </c>
      <c r="AH64" s="200">
        <f t="shared" si="18"/>
        <v>19502.65468</v>
      </c>
      <c r="AI64" s="200">
        <f t="shared" si="18"/>
        <v>12111.08823</v>
      </c>
      <c r="AJ64" s="200">
        <f t="shared" si="18"/>
        <v>5217.187715</v>
      </c>
      <c r="AK64" s="207"/>
    </row>
    <row r="65">
      <c r="A65" s="165"/>
      <c r="B65" s="22"/>
      <c r="C65" s="22"/>
      <c r="D65" s="22"/>
      <c r="E65" s="524"/>
      <c r="F65" s="340"/>
      <c r="G65" s="157"/>
      <c r="H65" s="105"/>
      <c r="I65" s="106"/>
      <c r="J65" s="106"/>
      <c r="K65" s="106"/>
      <c r="L65" s="106"/>
      <c r="M65" s="323">
        <f>M64/SUM(M63:M64)</f>
        <v>0.1969006791</v>
      </c>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7"/>
    </row>
    <row r="66">
      <c r="A66" s="99" t="s">
        <v>278</v>
      </c>
      <c r="B66" s="12"/>
      <c r="C66" s="12"/>
      <c r="D66" s="12"/>
      <c r="E66" s="12"/>
      <c r="F66" s="12"/>
      <c r="G66" s="12"/>
      <c r="H66" s="97"/>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100"/>
    </row>
    <row r="67">
      <c r="A67" s="101"/>
      <c r="B67" s="102"/>
      <c r="C67" s="102"/>
      <c r="D67" s="102"/>
      <c r="E67" s="103"/>
      <c r="F67" s="104"/>
      <c r="G67" s="111"/>
      <c r="H67" s="105"/>
      <c r="I67" s="532"/>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7"/>
    </row>
    <row r="68">
      <c r="A68" s="101"/>
      <c r="B68" s="102"/>
      <c r="C68" s="130" t="s">
        <v>280</v>
      </c>
      <c r="F68" s="104"/>
      <c r="G68" s="111"/>
      <c r="H68" s="105"/>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7"/>
    </row>
    <row r="69">
      <c r="A69" s="101"/>
      <c r="B69" s="102"/>
      <c r="C69" s="102"/>
      <c r="D69" s="102"/>
      <c r="E69" s="112" t="s">
        <v>262</v>
      </c>
      <c r="F69" s="114" t="str">
        <f>Inputs!F156</f>
        <v>UoV</v>
      </c>
      <c r="G69" s="286" t="str">
        <f>Inputs!G156</f>
        <v>input</v>
      </c>
      <c r="H69" s="535">
        <f>Inputs!H156</f>
        <v>118.73259</v>
      </c>
      <c r="I69" s="387" t="str">
        <f>Inputs!I156</f>
        <v>-</v>
      </c>
      <c r="J69" s="387" t="str">
        <f>Inputs!J156</f>
        <v>-</v>
      </c>
      <c r="K69" s="387" t="str">
        <f>Inputs!K156</f>
        <v>-</v>
      </c>
      <c r="L69" s="387" t="str">
        <f>Inputs!L156</f>
        <v>-</v>
      </c>
      <c r="M69" s="387" t="str">
        <f>Inputs!M156</f>
        <v>-</v>
      </c>
      <c r="N69" s="387" t="str">
        <f>Inputs!N156</f>
        <v>-</v>
      </c>
      <c r="O69" s="387" t="str">
        <f>Inputs!O156</f>
        <v>-</v>
      </c>
      <c r="P69" s="387" t="str">
        <f>Inputs!P156</f>
        <v>-</v>
      </c>
      <c r="Q69" s="387" t="str">
        <f>Inputs!Q156</f>
        <v>-</v>
      </c>
      <c r="R69" s="387" t="str">
        <f>Inputs!R156</f>
        <v>-</v>
      </c>
      <c r="S69" s="387" t="str">
        <f>Inputs!S156</f>
        <v>-</v>
      </c>
      <c r="T69" s="387" t="str">
        <f>Inputs!T156</f>
        <v>-</v>
      </c>
      <c r="U69" s="387" t="str">
        <f>Inputs!U156</f>
        <v>-</v>
      </c>
      <c r="V69" s="387" t="str">
        <f>Inputs!V156</f>
        <v>-</v>
      </c>
      <c r="W69" s="387" t="str">
        <f>Inputs!W156</f>
        <v>-</v>
      </c>
      <c r="X69" s="387" t="str">
        <f>Inputs!X156</f>
        <v>-</v>
      </c>
      <c r="Y69" s="387" t="str">
        <f>Inputs!Y156</f>
        <v>-</v>
      </c>
      <c r="Z69" s="387" t="str">
        <f>Inputs!Z156</f>
        <v>-</v>
      </c>
      <c r="AA69" s="387" t="str">
        <f>Inputs!AA156</f>
        <v>-</v>
      </c>
      <c r="AB69" s="387" t="str">
        <f>Inputs!AB156</f>
        <v>-</v>
      </c>
      <c r="AC69" s="387" t="str">
        <f>Inputs!AC156</f>
        <v>-</v>
      </c>
      <c r="AD69" s="387" t="str">
        <f>Inputs!AD156</f>
        <v>-</v>
      </c>
      <c r="AE69" s="387" t="str">
        <f>Inputs!AE156</f>
        <v>-</v>
      </c>
      <c r="AF69" s="387" t="str">
        <f>Inputs!AF156</f>
        <v>-</v>
      </c>
      <c r="AG69" s="387" t="str">
        <f>Inputs!AG156</f>
        <v>-</v>
      </c>
      <c r="AH69" s="387" t="str">
        <f>Inputs!AH156</f>
        <v>-</v>
      </c>
      <c r="AI69" s="387" t="str">
        <f>Inputs!AI156</f>
        <v>-</v>
      </c>
      <c r="AJ69" s="387" t="str">
        <f>Inputs!AJ156</f>
        <v>-</v>
      </c>
      <c r="AK69" s="400"/>
    </row>
    <row r="70">
      <c r="A70" s="101"/>
      <c r="B70" s="102"/>
      <c r="C70" s="102"/>
      <c r="D70" s="102"/>
      <c r="E70" s="190" t="s">
        <v>285</v>
      </c>
      <c r="F70" s="176" t="s">
        <v>116</v>
      </c>
      <c r="G70" s="361" t="s">
        <v>164</v>
      </c>
      <c r="H70" s="551" t="s">
        <v>165</v>
      </c>
      <c r="I70" s="200">
        <f t="shared" ref="I70:AJ70" si="19">I56*$H69</f>
        <v>65701.97357</v>
      </c>
      <c r="J70" s="200">
        <f t="shared" si="19"/>
        <v>50321.72636</v>
      </c>
      <c r="K70" s="200">
        <f t="shared" si="19"/>
        <v>28432.41481</v>
      </c>
      <c r="L70" s="200">
        <f t="shared" si="19"/>
        <v>44070.29033</v>
      </c>
      <c r="M70" s="200">
        <f t="shared" si="19"/>
        <v>37218.84507</v>
      </c>
      <c r="N70" s="200">
        <f t="shared" si="19"/>
        <v>15250.32842</v>
      </c>
      <c r="O70" s="200">
        <f t="shared" si="19"/>
        <v>43326.77464</v>
      </c>
      <c r="P70" s="200">
        <f t="shared" si="19"/>
        <v>104190.7845</v>
      </c>
      <c r="Q70" s="200">
        <f t="shared" si="19"/>
        <v>175083.8363</v>
      </c>
      <c r="R70" s="200">
        <f t="shared" si="19"/>
        <v>59733.20519</v>
      </c>
      <c r="S70" s="200">
        <f t="shared" si="19"/>
        <v>12878.3681</v>
      </c>
      <c r="T70" s="200">
        <f t="shared" si="19"/>
        <v>7091.88742</v>
      </c>
      <c r="U70" s="200">
        <f t="shared" si="19"/>
        <v>26922.12124</v>
      </c>
      <c r="V70" s="200">
        <f t="shared" si="19"/>
        <v>15031.70346</v>
      </c>
      <c r="W70" s="200">
        <f t="shared" si="19"/>
        <v>37878.97758</v>
      </c>
      <c r="X70" s="200">
        <f t="shared" si="19"/>
        <v>11227.79194</v>
      </c>
      <c r="Y70" s="200">
        <f t="shared" si="19"/>
        <v>16945.40007</v>
      </c>
      <c r="Z70" s="200">
        <f t="shared" si="19"/>
        <v>9424.885925</v>
      </c>
      <c r="AA70" s="200">
        <f t="shared" si="19"/>
        <v>12258.87417</v>
      </c>
      <c r="AB70" s="200">
        <f t="shared" si="19"/>
        <v>33642.4811</v>
      </c>
      <c r="AC70" s="200">
        <f t="shared" si="19"/>
        <v>14016.48598</v>
      </c>
      <c r="AD70" s="200">
        <f t="shared" si="19"/>
        <v>7153.072586</v>
      </c>
      <c r="AE70" s="200">
        <f t="shared" si="19"/>
        <v>21863.52517</v>
      </c>
      <c r="AF70" s="200">
        <f t="shared" si="19"/>
        <v>80277.11123</v>
      </c>
      <c r="AG70" s="200">
        <f t="shared" si="19"/>
        <v>16756.7205</v>
      </c>
      <c r="AH70" s="200">
        <f t="shared" si="19"/>
        <v>79545.52927</v>
      </c>
      <c r="AI70" s="200">
        <f t="shared" si="19"/>
        <v>49397.52761</v>
      </c>
      <c r="AJ70" s="200">
        <f t="shared" si="19"/>
        <v>21279.35734</v>
      </c>
      <c r="AK70" s="207"/>
    </row>
    <row r="71">
      <c r="A71" s="101"/>
      <c r="B71" s="102"/>
      <c r="C71" s="102"/>
      <c r="D71" s="102"/>
      <c r="E71" s="131"/>
      <c r="F71" s="132"/>
      <c r="G71" s="242"/>
      <c r="H71" s="558"/>
      <c r="I71" s="559"/>
      <c r="J71" s="559"/>
      <c r="K71" s="559"/>
      <c r="L71" s="559"/>
      <c r="M71" s="559"/>
      <c r="N71" s="559"/>
      <c r="O71" s="559"/>
      <c r="P71" s="559"/>
      <c r="Q71" s="559"/>
      <c r="R71" s="559"/>
      <c r="S71" s="559"/>
      <c r="T71" s="559"/>
      <c r="U71" s="559"/>
      <c r="V71" s="559"/>
      <c r="W71" s="559"/>
      <c r="X71" s="559"/>
      <c r="Y71" s="559"/>
      <c r="Z71" s="559"/>
      <c r="AA71" s="559"/>
      <c r="AB71" s="559"/>
      <c r="AC71" s="559"/>
      <c r="AD71" s="559"/>
      <c r="AE71" s="559"/>
      <c r="AF71" s="559"/>
      <c r="AG71" s="559"/>
      <c r="AH71" s="559"/>
      <c r="AI71" s="559"/>
      <c r="AJ71" s="559"/>
      <c r="AK71" s="561"/>
    </row>
    <row r="72">
      <c r="A72" s="101"/>
      <c r="B72" s="102"/>
      <c r="C72" s="130" t="s">
        <v>287</v>
      </c>
      <c r="F72" s="104"/>
      <c r="G72" s="111"/>
      <c r="H72" s="562"/>
      <c r="I72" s="532"/>
      <c r="J72" s="532"/>
      <c r="K72" s="532"/>
      <c r="L72" s="532"/>
      <c r="M72" s="532"/>
      <c r="N72" s="532"/>
      <c r="O72" s="532"/>
      <c r="P72" s="532"/>
      <c r="Q72" s="532"/>
      <c r="R72" s="532"/>
      <c r="S72" s="532"/>
      <c r="T72" s="532"/>
      <c r="U72" s="532"/>
      <c r="V72" s="532"/>
      <c r="W72" s="532"/>
      <c r="X72" s="532"/>
      <c r="Y72" s="532"/>
      <c r="Z72" s="532"/>
      <c r="AA72" s="532"/>
      <c r="AB72" s="532"/>
      <c r="AC72" s="532"/>
      <c r="AD72" s="532"/>
      <c r="AE72" s="532"/>
      <c r="AF72" s="532"/>
      <c r="AG72" s="532"/>
      <c r="AH72" s="532"/>
      <c r="AI72" s="532"/>
      <c r="AJ72" s="532"/>
      <c r="AK72" s="563"/>
    </row>
    <row r="73">
      <c r="A73" s="101"/>
      <c r="B73" s="102"/>
      <c r="C73" s="102"/>
      <c r="D73" s="102"/>
      <c r="E73" s="112" t="s">
        <v>288</v>
      </c>
      <c r="F73" s="114" t="s">
        <v>116</v>
      </c>
      <c r="G73" s="286" t="s">
        <v>164</v>
      </c>
      <c r="H73" s="256" t="str">
        <f>H42</f>
        <v>-</v>
      </c>
      <c r="I73" s="567">
        <f t="shared" ref="I73:AJ73" si="20">I64/I42</f>
        <v>0.02884098703</v>
      </c>
      <c r="J73" s="567">
        <f t="shared" si="20"/>
        <v>0.02394490201</v>
      </c>
      <c r="K73" s="567">
        <f t="shared" si="20"/>
        <v>0.01191955246</v>
      </c>
      <c r="L73" s="567">
        <f t="shared" si="20"/>
        <v>0.01847532618</v>
      </c>
      <c r="M73" s="567">
        <f t="shared" si="20"/>
        <v>0.02208533221</v>
      </c>
      <c r="N73" s="567">
        <f t="shared" si="20"/>
        <v>0.006393304645</v>
      </c>
      <c r="O73" s="567">
        <f t="shared" si="20"/>
        <v>0.0243262855</v>
      </c>
      <c r="P73" s="567">
        <f t="shared" si="20"/>
        <v>0.03360830456</v>
      </c>
      <c r="Q73" s="567">
        <f t="shared" si="20"/>
        <v>0.06111939541</v>
      </c>
      <c r="R73" s="567">
        <f t="shared" si="20"/>
        <v>0.02504159698</v>
      </c>
      <c r="S73" s="567">
        <f t="shared" si="20"/>
        <v>0.0053989218</v>
      </c>
      <c r="T73" s="567">
        <f t="shared" si="20"/>
        <v>0.002973089859</v>
      </c>
      <c r="U73" s="567">
        <f t="shared" si="20"/>
        <v>0.01128640105</v>
      </c>
      <c r="V73" s="567">
        <f t="shared" si="20"/>
        <v>0.006301651801</v>
      </c>
      <c r="W73" s="567">
        <f t="shared" si="20"/>
        <v>0.01587977889</v>
      </c>
      <c r="X73" s="567">
        <f t="shared" si="20"/>
        <v>0.004706960557</v>
      </c>
      <c r="Y73" s="567">
        <f t="shared" si="20"/>
        <v>0.007103919469</v>
      </c>
      <c r="Z73" s="567">
        <f t="shared" si="20"/>
        <v>0.003951138972</v>
      </c>
      <c r="AA73" s="567">
        <f t="shared" si="20"/>
        <v>0.005139215039</v>
      </c>
      <c r="AB73" s="567">
        <f t="shared" si="20"/>
        <v>0.01410373762</v>
      </c>
      <c r="AC73" s="567">
        <f t="shared" si="20"/>
        <v>0.005876048204</v>
      </c>
      <c r="AD73" s="567">
        <f t="shared" si="20"/>
        <v>0.002998740153</v>
      </c>
      <c r="AE73" s="567">
        <f t="shared" si="20"/>
        <v>0.009165715857</v>
      </c>
      <c r="AF73" s="567">
        <f t="shared" si="20"/>
        <v>0.03365409675</v>
      </c>
      <c r="AG73" s="567">
        <f t="shared" si="20"/>
        <v>0.01170260631</v>
      </c>
      <c r="AH73" s="567">
        <f t="shared" si="20"/>
        <v>0.05555323386</v>
      </c>
      <c r="AI73" s="567">
        <f t="shared" si="20"/>
        <v>0.02463072383</v>
      </c>
      <c r="AJ73" s="567">
        <f t="shared" si="20"/>
        <v>0.009907425558</v>
      </c>
      <c r="AK73" s="221"/>
    </row>
    <row r="74">
      <c r="A74" s="101"/>
      <c r="B74" s="102"/>
      <c r="C74" s="102"/>
      <c r="D74" s="102"/>
      <c r="E74" s="246" t="s">
        <v>294</v>
      </c>
      <c r="F74" s="121" t="s">
        <v>116</v>
      </c>
      <c r="G74" s="248" t="s">
        <v>164</v>
      </c>
      <c r="H74" s="249" t="s">
        <v>165</v>
      </c>
      <c r="I74" s="578">
        <f t="shared" ref="I74:AJ74" si="21">I42*I73</f>
        <v>16108.54707</v>
      </c>
      <c r="J74" s="578">
        <f t="shared" si="21"/>
        <v>12337.67958</v>
      </c>
      <c r="K74" s="578">
        <f t="shared" si="21"/>
        <v>6970.945734</v>
      </c>
      <c r="L74" s="578">
        <f t="shared" si="21"/>
        <v>10804.9775</v>
      </c>
      <c r="M74" s="578">
        <f t="shared" si="21"/>
        <v>9125.16756</v>
      </c>
      <c r="N74" s="578">
        <f t="shared" si="21"/>
        <v>3739.014521</v>
      </c>
      <c r="O74" s="578">
        <f t="shared" si="21"/>
        <v>10622.6853</v>
      </c>
      <c r="P74" s="578">
        <f t="shared" si="21"/>
        <v>25545.07978</v>
      </c>
      <c r="Q74" s="578">
        <f t="shared" si="21"/>
        <v>42926.35465</v>
      </c>
      <c r="R74" s="578">
        <f t="shared" si="21"/>
        <v>14645.14832</v>
      </c>
      <c r="S74" s="578">
        <f t="shared" si="21"/>
        <v>3157.466776</v>
      </c>
      <c r="T74" s="578">
        <f t="shared" si="21"/>
        <v>1738.76059</v>
      </c>
      <c r="U74" s="578">
        <f t="shared" si="21"/>
        <v>6600.657997</v>
      </c>
      <c r="V74" s="578">
        <f t="shared" si="21"/>
        <v>3685.412928</v>
      </c>
      <c r="W74" s="578">
        <f t="shared" si="21"/>
        <v>9287.016207</v>
      </c>
      <c r="X74" s="578">
        <f t="shared" si="21"/>
        <v>2752.785117</v>
      </c>
      <c r="Y74" s="578">
        <f t="shared" si="21"/>
        <v>4154.605408</v>
      </c>
      <c r="Z74" s="578">
        <f t="shared" si="21"/>
        <v>2310.755832</v>
      </c>
      <c r="AA74" s="578">
        <f t="shared" si="21"/>
        <v>3005.581733</v>
      </c>
      <c r="AB74" s="578">
        <f t="shared" si="21"/>
        <v>8248.328945</v>
      </c>
      <c r="AC74" s="578">
        <f t="shared" si="21"/>
        <v>3436.505967</v>
      </c>
      <c r="AD74" s="578">
        <f t="shared" si="21"/>
        <v>1753.761724</v>
      </c>
      <c r="AE74" s="578">
        <f t="shared" si="21"/>
        <v>5360.411647</v>
      </c>
      <c r="AF74" s="578">
        <f t="shared" si="21"/>
        <v>19682.02102</v>
      </c>
      <c r="AG74" s="578">
        <f t="shared" si="21"/>
        <v>4108.345706</v>
      </c>
      <c r="AH74" s="578">
        <f t="shared" si="21"/>
        <v>19502.65468</v>
      </c>
      <c r="AI74" s="578">
        <f t="shared" si="21"/>
        <v>12111.08823</v>
      </c>
      <c r="AJ74" s="578">
        <f t="shared" si="21"/>
        <v>5217.187715</v>
      </c>
      <c r="AK74" s="581"/>
    </row>
    <row r="75">
      <c r="A75" s="101"/>
      <c r="B75" s="102"/>
      <c r="C75" s="130"/>
      <c r="D75" s="102"/>
      <c r="E75" s="103"/>
      <c r="F75" s="104"/>
      <c r="G75" s="111"/>
      <c r="H75" s="105"/>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7"/>
    </row>
    <row r="76">
      <c r="A76" s="99" t="s">
        <v>296</v>
      </c>
      <c r="B76" s="12"/>
      <c r="C76" s="12"/>
      <c r="D76" s="12"/>
      <c r="E76" s="12"/>
      <c r="F76" s="12"/>
      <c r="G76" s="12"/>
      <c r="H76" s="97"/>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100"/>
    </row>
    <row r="77">
      <c r="A77" s="101"/>
      <c r="B77" s="102"/>
      <c r="C77" s="102"/>
      <c r="D77" s="102"/>
      <c r="E77" s="103"/>
      <c r="F77" s="104"/>
      <c r="G77" s="111"/>
      <c r="H77" s="105"/>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7"/>
    </row>
    <row r="78">
      <c r="A78" s="101"/>
      <c r="B78" s="102"/>
      <c r="C78" s="130" t="s">
        <v>298</v>
      </c>
      <c r="F78" s="104"/>
      <c r="G78" s="111"/>
      <c r="H78" s="105"/>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7"/>
    </row>
    <row r="79">
      <c r="A79" s="101"/>
      <c r="B79" s="102"/>
      <c r="C79" s="102"/>
      <c r="D79" s="102"/>
      <c r="E79" s="112" t="s">
        <v>251</v>
      </c>
      <c r="F79" s="114" t="str">
        <f>F56</f>
        <v>#</v>
      </c>
      <c r="G79" s="286" t="s">
        <v>60</v>
      </c>
      <c r="H79" s="256" t="str">
        <f t="shared" ref="H79:AJ79" si="22">H56</f>
        <v>-</v>
      </c>
      <c r="I79" s="118">
        <f t="shared" si="22"/>
        <v>553.3609059</v>
      </c>
      <c r="J79" s="118">
        <f t="shared" si="22"/>
        <v>423.8240432</v>
      </c>
      <c r="K79" s="118">
        <f t="shared" si="22"/>
        <v>239.4659698</v>
      </c>
      <c r="L79" s="118">
        <f t="shared" si="22"/>
        <v>371.1726522</v>
      </c>
      <c r="M79" s="118">
        <f t="shared" si="22"/>
        <v>313.4678109</v>
      </c>
      <c r="N79" s="118">
        <f t="shared" si="22"/>
        <v>128.4426493</v>
      </c>
      <c r="O79" s="118">
        <f t="shared" si="22"/>
        <v>364.9105494</v>
      </c>
      <c r="P79" s="118">
        <f t="shared" si="22"/>
        <v>877.5247342</v>
      </c>
      <c r="Q79" s="118">
        <f t="shared" si="22"/>
        <v>1474.606393</v>
      </c>
      <c r="R79" s="118">
        <f t="shared" si="22"/>
        <v>503.0902231</v>
      </c>
      <c r="S79" s="118">
        <f t="shared" si="22"/>
        <v>108.4653177</v>
      </c>
      <c r="T79" s="118">
        <f t="shared" si="22"/>
        <v>59.72991425</v>
      </c>
      <c r="U79" s="118">
        <f t="shared" si="22"/>
        <v>226.7458432</v>
      </c>
      <c r="V79" s="118">
        <f t="shared" si="22"/>
        <v>126.6013271</v>
      </c>
      <c r="W79" s="118">
        <f t="shared" si="22"/>
        <v>319.0276366</v>
      </c>
      <c r="X79" s="118">
        <f t="shared" si="22"/>
        <v>94.5636909</v>
      </c>
      <c r="Y79" s="118">
        <f t="shared" si="22"/>
        <v>142.71903</v>
      </c>
      <c r="Z79" s="118">
        <f t="shared" si="22"/>
        <v>79.37909823</v>
      </c>
      <c r="AA79" s="118">
        <f t="shared" si="22"/>
        <v>103.2477618</v>
      </c>
      <c r="AB79" s="118">
        <f t="shared" si="22"/>
        <v>283.3466456</v>
      </c>
      <c r="AC79" s="118">
        <f t="shared" si="22"/>
        <v>118.0508736</v>
      </c>
      <c r="AD79" s="118">
        <f t="shared" si="22"/>
        <v>60.24523331</v>
      </c>
      <c r="AE79" s="118">
        <f t="shared" si="22"/>
        <v>184.1408932</v>
      </c>
      <c r="AF79" s="118">
        <f t="shared" si="22"/>
        <v>676.1169046</v>
      </c>
      <c r="AG79" s="118">
        <f t="shared" si="22"/>
        <v>141.1299164</v>
      </c>
      <c r="AH79" s="118">
        <f t="shared" si="22"/>
        <v>669.9553111</v>
      </c>
      <c r="AI79" s="118">
        <f t="shared" si="22"/>
        <v>416.0401757</v>
      </c>
      <c r="AJ79" s="118">
        <f t="shared" si="22"/>
        <v>179.2208638</v>
      </c>
      <c r="AK79" s="142"/>
    </row>
    <row r="80">
      <c r="A80" s="101"/>
      <c r="B80" s="102"/>
      <c r="C80" s="102"/>
      <c r="D80" s="102"/>
      <c r="E80" s="190" t="s">
        <v>217</v>
      </c>
      <c r="F80" s="176" t="str">
        <f>F42</f>
        <v>#</v>
      </c>
      <c r="G80" s="361" t="s">
        <v>60</v>
      </c>
      <c r="H80" s="235" t="str">
        <f t="shared" ref="H80:AJ80" si="23">H42</f>
        <v>-</v>
      </c>
      <c r="I80" s="200">
        <f t="shared" si="23"/>
        <v>558529.6735</v>
      </c>
      <c r="J80" s="200">
        <f t="shared" si="23"/>
        <v>515252.8741</v>
      </c>
      <c r="K80" s="200">
        <f t="shared" si="23"/>
        <v>584832.8413</v>
      </c>
      <c r="L80" s="200">
        <f t="shared" si="23"/>
        <v>584832.8413</v>
      </c>
      <c r="M80" s="200">
        <f t="shared" si="23"/>
        <v>413177.736</v>
      </c>
      <c r="N80" s="200">
        <f t="shared" si="23"/>
        <v>584832.8413</v>
      </c>
      <c r="O80" s="200">
        <f t="shared" si="23"/>
        <v>436675.1882</v>
      </c>
      <c r="P80" s="200">
        <f t="shared" si="23"/>
        <v>760082.3699</v>
      </c>
      <c r="Q80" s="200">
        <f t="shared" si="23"/>
        <v>702336.0483</v>
      </c>
      <c r="R80" s="200">
        <f t="shared" si="23"/>
        <v>584832.8413</v>
      </c>
      <c r="S80" s="200">
        <f t="shared" si="23"/>
        <v>584832.8413</v>
      </c>
      <c r="T80" s="200">
        <f t="shared" si="23"/>
        <v>584832.8413</v>
      </c>
      <c r="U80" s="200">
        <f t="shared" si="23"/>
        <v>584832.8413</v>
      </c>
      <c r="V80" s="200">
        <f t="shared" si="23"/>
        <v>584832.8413</v>
      </c>
      <c r="W80" s="200">
        <f t="shared" si="23"/>
        <v>584832.8413</v>
      </c>
      <c r="X80" s="200">
        <f t="shared" si="23"/>
        <v>584832.8413</v>
      </c>
      <c r="Y80" s="200">
        <f t="shared" si="23"/>
        <v>584832.8413</v>
      </c>
      <c r="Z80" s="200">
        <f t="shared" si="23"/>
        <v>584832.8413</v>
      </c>
      <c r="AA80" s="200">
        <f t="shared" si="23"/>
        <v>584832.8413</v>
      </c>
      <c r="AB80" s="200">
        <f t="shared" si="23"/>
        <v>584832.8413</v>
      </c>
      <c r="AC80" s="200">
        <f t="shared" si="23"/>
        <v>584832.8413</v>
      </c>
      <c r="AD80" s="200">
        <f t="shared" si="23"/>
        <v>584832.8413</v>
      </c>
      <c r="AE80" s="200">
        <f t="shared" si="23"/>
        <v>584832.8413</v>
      </c>
      <c r="AF80" s="200">
        <f t="shared" si="23"/>
        <v>584832.8413</v>
      </c>
      <c r="AG80" s="200">
        <f t="shared" si="23"/>
        <v>351062.4554</v>
      </c>
      <c r="AH80" s="200">
        <f t="shared" si="23"/>
        <v>351062.4554</v>
      </c>
      <c r="AI80" s="200">
        <f t="shared" si="23"/>
        <v>491706.5495</v>
      </c>
      <c r="AJ80" s="200">
        <f t="shared" si="23"/>
        <v>526593.6831</v>
      </c>
      <c r="AK80" s="207"/>
    </row>
    <row r="81">
      <c r="A81" s="101"/>
      <c r="B81" s="102"/>
      <c r="C81" s="102"/>
      <c r="D81" s="102"/>
      <c r="E81" s="103"/>
      <c r="F81" s="104"/>
      <c r="G81" s="111"/>
      <c r="H81" s="105"/>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7"/>
    </row>
    <row r="82">
      <c r="A82" s="101"/>
      <c r="B82" s="102"/>
      <c r="C82" s="130" t="s">
        <v>303</v>
      </c>
      <c r="F82" s="104"/>
      <c r="G82" s="111"/>
      <c r="H82" s="105"/>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7"/>
    </row>
    <row r="83">
      <c r="A83" s="101"/>
      <c r="B83" s="102"/>
      <c r="C83" s="102"/>
      <c r="D83" s="102"/>
      <c r="E83" s="112" t="s">
        <v>262</v>
      </c>
      <c r="F83" s="114" t="str">
        <f>F69</f>
        <v>UoV</v>
      </c>
      <c r="G83" s="286" t="s">
        <v>60</v>
      </c>
      <c r="H83" s="596">
        <f t="shared" ref="H83:AJ83" si="24">H69</f>
        <v>118.73259</v>
      </c>
      <c r="I83" s="386" t="str">
        <f t="shared" si="24"/>
        <v>-</v>
      </c>
      <c r="J83" s="386" t="str">
        <f t="shared" si="24"/>
        <v>-</v>
      </c>
      <c r="K83" s="386" t="str">
        <f t="shared" si="24"/>
        <v>-</v>
      </c>
      <c r="L83" s="386" t="str">
        <f t="shared" si="24"/>
        <v>-</v>
      </c>
      <c r="M83" s="386" t="str">
        <f t="shared" si="24"/>
        <v>-</v>
      </c>
      <c r="N83" s="386" t="str">
        <f t="shared" si="24"/>
        <v>-</v>
      </c>
      <c r="O83" s="386" t="str">
        <f t="shared" si="24"/>
        <v>-</v>
      </c>
      <c r="P83" s="386" t="str">
        <f t="shared" si="24"/>
        <v>-</v>
      </c>
      <c r="Q83" s="386" t="str">
        <f t="shared" si="24"/>
        <v>-</v>
      </c>
      <c r="R83" s="386" t="str">
        <f t="shared" si="24"/>
        <v>-</v>
      </c>
      <c r="S83" s="386" t="str">
        <f t="shared" si="24"/>
        <v>-</v>
      </c>
      <c r="T83" s="386" t="str">
        <f t="shared" si="24"/>
        <v>-</v>
      </c>
      <c r="U83" s="386" t="str">
        <f t="shared" si="24"/>
        <v>-</v>
      </c>
      <c r="V83" s="386" t="str">
        <f t="shared" si="24"/>
        <v>-</v>
      </c>
      <c r="W83" s="386" t="str">
        <f t="shared" si="24"/>
        <v>-</v>
      </c>
      <c r="X83" s="386" t="str">
        <f t="shared" si="24"/>
        <v>-</v>
      </c>
      <c r="Y83" s="386" t="str">
        <f t="shared" si="24"/>
        <v>-</v>
      </c>
      <c r="Z83" s="386" t="str">
        <f t="shared" si="24"/>
        <v>-</v>
      </c>
      <c r="AA83" s="386" t="str">
        <f t="shared" si="24"/>
        <v>-</v>
      </c>
      <c r="AB83" s="386" t="str">
        <f t="shared" si="24"/>
        <v>-</v>
      </c>
      <c r="AC83" s="386" t="str">
        <f t="shared" si="24"/>
        <v>-</v>
      </c>
      <c r="AD83" s="386" t="str">
        <f t="shared" si="24"/>
        <v>-</v>
      </c>
      <c r="AE83" s="386" t="str">
        <f t="shared" si="24"/>
        <v>-</v>
      </c>
      <c r="AF83" s="386" t="str">
        <f t="shared" si="24"/>
        <v>-</v>
      </c>
      <c r="AG83" s="386" t="str">
        <f t="shared" si="24"/>
        <v>-</v>
      </c>
      <c r="AH83" s="386" t="str">
        <f t="shared" si="24"/>
        <v>-</v>
      </c>
      <c r="AI83" s="386" t="str">
        <f t="shared" si="24"/>
        <v>-</v>
      </c>
      <c r="AJ83" s="386" t="str">
        <f t="shared" si="24"/>
        <v>-</v>
      </c>
      <c r="AK83" s="397"/>
    </row>
    <row r="84">
      <c r="A84" s="101"/>
      <c r="B84" s="102"/>
      <c r="C84" s="102"/>
      <c r="D84" s="102"/>
      <c r="E84" s="190" t="s">
        <v>288</v>
      </c>
      <c r="F84" s="176" t="str">
        <f>F73</f>
        <v>UoV</v>
      </c>
      <c r="G84" s="361" t="s">
        <v>60</v>
      </c>
      <c r="H84" s="608" t="str">
        <f t="shared" ref="H84:AJ84" si="25">H73</f>
        <v>-</v>
      </c>
      <c r="I84" s="609">
        <f t="shared" si="25"/>
        <v>0.02884098703</v>
      </c>
      <c r="J84" s="609">
        <f t="shared" si="25"/>
        <v>0.02394490201</v>
      </c>
      <c r="K84" s="609">
        <f t="shared" si="25"/>
        <v>0.01191955246</v>
      </c>
      <c r="L84" s="609">
        <f t="shared" si="25"/>
        <v>0.01847532618</v>
      </c>
      <c r="M84" s="609">
        <f t="shared" si="25"/>
        <v>0.02208533221</v>
      </c>
      <c r="N84" s="609">
        <f t="shared" si="25"/>
        <v>0.006393304645</v>
      </c>
      <c r="O84" s="609">
        <f t="shared" si="25"/>
        <v>0.0243262855</v>
      </c>
      <c r="P84" s="609">
        <f t="shared" si="25"/>
        <v>0.03360830456</v>
      </c>
      <c r="Q84" s="609">
        <f t="shared" si="25"/>
        <v>0.06111939541</v>
      </c>
      <c r="R84" s="609">
        <f t="shared" si="25"/>
        <v>0.02504159698</v>
      </c>
      <c r="S84" s="609">
        <f t="shared" si="25"/>
        <v>0.0053989218</v>
      </c>
      <c r="T84" s="609">
        <f t="shared" si="25"/>
        <v>0.002973089859</v>
      </c>
      <c r="U84" s="609">
        <f t="shared" si="25"/>
        <v>0.01128640105</v>
      </c>
      <c r="V84" s="609">
        <f t="shared" si="25"/>
        <v>0.006301651801</v>
      </c>
      <c r="W84" s="609">
        <f t="shared" si="25"/>
        <v>0.01587977889</v>
      </c>
      <c r="X84" s="609">
        <f t="shared" si="25"/>
        <v>0.004706960557</v>
      </c>
      <c r="Y84" s="609">
        <f t="shared" si="25"/>
        <v>0.007103919469</v>
      </c>
      <c r="Z84" s="609">
        <f t="shared" si="25"/>
        <v>0.003951138972</v>
      </c>
      <c r="AA84" s="609">
        <f t="shared" si="25"/>
        <v>0.005139215039</v>
      </c>
      <c r="AB84" s="609">
        <f t="shared" si="25"/>
        <v>0.01410373762</v>
      </c>
      <c r="AC84" s="609">
        <f t="shared" si="25"/>
        <v>0.005876048204</v>
      </c>
      <c r="AD84" s="609">
        <f t="shared" si="25"/>
        <v>0.002998740153</v>
      </c>
      <c r="AE84" s="609">
        <f t="shared" si="25"/>
        <v>0.009165715857</v>
      </c>
      <c r="AF84" s="609">
        <f t="shared" si="25"/>
        <v>0.03365409675</v>
      </c>
      <c r="AG84" s="609">
        <f t="shared" si="25"/>
        <v>0.01170260631</v>
      </c>
      <c r="AH84" s="609">
        <f t="shared" si="25"/>
        <v>0.05555323386</v>
      </c>
      <c r="AI84" s="609">
        <f t="shared" si="25"/>
        <v>0.02463072383</v>
      </c>
      <c r="AJ84" s="609">
        <f t="shared" si="25"/>
        <v>0.009907425558</v>
      </c>
      <c r="AK84" s="619"/>
    </row>
    <row r="85">
      <c r="A85" s="101"/>
      <c r="B85" s="102"/>
      <c r="C85" s="102"/>
      <c r="D85" s="102"/>
      <c r="E85" s="103"/>
      <c r="F85" s="104"/>
      <c r="G85" s="111"/>
      <c r="H85" s="105"/>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7"/>
    </row>
    <row r="86">
      <c r="A86" s="101"/>
      <c r="B86" s="102"/>
      <c r="C86" s="130" t="s">
        <v>324</v>
      </c>
      <c r="F86" s="104"/>
      <c r="G86" s="111"/>
      <c r="H86" s="105"/>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7"/>
    </row>
    <row r="87">
      <c r="A87" s="101"/>
      <c r="B87" s="102"/>
      <c r="C87" s="102"/>
      <c r="D87" s="102"/>
      <c r="E87" s="112" t="s">
        <v>325</v>
      </c>
      <c r="F87" s="114" t="s">
        <v>116</v>
      </c>
      <c r="G87" s="286" t="s">
        <v>164</v>
      </c>
      <c r="H87" s="256" t="s">
        <v>165</v>
      </c>
      <c r="I87" s="118">
        <f t="shared" ref="I87:AJ87" si="26">I79*$H83</f>
        <v>65701.97357</v>
      </c>
      <c r="J87" s="118">
        <f t="shared" si="26"/>
        <v>50321.72636</v>
      </c>
      <c r="K87" s="118">
        <f t="shared" si="26"/>
        <v>28432.41481</v>
      </c>
      <c r="L87" s="118">
        <f t="shared" si="26"/>
        <v>44070.29033</v>
      </c>
      <c r="M87" s="118">
        <f t="shared" si="26"/>
        <v>37218.84507</v>
      </c>
      <c r="N87" s="118">
        <f t="shared" si="26"/>
        <v>15250.32842</v>
      </c>
      <c r="O87" s="118">
        <f t="shared" si="26"/>
        <v>43326.77464</v>
      </c>
      <c r="P87" s="118">
        <f t="shared" si="26"/>
        <v>104190.7845</v>
      </c>
      <c r="Q87" s="118">
        <f t="shared" si="26"/>
        <v>175083.8363</v>
      </c>
      <c r="R87" s="118">
        <f t="shared" si="26"/>
        <v>59733.20519</v>
      </c>
      <c r="S87" s="118">
        <f t="shared" si="26"/>
        <v>12878.3681</v>
      </c>
      <c r="T87" s="118">
        <f t="shared" si="26"/>
        <v>7091.88742</v>
      </c>
      <c r="U87" s="118">
        <f t="shared" si="26"/>
        <v>26922.12124</v>
      </c>
      <c r="V87" s="118">
        <f t="shared" si="26"/>
        <v>15031.70346</v>
      </c>
      <c r="W87" s="118">
        <f t="shared" si="26"/>
        <v>37878.97758</v>
      </c>
      <c r="X87" s="118">
        <f t="shared" si="26"/>
        <v>11227.79194</v>
      </c>
      <c r="Y87" s="118">
        <f t="shared" si="26"/>
        <v>16945.40007</v>
      </c>
      <c r="Z87" s="118">
        <f t="shared" si="26"/>
        <v>9424.885925</v>
      </c>
      <c r="AA87" s="118">
        <f t="shared" si="26"/>
        <v>12258.87417</v>
      </c>
      <c r="AB87" s="118">
        <f t="shared" si="26"/>
        <v>33642.4811</v>
      </c>
      <c r="AC87" s="118">
        <f t="shared" si="26"/>
        <v>14016.48598</v>
      </c>
      <c r="AD87" s="118">
        <f t="shared" si="26"/>
        <v>7153.072586</v>
      </c>
      <c r="AE87" s="118">
        <f t="shared" si="26"/>
        <v>21863.52517</v>
      </c>
      <c r="AF87" s="118">
        <f t="shared" si="26"/>
        <v>80277.11123</v>
      </c>
      <c r="AG87" s="118">
        <f t="shared" si="26"/>
        <v>16756.7205</v>
      </c>
      <c r="AH87" s="118">
        <f t="shared" si="26"/>
        <v>79545.52927</v>
      </c>
      <c r="AI87" s="118">
        <f t="shared" si="26"/>
        <v>49397.52761</v>
      </c>
      <c r="AJ87" s="118">
        <f t="shared" si="26"/>
        <v>21279.35734</v>
      </c>
      <c r="AK87" s="142"/>
    </row>
    <row r="88">
      <c r="A88" s="101"/>
      <c r="B88" s="102"/>
      <c r="C88" s="102"/>
      <c r="D88" s="102"/>
      <c r="E88" s="190" t="s">
        <v>329</v>
      </c>
      <c r="F88" s="176" t="s">
        <v>116</v>
      </c>
      <c r="G88" s="361" t="s">
        <v>164</v>
      </c>
      <c r="H88" s="235" t="s">
        <v>165</v>
      </c>
      <c r="I88" s="200">
        <f t="shared" ref="I88:AJ88" si="27">I80*I84</f>
        <v>16108.54707</v>
      </c>
      <c r="J88" s="200">
        <f t="shared" si="27"/>
        <v>12337.67958</v>
      </c>
      <c r="K88" s="200">
        <f t="shared" si="27"/>
        <v>6970.945734</v>
      </c>
      <c r="L88" s="200">
        <f t="shared" si="27"/>
        <v>10804.9775</v>
      </c>
      <c r="M88" s="200">
        <f t="shared" si="27"/>
        <v>9125.16756</v>
      </c>
      <c r="N88" s="200">
        <f t="shared" si="27"/>
        <v>3739.014521</v>
      </c>
      <c r="O88" s="200">
        <f t="shared" si="27"/>
        <v>10622.6853</v>
      </c>
      <c r="P88" s="200">
        <f t="shared" si="27"/>
        <v>25545.07978</v>
      </c>
      <c r="Q88" s="200">
        <f t="shared" si="27"/>
        <v>42926.35465</v>
      </c>
      <c r="R88" s="200">
        <f t="shared" si="27"/>
        <v>14645.14832</v>
      </c>
      <c r="S88" s="200">
        <f t="shared" si="27"/>
        <v>3157.466776</v>
      </c>
      <c r="T88" s="200">
        <f t="shared" si="27"/>
        <v>1738.76059</v>
      </c>
      <c r="U88" s="200">
        <f t="shared" si="27"/>
        <v>6600.657997</v>
      </c>
      <c r="V88" s="200">
        <f t="shared" si="27"/>
        <v>3685.412928</v>
      </c>
      <c r="W88" s="200">
        <f t="shared" si="27"/>
        <v>9287.016207</v>
      </c>
      <c r="X88" s="200">
        <f t="shared" si="27"/>
        <v>2752.785117</v>
      </c>
      <c r="Y88" s="200">
        <f t="shared" si="27"/>
        <v>4154.605408</v>
      </c>
      <c r="Z88" s="200">
        <f t="shared" si="27"/>
        <v>2310.755832</v>
      </c>
      <c r="AA88" s="200">
        <f t="shared" si="27"/>
        <v>3005.581733</v>
      </c>
      <c r="AB88" s="200">
        <f t="shared" si="27"/>
        <v>8248.328945</v>
      </c>
      <c r="AC88" s="200">
        <f t="shared" si="27"/>
        <v>3436.505967</v>
      </c>
      <c r="AD88" s="200">
        <f t="shared" si="27"/>
        <v>1753.761724</v>
      </c>
      <c r="AE88" s="200">
        <f t="shared" si="27"/>
        <v>5360.411647</v>
      </c>
      <c r="AF88" s="200">
        <f t="shared" si="27"/>
        <v>19682.02102</v>
      </c>
      <c r="AG88" s="200">
        <f t="shared" si="27"/>
        <v>4108.345706</v>
      </c>
      <c r="AH88" s="200">
        <f t="shared" si="27"/>
        <v>19502.65468</v>
      </c>
      <c r="AI88" s="200">
        <f t="shared" si="27"/>
        <v>12111.08823</v>
      </c>
      <c r="AJ88" s="200">
        <f t="shared" si="27"/>
        <v>5217.187715</v>
      </c>
      <c r="AK88" s="207"/>
    </row>
    <row r="89">
      <c r="A89" s="101"/>
      <c r="B89" s="102"/>
      <c r="C89" s="102"/>
      <c r="D89" s="102"/>
      <c r="E89" s="103"/>
      <c r="F89" s="104"/>
      <c r="G89" s="111"/>
      <c r="H89" s="105"/>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7"/>
    </row>
    <row r="90">
      <c r="A90" s="101"/>
      <c r="B90" s="102"/>
      <c r="C90" s="130" t="s">
        <v>333</v>
      </c>
      <c r="F90" s="104"/>
      <c r="G90" s="111"/>
      <c r="H90" s="105"/>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7"/>
    </row>
    <row r="91">
      <c r="A91" s="101"/>
      <c r="B91" s="102"/>
      <c r="C91" s="102"/>
      <c r="D91" s="102"/>
      <c r="E91" s="112" t="s">
        <v>178</v>
      </c>
      <c r="F91" s="114" t="str">
        <f>F21</f>
        <v>$</v>
      </c>
      <c r="G91" s="286" t="s">
        <v>60</v>
      </c>
      <c r="H91" s="256" t="str">
        <f t="shared" ref="H91:AJ91" si="28">H21</f>
        <v>-</v>
      </c>
      <c r="I91" s="297">
        <f t="shared" si="28"/>
        <v>1000000</v>
      </c>
      <c r="J91" s="297">
        <f t="shared" si="28"/>
        <v>1000000</v>
      </c>
      <c r="K91" s="297">
        <f t="shared" si="28"/>
        <v>1000000</v>
      </c>
      <c r="L91" s="297">
        <f t="shared" si="28"/>
        <v>1000000</v>
      </c>
      <c r="M91" s="297">
        <f t="shared" si="28"/>
        <v>1000000</v>
      </c>
      <c r="N91" s="297">
        <f t="shared" si="28"/>
        <v>1000000</v>
      </c>
      <c r="O91" s="297">
        <f t="shared" si="28"/>
        <v>1000000</v>
      </c>
      <c r="P91" s="297">
        <f t="shared" si="28"/>
        <v>1000000</v>
      </c>
      <c r="Q91" s="297">
        <f t="shared" si="28"/>
        <v>1000000</v>
      </c>
      <c r="R91" s="297">
        <f t="shared" si="28"/>
        <v>1000000</v>
      </c>
      <c r="S91" s="297">
        <f t="shared" si="28"/>
        <v>1000000</v>
      </c>
      <c r="T91" s="297">
        <f t="shared" si="28"/>
        <v>1000000</v>
      </c>
      <c r="U91" s="297">
        <f t="shared" si="28"/>
        <v>1000000</v>
      </c>
      <c r="V91" s="297">
        <f t="shared" si="28"/>
        <v>1000000</v>
      </c>
      <c r="W91" s="297">
        <f t="shared" si="28"/>
        <v>1000000</v>
      </c>
      <c r="X91" s="297">
        <f t="shared" si="28"/>
        <v>1000000</v>
      </c>
      <c r="Y91" s="297">
        <f t="shared" si="28"/>
        <v>1000000</v>
      </c>
      <c r="Z91" s="297">
        <f t="shared" si="28"/>
        <v>1000000</v>
      </c>
      <c r="AA91" s="297">
        <f t="shared" si="28"/>
        <v>1000000</v>
      </c>
      <c r="AB91" s="297">
        <f t="shared" si="28"/>
        <v>1000000</v>
      </c>
      <c r="AC91" s="297">
        <f t="shared" si="28"/>
        <v>1000000</v>
      </c>
      <c r="AD91" s="297">
        <f t="shared" si="28"/>
        <v>1000000</v>
      </c>
      <c r="AE91" s="297">
        <f t="shared" si="28"/>
        <v>1000000</v>
      </c>
      <c r="AF91" s="297">
        <f t="shared" si="28"/>
        <v>1000000</v>
      </c>
      <c r="AG91" s="297">
        <f t="shared" si="28"/>
        <v>1000000</v>
      </c>
      <c r="AH91" s="297">
        <f t="shared" si="28"/>
        <v>1000000</v>
      </c>
      <c r="AI91" s="297">
        <f t="shared" si="28"/>
        <v>1000000</v>
      </c>
      <c r="AJ91" s="297">
        <f t="shared" si="28"/>
        <v>1000000</v>
      </c>
      <c r="AK91" s="306"/>
    </row>
    <row r="92">
      <c r="A92" s="101"/>
      <c r="B92" s="102"/>
      <c r="C92" s="102"/>
      <c r="D92" s="102"/>
      <c r="E92" s="144" t="s">
        <v>335</v>
      </c>
      <c r="F92" s="145" t="s">
        <v>116</v>
      </c>
      <c r="G92" s="419" t="s">
        <v>164</v>
      </c>
      <c r="H92" s="223" t="s">
        <v>165</v>
      </c>
      <c r="I92" s="153">
        <f t="shared" ref="I92:AJ92" si="29">SUM(I87:I88)</f>
        <v>81810.52064</v>
      </c>
      <c r="J92" s="153">
        <f t="shared" si="29"/>
        <v>62659.40594</v>
      </c>
      <c r="K92" s="153">
        <f t="shared" si="29"/>
        <v>35403.36054</v>
      </c>
      <c r="L92" s="153">
        <f t="shared" si="29"/>
        <v>54875.26784</v>
      </c>
      <c r="M92" s="153">
        <f t="shared" si="29"/>
        <v>46344.01264</v>
      </c>
      <c r="N92" s="153">
        <f t="shared" si="29"/>
        <v>18989.34294</v>
      </c>
      <c r="O92" s="153">
        <f t="shared" si="29"/>
        <v>53949.45995</v>
      </c>
      <c r="P92" s="153">
        <f t="shared" si="29"/>
        <v>129735.8643</v>
      </c>
      <c r="Q92" s="153">
        <f t="shared" si="29"/>
        <v>218010.191</v>
      </c>
      <c r="R92" s="153">
        <f t="shared" si="29"/>
        <v>74378.3535</v>
      </c>
      <c r="S92" s="153">
        <f t="shared" si="29"/>
        <v>16035.83487</v>
      </c>
      <c r="T92" s="153">
        <f t="shared" si="29"/>
        <v>8830.64801</v>
      </c>
      <c r="U92" s="153">
        <f t="shared" si="29"/>
        <v>33522.77924</v>
      </c>
      <c r="V92" s="153">
        <f t="shared" si="29"/>
        <v>18717.11639</v>
      </c>
      <c r="W92" s="153">
        <f t="shared" si="29"/>
        <v>47165.99379</v>
      </c>
      <c r="X92" s="153">
        <f t="shared" si="29"/>
        <v>13980.57706</v>
      </c>
      <c r="Y92" s="153">
        <f t="shared" si="29"/>
        <v>21100.00548</v>
      </c>
      <c r="Z92" s="153">
        <f t="shared" si="29"/>
        <v>11735.64176</v>
      </c>
      <c r="AA92" s="153">
        <f t="shared" si="29"/>
        <v>15264.4559</v>
      </c>
      <c r="AB92" s="153">
        <f t="shared" si="29"/>
        <v>41890.81004</v>
      </c>
      <c r="AC92" s="153">
        <f t="shared" si="29"/>
        <v>17452.99195</v>
      </c>
      <c r="AD92" s="153">
        <f t="shared" si="29"/>
        <v>8906.83431</v>
      </c>
      <c r="AE92" s="153">
        <f t="shared" si="29"/>
        <v>27223.93682</v>
      </c>
      <c r="AF92" s="153">
        <f t="shared" si="29"/>
        <v>99959.13225</v>
      </c>
      <c r="AG92" s="153">
        <f t="shared" si="29"/>
        <v>20865.06621</v>
      </c>
      <c r="AH92" s="153">
        <f t="shared" si="29"/>
        <v>99048.18395</v>
      </c>
      <c r="AI92" s="153">
        <f t="shared" si="29"/>
        <v>61508.61584</v>
      </c>
      <c r="AJ92" s="153">
        <f t="shared" si="29"/>
        <v>26496.54505</v>
      </c>
      <c r="AK92" s="168"/>
    </row>
    <row r="93">
      <c r="A93" s="101"/>
      <c r="B93" s="102"/>
      <c r="C93" s="102"/>
      <c r="D93" s="102"/>
      <c r="E93" s="636" t="s">
        <v>274</v>
      </c>
      <c r="F93" s="390" t="s">
        <v>116</v>
      </c>
      <c r="G93" s="638" t="s">
        <v>164</v>
      </c>
      <c r="H93" s="277" t="s">
        <v>165</v>
      </c>
      <c r="I93" s="641">
        <f t="shared" ref="I93:AJ93" si="30">I92/I91</f>
        <v>0.08181052064</v>
      </c>
      <c r="J93" s="641">
        <f t="shared" si="30"/>
        <v>0.06265940594</v>
      </c>
      <c r="K93" s="641">
        <f t="shared" si="30"/>
        <v>0.03540336054</v>
      </c>
      <c r="L93" s="641">
        <f t="shared" si="30"/>
        <v>0.05487526784</v>
      </c>
      <c r="M93" s="641">
        <f t="shared" si="30"/>
        <v>0.04634401264</v>
      </c>
      <c r="N93" s="641">
        <f t="shared" si="30"/>
        <v>0.01898934294</v>
      </c>
      <c r="O93" s="641">
        <f t="shared" si="30"/>
        <v>0.05394945995</v>
      </c>
      <c r="P93" s="641">
        <f t="shared" si="30"/>
        <v>0.1297358643</v>
      </c>
      <c r="Q93" s="641">
        <f t="shared" si="30"/>
        <v>0.218010191</v>
      </c>
      <c r="R93" s="641">
        <f t="shared" si="30"/>
        <v>0.0743783535</v>
      </c>
      <c r="S93" s="641">
        <f t="shared" si="30"/>
        <v>0.01603583487</v>
      </c>
      <c r="T93" s="641">
        <f t="shared" si="30"/>
        <v>0.00883064801</v>
      </c>
      <c r="U93" s="641">
        <f t="shared" si="30"/>
        <v>0.03352277924</v>
      </c>
      <c r="V93" s="641">
        <f t="shared" si="30"/>
        <v>0.01871711639</v>
      </c>
      <c r="W93" s="641">
        <f t="shared" si="30"/>
        <v>0.04716599379</v>
      </c>
      <c r="X93" s="641">
        <f t="shared" si="30"/>
        <v>0.01398057706</v>
      </c>
      <c r="Y93" s="641">
        <f t="shared" si="30"/>
        <v>0.02110000548</v>
      </c>
      <c r="Z93" s="641">
        <f t="shared" si="30"/>
        <v>0.01173564176</v>
      </c>
      <c r="AA93" s="641">
        <f t="shared" si="30"/>
        <v>0.0152644559</v>
      </c>
      <c r="AB93" s="641">
        <f t="shared" si="30"/>
        <v>0.04189081004</v>
      </c>
      <c r="AC93" s="641">
        <f t="shared" si="30"/>
        <v>0.01745299195</v>
      </c>
      <c r="AD93" s="641">
        <f t="shared" si="30"/>
        <v>0.00890683431</v>
      </c>
      <c r="AE93" s="641">
        <f t="shared" si="30"/>
        <v>0.02722393682</v>
      </c>
      <c r="AF93" s="641">
        <f t="shared" si="30"/>
        <v>0.09995913225</v>
      </c>
      <c r="AG93" s="641">
        <f t="shared" si="30"/>
        <v>0.02086506621</v>
      </c>
      <c r="AH93" s="641">
        <f t="shared" si="30"/>
        <v>0.09904818395</v>
      </c>
      <c r="AI93" s="641">
        <f t="shared" si="30"/>
        <v>0.06150861584</v>
      </c>
      <c r="AJ93" s="641">
        <f t="shared" si="30"/>
        <v>0.02649654505</v>
      </c>
      <c r="AK93" s="642"/>
    </row>
    <row r="94">
      <c r="A94" s="101"/>
      <c r="B94" s="102"/>
      <c r="C94" s="102"/>
      <c r="D94" s="102"/>
      <c r="E94" s="636" t="s">
        <v>339</v>
      </c>
      <c r="F94" s="390" t="str">
        <f>Inputs!F163</f>
        <v>UoV</v>
      </c>
      <c r="G94" s="638" t="str">
        <f>Inputs!G163</f>
        <v>input</v>
      </c>
      <c r="H94" s="645">
        <f>Inputs!H163</f>
        <v>0.00333</v>
      </c>
      <c r="I94" s="646" t="str">
        <f>Inputs!I163</f>
        <v>-</v>
      </c>
      <c r="J94" s="646" t="str">
        <f>Inputs!J163</f>
        <v>-</v>
      </c>
      <c r="K94" s="646" t="str">
        <f>Inputs!K163</f>
        <v>-</v>
      </c>
      <c r="L94" s="646" t="str">
        <f>Inputs!L163</f>
        <v>-</v>
      </c>
      <c r="M94" s="646" t="str">
        <f>Inputs!M163</f>
        <v>-</v>
      </c>
      <c r="N94" s="646" t="str">
        <f>Inputs!N163</f>
        <v>-</v>
      </c>
      <c r="O94" s="646" t="str">
        <f>Inputs!O163</f>
        <v>-</v>
      </c>
      <c r="P94" s="646" t="str">
        <f>Inputs!P163</f>
        <v>-</v>
      </c>
      <c r="Q94" s="646" t="str">
        <f>Inputs!Q163</f>
        <v>-</v>
      </c>
      <c r="R94" s="646" t="str">
        <f>Inputs!R163</f>
        <v>-</v>
      </c>
      <c r="S94" s="646" t="str">
        <f>Inputs!S163</f>
        <v>-</v>
      </c>
      <c r="T94" s="646" t="str">
        <f>Inputs!T163</f>
        <v>-</v>
      </c>
      <c r="U94" s="646" t="str">
        <f>Inputs!U163</f>
        <v>-</v>
      </c>
      <c r="V94" s="646" t="str">
        <f>Inputs!V163</f>
        <v>-</v>
      </c>
      <c r="W94" s="646" t="str">
        <f>Inputs!W163</f>
        <v>-</v>
      </c>
      <c r="X94" s="646" t="str">
        <f>Inputs!X163</f>
        <v>-</v>
      </c>
      <c r="Y94" s="646" t="str">
        <f>Inputs!Y163</f>
        <v>-</v>
      </c>
      <c r="Z94" s="646" t="str">
        <f>Inputs!Z163</f>
        <v>-</v>
      </c>
      <c r="AA94" s="646" t="str">
        <f>Inputs!AA163</f>
        <v>-</v>
      </c>
      <c r="AB94" s="646" t="str">
        <f>Inputs!AB163</f>
        <v>-</v>
      </c>
      <c r="AC94" s="646" t="str">
        <f>Inputs!AC163</f>
        <v>-</v>
      </c>
      <c r="AD94" s="646" t="str">
        <f>Inputs!AD163</f>
        <v>-</v>
      </c>
      <c r="AE94" s="646" t="str">
        <f>Inputs!AE163</f>
        <v>-</v>
      </c>
      <c r="AF94" s="646" t="str">
        <f>Inputs!AF163</f>
        <v>-</v>
      </c>
      <c r="AG94" s="646" t="str">
        <f>Inputs!AG163</f>
        <v>-</v>
      </c>
      <c r="AH94" s="646" t="str">
        <f>Inputs!AH163</f>
        <v>-</v>
      </c>
      <c r="AI94" s="646" t="str">
        <f>Inputs!AI163</f>
        <v>-</v>
      </c>
      <c r="AJ94" s="646" t="str">
        <f>Inputs!AJ163</f>
        <v>-</v>
      </c>
      <c r="AK94" s="649"/>
    </row>
    <row r="95">
      <c r="A95" s="101"/>
      <c r="B95" s="102"/>
      <c r="C95" s="102"/>
      <c r="D95" s="102"/>
      <c r="E95" s="190" t="s">
        <v>342</v>
      </c>
      <c r="F95" s="176" t="s">
        <v>118</v>
      </c>
      <c r="G95" s="361" t="s">
        <v>164</v>
      </c>
      <c r="H95" s="235" t="s">
        <v>165</v>
      </c>
      <c r="I95" s="658">
        <f t="shared" ref="I95:AJ95" si="31">I93/$H94</f>
        <v>24.56772391</v>
      </c>
      <c r="J95" s="658">
        <f t="shared" si="31"/>
        <v>18.81663842</v>
      </c>
      <c r="K95" s="658">
        <f t="shared" si="31"/>
        <v>10.6316398</v>
      </c>
      <c r="L95" s="658">
        <f t="shared" si="31"/>
        <v>16.47905941</v>
      </c>
      <c r="M95" s="658">
        <f t="shared" si="31"/>
        <v>13.91712091</v>
      </c>
      <c r="N95" s="658">
        <f t="shared" si="31"/>
        <v>5.702505388</v>
      </c>
      <c r="O95" s="658">
        <f t="shared" si="31"/>
        <v>16.20103902</v>
      </c>
      <c r="P95" s="658">
        <f t="shared" si="31"/>
        <v>38.959719</v>
      </c>
      <c r="Q95" s="658">
        <f t="shared" si="31"/>
        <v>65.46852581</v>
      </c>
      <c r="R95" s="658">
        <f t="shared" si="31"/>
        <v>22.33584189</v>
      </c>
      <c r="S95" s="658">
        <f t="shared" si="31"/>
        <v>4.815566028</v>
      </c>
      <c r="T95" s="658">
        <f t="shared" si="31"/>
        <v>2.651846249</v>
      </c>
      <c r="U95" s="658">
        <f t="shared" si="31"/>
        <v>10.06690067</v>
      </c>
      <c r="V95" s="658">
        <f t="shared" si="31"/>
        <v>5.620755672</v>
      </c>
      <c r="W95" s="658">
        <f t="shared" si="31"/>
        <v>14.1639621</v>
      </c>
      <c r="X95" s="658">
        <f t="shared" si="31"/>
        <v>4.198371489</v>
      </c>
      <c r="Y95" s="658">
        <f t="shared" si="31"/>
        <v>6.336337981</v>
      </c>
      <c r="Z95" s="658">
        <f t="shared" si="31"/>
        <v>3.524216744</v>
      </c>
      <c r="AA95" s="658">
        <f t="shared" si="31"/>
        <v>4.583920691</v>
      </c>
      <c r="AB95" s="658">
        <f t="shared" si="31"/>
        <v>12.57982284</v>
      </c>
      <c r="AC95" s="658">
        <f t="shared" si="31"/>
        <v>5.241138723</v>
      </c>
      <c r="AD95" s="658">
        <f t="shared" si="31"/>
        <v>2.674725018</v>
      </c>
      <c r="AE95" s="658">
        <f t="shared" si="31"/>
        <v>8.175356402</v>
      </c>
      <c r="AF95" s="658">
        <f t="shared" si="31"/>
        <v>30.01775743</v>
      </c>
      <c r="AG95" s="658">
        <f t="shared" si="31"/>
        <v>6.265785648</v>
      </c>
      <c r="AH95" s="658">
        <f t="shared" si="31"/>
        <v>29.74419939</v>
      </c>
      <c r="AI95" s="658">
        <f t="shared" si="31"/>
        <v>18.47105581</v>
      </c>
      <c r="AJ95" s="658">
        <f t="shared" si="31"/>
        <v>7.956920436</v>
      </c>
      <c r="AK95" s="666"/>
    </row>
    <row r="96">
      <c r="A96" s="101"/>
      <c r="B96" s="102"/>
      <c r="C96" s="102"/>
      <c r="D96" s="102"/>
      <c r="E96" s="103"/>
      <c r="F96" s="104"/>
      <c r="G96" s="111"/>
      <c r="H96" s="105"/>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7"/>
    </row>
    <row r="97">
      <c r="A97" s="101"/>
      <c r="B97" s="102"/>
      <c r="C97" s="130" t="s">
        <v>351</v>
      </c>
      <c r="F97" s="132"/>
      <c r="G97" s="111"/>
      <c r="H97" s="105"/>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7"/>
    </row>
    <row r="98">
      <c r="A98" s="101"/>
      <c r="B98" s="102"/>
      <c r="C98" s="130"/>
      <c r="D98" s="102"/>
      <c r="E98" s="112" t="s">
        <v>353</v>
      </c>
      <c r="F98" s="114" t="s">
        <v>112</v>
      </c>
      <c r="G98" s="286" t="s">
        <v>164</v>
      </c>
      <c r="H98" s="256" t="s">
        <v>165</v>
      </c>
      <c r="I98" s="166">
        <f t="shared" ref="I98:AJ98" si="32">I87/I92</f>
        <v>0.8030993209</v>
      </c>
      <c r="J98" s="166">
        <f t="shared" si="32"/>
        <v>0.8030993209</v>
      </c>
      <c r="K98" s="166">
        <f t="shared" si="32"/>
        <v>0.8030993209</v>
      </c>
      <c r="L98" s="166">
        <f t="shared" si="32"/>
        <v>0.8030993209</v>
      </c>
      <c r="M98" s="166">
        <f t="shared" si="32"/>
        <v>0.8030993209</v>
      </c>
      <c r="N98" s="166">
        <f t="shared" si="32"/>
        <v>0.8030993209</v>
      </c>
      <c r="O98" s="166">
        <f t="shared" si="32"/>
        <v>0.8030993209</v>
      </c>
      <c r="P98" s="166">
        <f t="shared" si="32"/>
        <v>0.8030993209</v>
      </c>
      <c r="Q98" s="166">
        <f t="shared" si="32"/>
        <v>0.8030993209</v>
      </c>
      <c r="R98" s="166">
        <f t="shared" si="32"/>
        <v>0.8030993209</v>
      </c>
      <c r="S98" s="166">
        <f t="shared" si="32"/>
        <v>0.8030993209</v>
      </c>
      <c r="T98" s="166">
        <f t="shared" si="32"/>
        <v>0.8030993209</v>
      </c>
      <c r="U98" s="166">
        <f t="shared" si="32"/>
        <v>0.8030993209</v>
      </c>
      <c r="V98" s="166">
        <f t="shared" si="32"/>
        <v>0.8030993209</v>
      </c>
      <c r="W98" s="166">
        <f t="shared" si="32"/>
        <v>0.8030993209</v>
      </c>
      <c r="X98" s="166">
        <f t="shared" si="32"/>
        <v>0.8030993209</v>
      </c>
      <c r="Y98" s="166">
        <f t="shared" si="32"/>
        <v>0.8030993209</v>
      </c>
      <c r="Z98" s="166">
        <f t="shared" si="32"/>
        <v>0.8030993209</v>
      </c>
      <c r="AA98" s="166">
        <f t="shared" si="32"/>
        <v>0.8030993209</v>
      </c>
      <c r="AB98" s="166">
        <f t="shared" si="32"/>
        <v>0.8030993209</v>
      </c>
      <c r="AC98" s="166">
        <f t="shared" si="32"/>
        <v>0.8030993209</v>
      </c>
      <c r="AD98" s="166">
        <f t="shared" si="32"/>
        <v>0.8030993209</v>
      </c>
      <c r="AE98" s="166">
        <f t="shared" si="32"/>
        <v>0.8030993209</v>
      </c>
      <c r="AF98" s="166">
        <f t="shared" si="32"/>
        <v>0.8030993209</v>
      </c>
      <c r="AG98" s="166">
        <f t="shared" si="32"/>
        <v>0.8030993209</v>
      </c>
      <c r="AH98" s="166">
        <f t="shared" si="32"/>
        <v>0.8030993209</v>
      </c>
      <c r="AI98" s="166">
        <f t="shared" si="32"/>
        <v>0.8030993209</v>
      </c>
      <c r="AJ98" s="166">
        <f t="shared" si="32"/>
        <v>0.8030993209</v>
      </c>
      <c r="AK98" s="180"/>
    </row>
    <row r="99">
      <c r="A99" s="101"/>
      <c r="B99" s="102"/>
      <c r="C99" s="130"/>
      <c r="D99" s="102"/>
      <c r="E99" s="190" t="s">
        <v>355</v>
      </c>
      <c r="F99" s="176" t="s">
        <v>112</v>
      </c>
      <c r="G99" s="361" t="s">
        <v>164</v>
      </c>
      <c r="H99" s="235" t="s">
        <v>165</v>
      </c>
      <c r="I99" s="233">
        <f t="shared" ref="I99:AJ99" si="33">I88/I92</f>
        <v>0.1969006791</v>
      </c>
      <c r="J99" s="233">
        <f t="shared" si="33"/>
        <v>0.1969006791</v>
      </c>
      <c r="K99" s="233">
        <f t="shared" si="33"/>
        <v>0.1969006791</v>
      </c>
      <c r="L99" s="233">
        <f t="shared" si="33"/>
        <v>0.1969006791</v>
      </c>
      <c r="M99" s="233">
        <f t="shared" si="33"/>
        <v>0.1969006791</v>
      </c>
      <c r="N99" s="233">
        <f t="shared" si="33"/>
        <v>0.1969006791</v>
      </c>
      <c r="O99" s="233">
        <f t="shared" si="33"/>
        <v>0.1969006791</v>
      </c>
      <c r="P99" s="233">
        <f t="shared" si="33"/>
        <v>0.1969006791</v>
      </c>
      <c r="Q99" s="233">
        <f t="shared" si="33"/>
        <v>0.1969006791</v>
      </c>
      <c r="R99" s="233">
        <f t="shared" si="33"/>
        <v>0.1969006791</v>
      </c>
      <c r="S99" s="233">
        <f t="shared" si="33"/>
        <v>0.1969006791</v>
      </c>
      <c r="T99" s="233">
        <f t="shared" si="33"/>
        <v>0.1969006791</v>
      </c>
      <c r="U99" s="233">
        <f t="shared" si="33"/>
        <v>0.1969006791</v>
      </c>
      <c r="V99" s="233">
        <f t="shared" si="33"/>
        <v>0.1969006791</v>
      </c>
      <c r="W99" s="233">
        <f t="shared" si="33"/>
        <v>0.1969006791</v>
      </c>
      <c r="X99" s="233">
        <f t="shared" si="33"/>
        <v>0.1969006791</v>
      </c>
      <c r="Y99" s="233">
        <f t="shared" si="33"/>
        <v>0.1969006791</v>
      </c>
      <c r="Z99" s="233">
        <f t="shared" si="33"/>
        <v>0.1969006791</v>
      </c>
      <c r="AA99" s="233">
        <f t="shared" si="33"/>
        <v>0.1969006791</v>
      </c>
      <c r="AB99" s="233">
        <f t="shared" si="33"/>
        <v>0.1969006791</v>
      </c>
      <c r="AC99" s="233">
        <f t="shared" si="33"/>
        <v>0.1969006791</v>
      </c>
      <c r="AD99" s="233">
        <f t="shared" si="33"/>
        <v>0.1969006791</v>
      </c>
      <c r="AE99" s="233">
        <f t="shared" si="33"/>
        <v>0.1969006791</v>
      </c>
      <c r="AF99" s="233">
        <f t="shared" si="33"/>
        <v>0.1969006791</v>
      </c>
      <c r="AG99" s="233">
        <f t="shared" si="33"/>
        <v>0.1969006791</v>
      </c>
      <c r="AH99" s="233">
        <f t="shared" si="33"/>
        <v>0.1969006791</v>
      </c>
      <c r="AI99" s="233">
        <f t="shared" si="33"/>
        <v>0.1969006791</v>
      </c>
      <c r="AJ99" s="233">
        <f t="shared" si="33"/>
        <v>0.1969006791</v>
      </c>
      <c r="AK99" s="239"/>
    </row>
    <row r="100">
      <c r="A100" s="101"/>
      <c r="B100" s="102"/>
      <c r="C100" s="130"/>
      <c r="D100" s="102"/>
      <c r="E100" s="103"/>
      <c r="F100" s="104"/>
      <c r="G100" s="111"/>
      <c r="H100" s="105"/>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7"/>
    </row>
    <row r="101">
      <c r="A101" s="101"/>
      <c r="B101" s="102"/>
      <c r="C101" s="130" t="s">
        <v>359</v>
      </c>
      <c r="F101" s="104"/>
      <c r="G101" s="111"/>
      <c r="H101" s="105"/>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7"/>
    </row>
    <row r="102">
      <c r="A102" s="101"/>
      <c r="B102" s="102"/>
      <c r="C102" s="102"/>
      <c r="D102" s="102"/>
      <c r="E102" s="112" t="s">
        <v>178</v>
      </c>
      <c r="F102" s="671" t="str">
        <f>F21</f>
        <v>$</v>
      </c>
      <c r="G102" s="672" t="s">
        <v>60</v>
      </c>
      <c r="H102" s="117" t="str">
        <f t="shared" ref="H102:AJ102" si="34">H21</f>
        <v>-</v>
      </c>
      <c r="I102" s="297">
        <f t="shared" si="34"/>
        <v>1000000</v>
      </c>
      <c r="J102" s="297">
        <f t="shared" si="34"/>
        <v>1000000</v>
      </c>
      <c r="K102" s="297">
        <f t="shared" si="34"/>
        <v>1000000</v>
      </c>
      <c r="L102" s="297">
        <f t="shared" si="34"/>
        <v>1000000</v>
      </c>
      <c r="M102" s="297">
        <f t="shared" si="34"/>
        <v>1000000</v>
      </c>
      <c r="N102" s="297">
        <f t="shared" si="34"/>
        <v>1000000</v>
      </c>
      <c r="O102" s="297">
        <f t="shared" si="34"/>
        <v>1000000</v>
      </c>
      <c r="P102" s="297">
        <f t="shared" si="34"/>
        <v>1000000</v>
      </c>
      <c r="Q102" s="297">
        <f t="shared" si="34"/>
        <v>1000000</v>
      </c>
      <c r="R102" s="297">
        <f t="shared" si="34"/>
        <v>1000000</v>
      </c>
      <c r="S102" s="297">
        <f t="shared" si="34"/>
        <v>1000000</v>
      </c>
      <c r="T102" s="297">
        <f t="shared" si="34"/>
        <v>1000000</v>
      </c>
      <c r="U102" s="297">
        <f t="shared" si="34"/>
        <v>1000000</v>
      </c>
      <c r="V102" s="297">
        <f t="shared" si="34"/>
        <v>1000000</v>
      </c>
      <c r="W102" s="297">
        <f t="shared" si="34"/>
        <v>1000000</v>
      </c>
      <c r="X102" s="297">
        <f t="shared" si="34"/>
        <v>1000000</v>
      </c>
      <c r="Y102" s="297">
        <f t="shared" si="34"/>
        <v>1000000</v>
      </c>
      <c r="Z102" s="297">
        <f t="shared" si="34"/>
        <v>1000000</v>
      </c>
      <c r="AA102" s="297">
        <f t="shared" si="34"/>
        <v>1000000</v>
      </c>
      <c r="AB102" s="297">
        <f t="shared" si="34"/>
        <v>1000000</v>
      </c>
      <c r="AC102" s="297">
        <f t="shared" si="34"/>
        <v>1000000</v>
      </c>
      <c r="AD102" s="297">
        <f t="shared" si="34"/>
        <v>1000000</v>
      </c>
      <c r="AE102" s="297">
        <f t="shared" si="34"/>
        <v>1000000</v>
      </c>
      <c r="AF102" s="297">
        <f t="shared" si="34"/>
        <v>1000000</v>
      </c>
      <c r="AG102" s="297">
        <f t="shared" si="34"/>
        <v>1000000</v>
      </c>
      <c r="AH102" s="297">
        <f t="shared" si="34"/>
        <v>1000000</v>
      </c>
      <c r="AI102" s="297">
        <f t="shared" si="34"/>
        <v>1000000</v>
      </c>
      <c r="AJ102" s="297">
        <f t="shared" si="34"/>
        <v>1000000</v>
      </c>
      <c r="AK102" s="306"/>
    </row>
    <row r="103">
      <c r="A103" s="101"/>
      <c r="B103" s="102"/>
      <c r="C103" s="102"/>
      <c r="D103" s="102"/>
      <c r="E103" s="144" t="s">
        <v>300</v>
      </c>
      <c r="F103" s="145" t="s">
        <v>101</v>
      </c>
      <c r="G103" s="419" t="s">
        <v>164</v>
      </c>
      <c r="H103" s="223" t="s">
        <v>165</v>
      </c>
      <c r="I103" s="153">
        <f t="shared" ref="I103:AJ103" si="35">I79</f>
        <v>553.3609059</v>
      </c>
      <c r="J103" s="153">
        <f t="shared" si="35"/>
        <v>423.8240432</v>
      </c>
      <c r="K103" s="153">
        <f t="shared" si="35"/>
        <v>239.4659698</v>
      </c>
      <c r="L103" s="153">
        <f t="shared" si="35"/>
        <v>371.1726522</v>
      </c>
      <c r="M103" s="153">
        <f t="shared" si="35"/>
        <v>313.4678109</v>
      </c>
      <c r="N103" s="153">
        <f t="shared" si="35"/>
        <v>128.4426493</v>
      </c>
      <c r="O103" s="153">
        <f t="shared" si="35"/>
        <v>364.9105494</v>
      </c>
      <c r="P103" s="153">
        <f t="shared" si="35"/>
        <v>877.5247342</v>
      </c>
      <c r="Q103" s="153">
        <f t="shared" si="35"/>
        <v>1474.606393</v>
      </c>
      <c r="R103" s="153">
        <f t="shared" si="35"/>
        <v>503.0902231</v>
      </c>
      <c r="S103" s="153">
        <f t="shared" si="35"/>
        <v>108.4653177</v>
      </c>
      <c r="T103" s="153">
        <f t="shared" si="35"/>
        <v>59.72991425</v>
      </c>
      <c r="U103" s="153">
        <f t="shared" si="35"/>
        <v>226.7458432</v>
      </c>
      <c r="V103" s="153">
        <f t="shared" si="35"/>
        <v>126.6013271</v>
      </c>
      <c r="W103" s="153">
        <f t="shared" si="35"/>
        <v>319.0276366</v>
      </c>
      <c r="X103" s="153">
        <f t="shared" si="35"/>
        <v>94.5636909</v>
      </c>
      <c r="Y103" s="153">
        <f t="shared" si="35"/>
        <v>142.71903</v>
      </c>
      <c r="Z103" s="153">
        <f t="shared" si="35"/>
        <v>79.37909823</v>
      </c>
      <c r="AA103" s="153">
        <f t="shared" si="35"/>
        <v>103.2477618</v>
      </c>
      <c r="AB103" s="153">
        <f t="shared" si="35"/>
        <v>283.3466456</v>
      </c>
      <c r="AC103" s="153">
        <f t="shared" si="35"/>
        <v>118.0508736</v>
      </c>
      <c r="AD103" s="153">
        <f t="shared" si="35"/>
        <v>60.24523331</v>
      </c>
      <c r="AE103" s="153">
        <f t="shared" si="35"/>
        <v>184.1408932</v>
      </c>
      <c r="AF103" s="153">
        <f t="shared" si="35"/>
        <v>676.1169046</v>
      </c>
      <c r="AG103" s="153">
        <f t="shared" si="35"/>
        <v>141.1299164</v>
      </c>
      <c r="AH103" s="153">
        <f t="shared" si="35"/>
        <v>669.9553111</v>
      </c>
      <c r="AI103" s="153">
        <f t="shared" si="35"/>
        <v>416.0401757</v>
      </c>
      <c r="AJ103" s="153">
        <f t="shared" si="35"/>
        <v>179.2208638</v>
      </c>
      <c r="AK103" s="168"/>
    </row>
    <row r="104">
      <c r="A104" s="101"/>
      <c r="B104" s="102"/>
      <c r="C104" s="102"/>
      <c r="D104" s="102"/>
      <c r="E104" s="190" t="s">
        <v>359</v>
      </c>
      <c r="F104" s="176" t="s">
        <v>108</v>
      </c>
      <c r="G104" s="361" t="s">
        <v>164</v>
      </c>
      <c r="H104" s="235" t="s">
        <v>165</v>
      </c>
      <c r="I104" s="677">
        <f t="shared" ref="I104:AJ104" si="36">I102/I103</f>
        <v>1807.138866</v>
      </c>
      <c r="J104" s="677">
        <f t="shared" si="36"/>
        <v>2359.469728</v>
      </c>
      <c r="K104" s="677">
        <f t="shared" si="36"/>
        <v>4175.9587</v>
      </c>
      <c r="L104" s="677">
        <f t="shared" si="36"/>
        <v>2694.164007</v>
      </c>
      <c r="M104" s="677">
        <f t="shared" si="36"/>
        <v>3190.120214</v>
      </c>
      <c r="N104" s="677">
        <f t="shared" si="36"/>
        <v>7785.575937</v>
      </c>
      <c r="O104" s="677">
        <f t="shared" si="36"/>
        <v>2740.397617</v>
      </c>
      <c r="P104" s="677">
        <f t="shared" si="36"/>
        <v>1139.569018</v>
      </c>
      <c r="Q104" s="677">
        <f t="shared" si="36"/>
        <v>678.1470666</v>
      </c>
      <c r="R104" s="677">
        <f t="shared" si="36"/>
        <v>1987.715034</v>
      </c>
      <c r="S104" s="677">
        <f t="shared" si="36"/>
        <v>9219.53691</v>
      </c>
      <c r="T104" s="677">
        <f t="shared" si="36"/>
        <v>16742.02973</v>
      </c>
      <c r="U104" s="677">
        <f t="shared" si="36"/>
        <v>4410.224177</v>
      </c>
      <c r="V104" s="677">
        <f t="shared" si="36"/>
        <v>7898.811357</v>
      </c>
      <c r="W104" s="677">
        <f t="shared" si="36"/>
        <v>3134.524678</v>
      </c>
      <c r="X104" s="677">
        <f t="shared" si="36"/>
        <v>10574.88335</v>
      </c>
      <c r="Y104" s="677">
        <f t="shared" si="36"/>
        <v>7006.774081</v>
      </c>
      <c r="Z104" s="677">
        <f t="shared" si="36"/>
        <v>12597.77476</v>
      </c>
      <c r="AA104" s="677">
        <f t="shared" si="36"/>
        <v>9685.439982</v>
      </c>
      <c r="AB104" s="677">
        <f t="shared" si="36"/>
        <v>3529.245945</v>
      </c>
      <c r="AC104" s="677">
        <f t="shared" si="36"/>
        <v>8470.92418</v>
      </c>
      <c r="AD104" s="677">
        <f t="shared" si="36"/>
        <v>16598.82359</v>
      </c>
      <c r="AE104" s="677">
        <f t="shared" si="36"/>
        <v>5430.624251</v>
      </c>
      <c r="AF104" s="677">
        <f t="shared" si="36"/>
        <v>1479.034163</v>
      </c>
      <c r="AG104" s="677">
        <f t="shared" si="36"/>
        <v>7085.669895</v>
      </c>
      <c r="AH104" s="677">
        <f t="shared" si="36"/>
        <v>1492.636872</v>
      </c>
      <c r="AI104" s="677">
        <f t="shared" si="36"/>
        <v>2403.614022</v>
      </c>
      <c r="AJ104" s="677">
        <f t="shared" si="36"/>
        <v>5579.707512</v>
      </c>
      <c r="AK104" s="678"/>
    </row>
    <row r="105">
      <c r="A105" s="101"/>
      <c r="B105" s="102"/>
      <c r="C105" s="102"/>
      <c r="D105" s="102"/>
      <c r="E105" s="103"/>
      <c r="F105" s="104"/>
      <c r="G105" s="111"/>
      <c r="H105" s="105"/>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7"/>
    </row>
    <row r="106">
      <c r="A106" s="99" t="s">
        <v>365</v>
      </c>
      <c r="B106" s="12"/>
      <c r="C106" s="12"/>
      <c r="D106" s="12"/>
      <c r="E106" s="12"/>
      <c r="F106" s="12"/>
      <c r="G106" s="12"/>
      <c r="H106" s="97"/>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100"/>
    </row>
    <row r="107">
      <c r="A107" s="101"/>
      <c r="B107" s="102"/>
      <c r="C107" s="102"/>
      <c r="D107" s="102"/>
      <c r="E107" s="103"/>
      <c r="F107" s="104"/>
      <c r="G107" s="111"/>
      <c r="H107" s="105"/>
      <c r="I107" s="323"/>
      <c r="J107" s="323"/>
      <c r="K107" s="323"/>
      <c r="L107" s="323"/>
      <c r="M107" s="323"/>
      <c r="N107" s="323"/>
      <c r="O107" s="323"/>
      <c r="P107" s="323"/>
      <c r="Q107" s="323"/>
      <c r="R107" s="323"/>
      <c r="S107" s="323"/>
      <c r="T107" s="323"/>
      <c r="U107" s="323"/>
      <c r="V107" s="323"/>
      <c r="W107" s="323"/>
      <c r="X107" s="323"/>
      <c r="Y107" s="323"/>
      <c r="Z107" s="323"/>
      <c r="AA107" s="106"/>
      <c r="AB107" s="106"/>
      <c r="AC107" s="106"/>
      <c r="AD107" s="106"/>
      <c r="AE107" s="106"/>
      <c r="AF107" s="106"/>
      <c r="AG107" s="106"/>
      <c r="AH107" s="106"/>
      <c r="AI107" s="106"/>
      <c r="AJ107" s="106"/>
      <c r="AK107" s="107"/>
    </row>
    <row r="108">
      <c r="A108" s="101"/>
      <c r="B108" s="102"/>
      <c r="C108" s="130" t="s">
        <v>369</v>
      </c>
      <c r="F108" s="104"/>
      <c r="G108" s="111"/>
      <c r="H108" s="105"/>
      <c r="I108" s="680"/>
      <c r="J108" s="323"/>
      <c r="K108" s="323"/>
      <c r="L108" s="323"/>
      <c r="M108" s="323"/>
      <c r="N108" s="323"/>
      <c r="O108" s="323"/>
      <c r="P108" s="323"/>
      <c r="Q108" s="323"/>
      <c r="R108" s="323"/>
      <c r="S108" s="323"/>
      <c r="T108" s="323"/>
      <c r="U108" s="323"/>
      <c r="V108" s="323"/>
      <c r="W108" s="323"/>
      <c r="X108" s="323"/>
      <c r="Y108" s="323"/>
      <c r="Z108" s="323"/>
      <c r="AA108" s="106"/>
      <c r="AB108" s="106"/>
      <c r="AC108" s="106"/>
      <c r="AD108" s="106"/>
      <c r="AE108" s="106"/>
      <c r="AF108" s="106"/>
      <c r="AG108" s="106"/>
      <c r="AH108" s="106"/>
      <c r="AI108" s="106"/>
      <c r="AJ108" s="106"/>
      <c r="AK108" s="107"/>
    </row>
    <row r="109">
      <c r="A109" s="101"/>
      <c r="B109" s="102"/>
      <c r="C109" s="102"/>
      <c r="D109" s="681" t="s">
        <v>370</v>
      </c>
      <c r="E109" s="86"/>
      <c r="F109" s="682"/>
      <c r="G109" s="586"/>
      <c r="H109" s="117"/>
      <c r="I109" s="387"/>
      <c r="J109" s="387"/>
      <c r="K109" s="387"/>
      <c r="L109" s="387"/>
      <c r="M109" s="387"/>
      <c r="N109" s="387"/>
      <c r="O109" s="387"/>
      <c r="P109" s="387"/>
      <c r="Q109" s="387"/>
      <c r="R109" s="387"/>
      <c r="S109" s="387"/>
      <c r="T109" s="387"/>
      <c r="U109" s="387"/>
      <c r="V109" s="387"/>
      <c r="W109" s="387"/>
      <c r="X109" s="387"/>
      <c r="Y109" s="387"/>
      <c r="Z109" s="387"/>
      <c r="AA109" s="387"/>
      <c r="AB109" s="387"/>
      <c r="AC109" s="387"/>
      <c r="AD109" s="387"/>
      <c r="AE109" s="387"/>
      <c r="AF109" s="387"/>
      <c r="AG109" s="387"/>
      <c r="AH109" s="387"/>
      <c r="AI109" s="387"/>
      <c r="AJ109" s="387"/>
      <c r="AK109" s="400"/>
    </row>
    <row r="110">
      <c r="A110" s="101"/>
      <c r="B110" s="102"/>
      <c r="C110" s="102"/>
      <c r="D110" s="102"/>
      <c r="E110" s="112" t="s">
        <v>372</v>
      </c>
      <c r="F110" s="114" t="str">
        <f>Inputs!F169</f>
        <v>%</v>
      </c>
      <c r="G110" s="286" t="str">
        <f>Inputs!G169</f>
        <v>input</v>
      </c>
      <c r="H110" s="211">
        <f>Inputs!H169</f>
        <v>0</v>
      </c>
      <c r="I110" s="386" t="str">
        <f>Inputs!I169</f>
        <v>-</v>
      </c>
      <c r="J110" s="386" t="str">
        <f>Inputs!J169</f>
        <v>-</v>
      </c>
      <c r="K110" s="386" t="str">
        <f>Inputs!K169</f>
        <v>-</v>
      </c>
      <c r="L110" s="386" t="str">
        <f>Inputs!L169</f>
        <v>-</v>
      </c>
      <c r="M110" s="386" t="str">
        <f>Inputs!M169</f>
        <v>-</v>
      </c>
      <c r="N110" s="386" t="str">
        <f>Inputs!N169</f>
        <v>-</v>
      </c>
      <c r="O110" s="386" t="str">
        <f>Inputs!O169</f>
        <v>-</v>
      </c>
      <c r="P110" s="386" t="str">
        <f>Inputs!P169</f>
        <v>-</v>
      </c>
      <c r="Q110" s="386" t="str">
        <f>Inputs!Q169</f>
        <v>-</v>
      </c>
      <c r="R110" s="386" t="str">
        <f>Inputs!R169</f>
        <v>-</v>
      </c>
      <c r="S110" s="386" t="str">
        <f>Inputs!S169</f>
        <v>-</v>
      </c>
      <c r="T110" s="386" t="str">
        <f>Inputs!T169</f>
        <v>-</v>
      </c>
      <c r="U110" s="386" t="str">
        <f>Inputs!U169</f>
        <v>-</v>
      </c>
      <c r="V110" s="386" t="str">
        <f>Inputs!V169</f>
        <v>-</v>
      </c>
      <c r="W110" s="386" t="str">
        <f>Inputs!W169</f>
        <v>-</v>
      </c>
      <c r="X110" s="386" t="str">
        <f>Inputs!X169</f>
        <v>-</v>
      </c>
      <c r="Y110" s="386" t="str">
        <f>Inputs!Y169</f>
        <v>-</v>
      </c>
      <c r="Z110" s="386" t="str">
        <f>Inputs!Z169</f>
        <v>-</v>
      </c>
      <c r="AA110" s="386" t="str">
        <f>Inputs!AA169</f>
        <v>-</v>
      </c>
      <c r="AB110" s="386" t="str">
        <f>Inputs!AB169</f>
        <v>-</v>
      </c>
      <c r="AC110" s="386" t="str">
        <f>Inputs!AC169</f>
        <v>-</v>
      </c>
      <c r="AD110" s="386" t="str">
        <f>Inputs!AD169</f>
        <v>-</v>
      </c>
      <c r="AE110" s="386" t="str">
        <f>Inputs!AE169</f>
        <v>-</v>
      </c>
      <c r="AF110" s="386" t="str">
        <f>Inputs!AF169</f>
        <v>-</v>
      </c>
      <c r="AG110" s="386" t="str">
        <f>Inputs!AG169</f>
        <v>-</v>
      </c>
      <c r="AH110" s="386" t="str">
        <f>Inputs!AH169</f>
        <v>-</v>
      </c>
      <c r="AI110" s="386" t="str">
        <f>Inputs!AI169</f>
        <v>-</v>
      </c>
      <c r="AJ110" s="386" t="str">
        <f>Inputs!AJ169</f>
        <v>-</v>
      </c>
      <c r="AK110" s="264"/>
    </row>
    <row r="111">
      <c r="A111" s="101"/>
      <c r="B111" s="102"/>
      <c r="C111" s="102"/>
      <c r="D111" s="102"/>
      <c r="E111" s="112" t="s">
        <v>376</v>
      </c>
      <c r="F111" s="145" t="str">
        <f>Inputs!F170</f>
        <v>%</v>
      </c>
      <c r="G111" s="419" t="str">
        <f>Inputs!G170</f>
        <v>input</v>
      </c>
      <c r="H111" s="439">
        <f>Inputs!H170</f>
        <v>0</v>
      </c>
      <c r="I111" s="222" t="str">
        <f>Inputs!I170</f>
        <v>-</v>
      </c>
      <c r="J111" s="222" t="str">
        <f>Inputs!J170</f>
        <v>-</v>
      </c>
      <c r="K111" s="222" t="str">
        <f>Inputs!K170</f>
        <v>-</v>
      </c>
      <c r="L111" s="222" t="str">
        <f>Inputs!L170</f>
        <v>-</v>
      </c>
      <c r="M111" s="222" t="str">
        <f>Inputs!M170</f>
        <v>-</v>
      </c>
      <c r="N111" s="222" t="str">
        <f>Inputs!N170</f>
        <v>-</v>
      </c>
      <c r="O111" s="222" t="str">
        <f>Inputs!O170</f>
        <v>-</v>
      </c>
      <c r="P111" s="222" t="str">
        <f>Inputs!P170</f>
        <v>-</v>
      </c>
      <c r="Q111" s="222" t="str">
        <f>Inputs!Q170</f>
        <v>-</v>
      </c>
      <c r="R111" s="222" t="str">
        <f>Inputs!R170</f>
        <v>-</v>
      </c>
      <c r="S111" s="222" t="str">
        <f>Inputs!S170</f>
        <v>-</v>
      </c>
      <c r="T111" s="222" t="str">
        <f>Inputs!T170</f>
        <v>-</v>
      </c>
      <c r="U111" s="222" t="str">
        <f>Inputs!U170</f>
        <v>-</v>
      </c>
      <c r="V111" s="222" t="str">
        <f>Inputs!V170</f>
        <v>-</v>
      </c>
      <c r="W111" s="222" t="str">
        <f>Inputs!W170</f>
        <v>-</v>
      </c>
      <c r="X111" s="222" t="str">
        <f>Inputs!X170</f>
        <v>-</v>
      </c>
      <c r="Y111" s="222" t="str">
        <f>Inputs!Y170</f>
        <v>-</v>
      </c>
      <c r="Z111" s="222" t="str">
        <f>Inputs!Z170</f>
        <v>-</v>
      </c>
      <c r="AA111" s="222" t="str">
        <f>Inputs!AA170</f>
        <v>-</v>
      </c>
      <c r="AB111" s="222" t="str">
        <f>Inputs!AB170</f>
        <v>-</v>
      </c>
      <c r="AC111" s="222" t="str">
        <f>Inputs!AC170</f>
        <v>-</v>
      </c>
      <c r="AD111" s="222" t="str">
        <f>Inputs!AD170</f>
        <v>-</v>
      </c>
      <c r="AE111" s="222" t="str">
        <f>Inputs!AE170</f>
        <v>-</v>
      </c>
      <c r="AF111" s="222" t="str">
        <f>Inputs!AF170</f>
        <v>-</v>
      </c>
      <c r="AG111" s="222" t="str">
        <f>Inputs!AG170</f>
        <v>-</v>
      </c>
      <c r="AH111" s="222" t="str">
        <f>Inputs!AH170</f>
        <v>-</v>
      </c>
      <c r="AI111" s="222" t="str">
        <f>Inputs!AI170</f>
        <v>-</v>
      </c>
      <c r="AJ111" s="222" t="str">
        <f>Inputs!AJ170</f>
        <v>-</v>
      </c>
      <c r="AK111" s="457"/>
    </row>
    <row r="112">
      <c r="A112" s="101"/>
      <c r="B112" s="102"/>
      <c r="C112" s="102"/>
      <c r="D112" s="102"/>
      <c r="E112" s="112" t="s">
        <v>379</v>
      </c>
      <c r="F112" s="145" t="str">
        <f>Inputs!F171</f>
        <v>%</v>
      </c>
      <c r="G112" s="419" t="str">
        <f>Inputs!G171</f>
        <v>input</v>
      </c>
      <c r="H112" s="439">
        <f>Inputs!H171</f>
        <v>0</v>
      </c>
      <c r="I112" s="222" t="str">
        <f>Inputs!I171</f>
        <v>-</v>
      </c>
      <c r="J112" s="222" t="str">
        <f>Inputs!J171</f>
        <v>-</v>
      </c>
      <c r="K112" s="222" t="str">
        <f>Inputs!K171</f>
        <v>-</v>
      </c>
      <c r="L112" s="222" t="str">
        <f>Inputs!L171</f>
        <v>-</v>
      </c>
      <c r="M112" s="222" t="str">
        <f>Inputs!M171</f>
        <v>-</v>
      </c>
      <c r="N112" s="222" t="str">
        <f>Inputs!N171</f>
        <v>-</v>
      </c>
      <c r="O112" s="222" t="str">
        <f>Inputs!O171</f>
        <v>-</v>
      </c>
      <c r="P112" s="222" t="str">
        <f>Inputs!P171</f>
        <v>-</v>
      </c>
      <c r="Q112" s="222" t="str">
        <f>Inputs!Q171</f>
        <v>-</v>
      </c>
      <c r="R112" s="222" t="str">
        <f>Inputs!R171</f>
        <v>-</v>
      </c>
      <c r="S112" s="222" t="str">
        <f>Inputs!S171</f>
        <v>-</v>
      </c>
      <c r="T112" s="222" t="str">
        <f>Inputs!T171</f>
        <v>-</v>
      </c>
      <c r="U112" s="222" t="str">
        <f>Inputs!U171</f>
        <v>-</v>
      </c>
      <c r="V112" s="222" t="str">
        <f>Inputs!V171</f>
        <v>-</v>
      </c>
      <c r="W112" s="222" t="str">
        <f>Inputs!W171</f>
        <v>-</v>
      </c>
      <c r="X112" s="222" t="str">
        <f>Inputs!X171</f>
        <v>-</v>
      </c>
      <c r="Y112" s="222" t="str">
        <f>Inputs!Y171</f>
        <v>-</v>
      </c>
      <c r="Z112" s="222" t="str">
        <f>Inputs!Z171</f>
        <v>-</v>
      </c>
      <c r="AA112" s="222" t="str">
        <f>Inputs!AA171</f>
        <v>-</v>
      </c>
      <c r="AB112" s="222" t="str">
        <f>Inputs!AB171</f>
        <v>-</v>
      </c>
      <c r="AC112" s="222" t="str">
        <f>Inputs!AC171</f>
        <v>-</v>
      </c>
      <c r="AD112" s="222" t="str">
        <f>Inputs!AD171</f>
        <v>-</v>
      </c>
      <c r="AE112" s="222" t="str">
        <f>Inputs!AE171</f>
        <v>-</v>
      </c>
      <c r="AF112" s="222" t="str">
        <f>Inputs!AF171</f>
        <v>-</v>
      </c>
      <c r="AG112" s="222" t="str">
        <f>Inputs!AG171</f>
        <v>-</v>
      </c>
      <c r="AH112" s="222" t="str">
        <f>Inputs!AH171</f>
        <v>-</v>
      </c>
      <c r="AI112" s="222" t="str">
        <f>Inputs!AI171</f>
        <v>-</v>
      </c>
      <c r="AJ112" s="222" t="str">
        <f>Inputs!AJ171</f>
        <v>-</v>
      </c>
      <c r="AK112" s="457"/>
    </row>
    <row r="113">
      <c r="A113" s="101"/>
      <c r="B113" s="102"/>
      <c r="C113" s="102"/>
      <c r="D113" s="681" t="s">
        <v>383</v>
      </c>
      <c r="E113" s="86"/>
      <c r="F113" s="684"/>
      <c r="G113" s="597"/>
      <c r="H113" s="439"/>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87"/>
      <c r="AF113" s="187"/>
      <c r="AG113" s="187"/>
      <c r="AH113" s="187"/>
      <c r="AI113" s="187"/>
      <c r="AJ113" s="187"/>
      <c r="AK113" s="204"/>
    </row>
    <row r="114">
      <c r="A114" s="101"/>
      <c r="B114" s="102"/>
      <c r="C114" s="102"/>
      <c r="D114" s="102"/>
      <c r="E114" s="112" t="s">
        <v>385</v>
      </c>
      <c r="F114" s="145" t="str">
        <f>Inputs!F173</f>
        <v>%</v>
      </c>
      <c r="G114" s="419" t="str">
        <f>Inputs!G173</f>
        <v>input</v>
      </c>
      <c r="H114" s="439" t="str">
        <f>Inputs!H173</f>
        <v>-</v>
      </c>
      <c r="I114" s="222">
        <f>Inputs!I173</f>
        <v>-0.15</v>
      </c>
      <c r="J114" s="222">
        <f>Inputs!J173</f>
        <v>-0.15</v>
      </c>
      <c r="K114" s="222">
        <f>Inputs!K173</f>
        <v>-0.15</v>
      </c>
      <c r="L114" s="222">
        <f>Inputs!L173</f>
        <v>-0.15</v>
      </c>
      <c r="M114" s="222">
        <f>Inputs!M173</f>
        <v>-0.15</v>
      </c>
      <c r="N114" s="222">
        <f>Inputs!N173</f>
        <v>-0.15</v>
      </c>
      <c r="O114" s="222">
        <f>Inputs!O173</f>
        <v>-0.15</v>
      </c>
      <c r="P114" s="222">
        <f>Inputs!P173</f>
        <v>-0.15</v>
      </c>
      <c r="Q114" s="222">
        <f>Inputs!Q173</f>
        <v>-0.15</v>
      </c>
      <c r="R114" s="222">
        <f>Inputs!R173</f>
        <v>-0.15</v>
      </c>
      <c r="S114" s="222">
        <f>Inputs!S173</f>
        <v>-0.15</v>
      </c>
      <c r="T114" s="222">
        <f>Inputs!T173</f>
        <v>-0.15</v>
      </c>
      <c r="U114" s="222">
        <f>Inputs!U173</f>
        <v>-0.15</v>
      </c>
      <c r="V114" s="222">
        <f>Inputs!V173</f>
        <v>-0.15</v>
      </c>
      <c r="W114" s="222">
        <f>Inputs!W173</f>
        <v>-0.15</v>
      </c>
      <c r="X114" s="222">
        <f>Inputs!X173</f>
        <v>-0.15</v>
      </c>
      <c r="Y114" s="222">
        <f>Inputs!Y173</f>
        <v>-0.15</v>
      </c>
      <c r="Z114" s="222">
        <f>Inputs!Z173</f>
        <v>-0.15</v>
      </c>
      <c r="AA114" s="222">
        <f>Inputs!AA173</f>
        <v>-0.15</v>
      </c>
      <c r="AB114" s="222">
        <f>Inputs!AB173</f>
        <v>-0.15</v>
      </c>
      <c r="AC114" s="222">
        <f>Inputs!AC173</f>
        <v>-0.15</v>
      </c>
      <c r="AD114" s="222">
        <f>Inputs!AD173</f>
        <v>-0.15</v>
      </c>
      <c r="AE114" s="222">
        <f>Inputs!AE173</f>
        <v>-0.15</v>
      </c>
      <c r="AF114" s="222">
        <f>Inputs!AF173</f>
        <v>-0.15</v>
      </c>
      <c r="AG114" s="222">
        <f>Inputs!AG173</f>
        <v>-0.15</v>
      </c>
      <c r="AH114" s="222">
        <f>Inputs!AH173</f>
        <v>-0.15</v>
      </c>
      <c r="AI114" s="222">
        <f>Inputs!AI173</f>
        <v>-0.15</v>
      </c>
      <c r="AJ114" s="222">
        <f>Inputs!AJ173</f>
        <v>-0.15</v>
      </c>
      <c r="AK114" s="457"/>
    </row>
    <row r="115">
      <c r="A115" s="101"/>
      <c r="B115" s="102"/>
      <c r="C115" s="102"/>
      <c r="D115" s="102"/>
      <c r="E115" s="112" t="s">
        <v>390</v>
      </c>
      <c r="F115" s="145" t="str">
        <f>Inputs!F174</f>
        <v>%</v>
      </c>
      <c r="G115" s="419" t="str">
        <f>Inputs!G174</f>
        <v>input</v>
      </c>
      <c r="H115" s="439" t="str">
        <f>Inputs!H174</f>
        <v>-</v>
      </c>
      <c r="I115" s="222">
        <f>Inputs!I174</f>
        <v>-0.02</v>
      </c>
      <c r="J115" s="222">
        <f>Inputs!J174</f>
        <v>-0.02</v>
      </c>
      <c r="K115" s="222">
        <f>Inputs!K174</f>
        <v>-0.02</v>
      </c>
      <c r="L115" s="222">
        <f>Inputs!L174</f>
        <v>-0.02</v>
      </c>
      <c r="M115" s="222">
        <f>Inputs!M174</f>
        <v>-0.02</v>
      </c>
      <c r="N115" s="222">
        <f>Inputs!N174</f>
        <v>-0.02</v>
      </c>
      <c r="O115" s="222">
        <f>Inputs!O174</f>
        <v>-0.02</v>
      </c>
      <c r="P115" s="222">
        <f>Inputs!P174</f>
        <v>-0.02</v>
      </c>
      <c r="Q115" s="222">
        <f>Inputs!Q174</f>
        <v>-0.02</v>
      </c>
      <c r="R115" s="222">
        <f>Inputs!R174</f>
        <v>-0.02</v>
      </c>
      <c r="S115" s="222">
        <f>Inputs!S174</f>
        <v>-0.02</v>
      </c>
      <c r="T115" s="222">
        <f>Inputs!T174</f>
        <v>-0.02</v>
      </c>
      <c r="U115" s="222">
        <f>Inputs!U174</f>
        <v>-0.02</v>
      </c>
      <c r="V115" s="222">
        <f>Inputs!V174</f>
        <v>-0.02</v>
      </c>
      <c r="W115" s="222">
        <f>Inputs!W174</f>
        <v>-0.02</v>
      </c>
      <c r="X115" s="222">
        <f>Inputs!X174</f>
        <v>-0.02</v>
      </c>
      <c r="Y115" s="222">
        <f>Inputs!Y174</f>
        <v>-0.02</v>
      </c>
      <c r="Z115" s="222">
        <f>Inputs!Z174</f>
        <v>-0.02</v>
      </c>
      <c r="AA115" s="222">
        <f>Inputs!AA174</f>
        <v>-0.02</v>
      </c>
      <c r="AB115" s="222">
        <f>Inputs!AB174</f>
        <v>-0.02</v>
      </c>
      <c r="AC115" s="222">
        <f>Inputs!AC174</f>
        <v>-0.02</v>
      </c>
      <c r="AD115" s="222">
        <f>Inputs!AD174</f>
        <v>-0.02</v>
      </c>
      <c r="AE115" s="222">
        <f>Inputs!AE174</f>
        <v>-0.02</v>
      </c>
      <c r="AF115" s="222">
        <f>Inputs!AF174</f>
        <v>-0.02</v>
      </c>
      <c r="AG115" s="222">
        <f>Inputs!AG174</f>
        <v>-0.02</v>
      </c>
      <c r="AH115" s="222">
        <f>Inputs!AH174</f>
        <v>-0.02</v>
      </c>
      <c r="AI115" s="222">
        <f>Inputs!AI174</f>
        <v>-0.02</v>
      </c>
      <c r="AJ115" s="222">
        <f>Inputs!AJ174</f>
        <v>-0.02</v>
      </c>
      <c r="AK115" s="457"/>
    </row>
    <row r="116">
      <c r="A116" s="101"/>
      <c r="B116" s="102"/>
      <c r="C116" s="102"/>
      <c r="D116" s="681" t="s">
        <v>397</v>
      </c>
      <c r="E116" s="86"/>
      <c r="F116" s="684"/>
      <c r="G116" s="597"/>
      <c r="H116" s="439"/>
      <c r="I116" s="187"/>
      <c r="J116" s="187"/>
      <c r="K116" s="187"/>
      <c r="L116" s="187"/>
      <c r="M116" s="187"/>
      <c r="N116" s="187"/>
      <c r="O116" s="187"/>
      <c r="P116" s="187"/>
      <c r="Q116" s="187"/>
      <c r="R116" s="187"/>
      <c r="S116" s="187"/>
      <c r="T116" s="187"/>
      <c r="U116" s="187"/>
      <c r="V116" s="187"/>
      <c r="W116" s="187"/>
      <c r="X116" s="187"/>
      <c r="Y116" s="187"/>
      <c r="Z116" s="187"/>
      <c r="AA116" s="187"/>
      <c r="AB116" s="187"/>
      <c r="AC116" s="187"/>
      <c r="AD116" s="187"/>
      <c r="AE116" s="187"/>
      <c r="AF116" s="187"/>
      <c r="AG116" s="187"/>
      <c r="AH116" s="187"/>
      <c r="AI116" s="187"/>
      <c r="AJ116" s="187"/>
      <c r="AK116" s="204"/>
    </row>
    <row r="117">
      <c r="A117" s="101"/>
      <c r="B117" s="102"/>
      <c r="C117" s="102"/>
      <c r="D117" s="102"/>
      <c r="E117" s="112" t="s">
        <v>399</v>
      </c>
      <c r="F117" s="145" t="str">
        <f>Inputs!F176</f>
        <v>%</v>
      </c>
      <c r="G117" s="419" t="str">
        <f>Inputs!G176</f>
        <v>input</v>
      </c>
      <c r="H117" s="439" t="str">
        <f>Inputs!H176</f>
        <v>-</v>
      </c>
      <c r="I117" s="222">
        <f>Inputs!I176</f>
        <v>0</v>
      </c>
      <c r="J117" s="222">
        <f>Inputs!J176</f>
        <v>0</v>
      </c>
      <c r="K117" s="222">
        <f>Inputs!K176</f>
        <v>0</v>
      </c>
      <c r="L117" s="222">
        <f>Inputs!L176</f>
        <v>0</v>
      </c>
      <c r="M117" s="222">
        <f>Inputs!M176</f>
        <v>0</v>
      </c>
      <c r="N117" s="222">
        <f>Inputs!N176</f>
        <v>0</v>
      </c>
      <c r="O117" s="222">
        <f>Inputs!O176</f>
        <v>0</v>
      </c>
      <c r="P117" s="222">
        <f>Inputs!P176</f>
        <v>0</v>
      </c>
      <c r="Q117" s="222">
        <f>Inputs!Q176</f>
        <v>0</v>
      </c>
      <c r="R117" s="222">
        <f>Inputs!R176</f>
        <v>0</v>
      </c>
      <c r="S117" s="222">
        <f>Inputs!S176</f>
        <v>0</v>
      </c>
      <c r="T117" s="222">
        <f>Inputs!T176</f>
        <v>0</v>
      </c>
      <c r="U117" s="222">
        <f>Inputs!U176</f>
        <v>0</v>
      </c>
      <c r="V117" s="222">
        <f>Inputs!V176</f>
        <v>0</v>
      </c>
      <c r="W117" s="222">
        <f>Inputs!W176</f>
        <v>0</v>
      </c>
      <c r="X117" s="222">
        <f>Inputs!X176</f>
        <v>0</v>
      </c>
      <c r="Y117" s="222">
        <f>Inputs!Y176</f>
        <v>0</v>
      </c>
      <c r="Z117" s="222">
        <f>Inputs!Z176</f>
        <v>0</v>
      </c>
      <c r="AA117" s="222">
        <f>Inputs!AA176</f>
        <v>0</v>
      </c>
      <c r="AB117" s="222">
        <f>Inputs!AB176</f>
        <v>0</v>
      </c>
      <c r="AC117" s="222">
        <f>Inputs!AC176</f>
        <v>0</v>
      </c>
      <c r="AD117" s="222">
        <f>Inputs!AD176</f>
        <v>0</v>
      </c>
      <c r="AE117" s="222">
        <f>Inputs!AE176</f>
        <v>0</v>
      </c>
      <c r="AF117" s="222">
        <f>Inputs!AF176</f>
        <v>0</v>
      </c>
      <c r="AG117" s="222">
        <f>Inputs!AG176</f>
        <v>-0.05</v>
      </c>
      <c r="AH117" s="222">
        <f>Inputs!AH176</f>
        <v>-0.05</v>
      </c>
      <c r="AI117" s="222">
        <f>Inputs!AI176</f>
        <v>-0.05</v>
      </c>
      <c r="AJ117" s="222">
        <f>Inputs!AJ176</f>
        <v>-0.05</v>
      </c>
      <c r="AK117" s="457"/>
    </row>
    <row r="118">
      <c r="A118" s="101"/>
      <c r="B118" s="102"/>
      <c r="C118" s="102"/>
      <c r="D118" s="102"/>
      <c r="E118" s="112" t="s">
        <v>404</v>
      </c>
      <c r="F118" s="145" t="str">
        <f>Inputs!F177</f>
        <v>%</v>
      </c>
      <c r="G118" s="419" t="str">
        <f>Inputs!G177</f>
        <v>input</v>
      </c>
      <c r="H118" s="439" t="str">
        <f>Inputs!H177</f>
        <v>-</v>
      </c>
      <c r="I118" s="222">
        <f>Inputs!I177</f>
        <v>0</v>
      </c>
      <c r="J118" s="222">
        <f>Inputs!J177</f>
        <v>0</v>
      </c>
      <c r="K118" s="222">
        <f>Inputs!K177</f>
        <v>0</v>
      </c>
      <c r="L118" s="222">
        <f>Inputs!L177</f>
        <v>0</v>
      </c>
      <c r="M118" s="222">
        <f>Inputs!M177</f>
        <v>0</v>
      </c>
      <c r="N118" s="222">
        <f>Inputs!N177</f>
        <v>0</v>
      </c>
      <c r="O118" s="222">
        <f>Inputs!O177</f>
        <v>0</v>
      </c>
      <c r="P118" s="222">
        <f>Inputs!P177</f>
        <v>0</v>
      </c>
      <c r="Q118" s="222">
        <f>Inputs!Q177</f>
        <v>0</v>
      </c>
      <c r="R118" s="222">
        <f>Inputs!R177</f>
        <v>0</v>
      </c>
      <c r="S118" s="222">
        <f>Inputs!S177</f>
        <v>0</v>
      </c>
      <c r="T118" s="222">
        <f>Inputs!T177</f>
        <v>0</v>
      </c>
      <c r="U118" s="222">
        <f>Inputs!U177</f>
        <v>0</v>
      </c>
      <c r="V118" s="222">
        <f>Inputs!V177</f>
        <v>0</v>
      </c>
      <c r="W118" s="222">
        <f>Inputs!W177</f>
        <v>0</v>
      </c>
      <c r="X118" s="222">
        <f>Inputs!X177</f>
        <v>0</v>
      </c>
      <c r="Y118" s="222">
        <f>Inputs!Y177</f>
        <v>0</v>
      </c>
      <c r="Z118" s="222">
        <f>Inputs!Z177</f>
        <v>0</v>
      </c>
      <c r="AA118" s="222">
        <f>Inputs!AA177</f>
        <v>0</v>
      </c>
      <c r="AB118" s="222">
        <f>Inputs!AB177</f>
        <v>0</v>
      </c>
      <c r="AC118" s="222">
        <f>Inputs!AC177</f>
        <v>0</v>
      </c>
      <c r="AD118" s="222">
        <f>Inputs!AD177</f>
        <v>0</v>
      </c>
      <c r="AE118" s="222">
        <f>Inputs!AE177</f>
        <v>0</v>
      </c>
      <c r="AF118" s="222">
        <f>Inputs!AF177</f>
        <v>0</v>
      </c>
      <c r="AG118" s="222">
        <f>Inputs!AG177</f>
        <v>0</v>
      </c>
      <c r="AH118" s="222">
        <f>Inputs!AH177</f>
        <v>0</v>
      </c>
      <c r="AI118" s="222">
        <f>Inputs!AI177</f>
        <v>0</v>
      </c>
      <c r="AJ118" s="222">
        <f>Inputs!AJ177</f>
        <v>0</v>
      </c>
      <c r="AK118" s="457"/>
    </row>
    <row r="119">
      <c r="A119" s="101"/>
      <c r="B119" s="102"/>
      <c r="C119" s="102"/>
      <c r="D119" s="102"/>
      <c r="E119" s="112" t="s">
        <v>406</v>
      </c>
      <c r="F119" s="145" t="str">
        <f>Inputs!F178</f>
        <v>%</v>
      </c>
      <c r="G119" s="419" t="str">
        <f>Inputs!G178</f>
        <v>input</v>
      </c>
      <c r="H119" s="439" t="str">
        <f>Inputs!H178</f>
        <v>-</v>
      </c>
      <c r="I119" s="222">
        <f>Inputs!I178</f>
        <v>-0.05</v>
      </c>
      <c r="J119" s="222">
        <f>Inputs!J178</f>
        <v>-0.05</v>
      </c>
      <c r="K119" s="222">
        <f>Inputs!K178</f>
        <v>-0.05</v>
      </c>
      <c r="L119" s="222">
        <f>Inputs!L178</f>
        <v>-0.05</v>
      </c>
      <c r="M119" s="222">
        <f>Inputs!M178</f>
        <v>-0.05</v>
      </c>
      <c r="N119" s="222">
        <f>Inputs!N178</f>
        <v>-0.05</v>
      </c>
      <c r="O119" s="222">
        <f>Inputs!O178</f>
        <v>-0.05</v>
      </c>
      <c r="P119" s="222">
        <f>Inputs!P178</f>
        <v>-0.05</v>
      </c>
      <c r="Q119" s="222">
        <f>Inputs!Q178</f>
        <v>-0.05</v>
      </c>
      <c r="R119" s="222">
        <f>Inputs!R178</f>
        <v>-0.05</v>
      </c>
      <c r="S119" s="222">
        <f>Inputs!S178</f>
        <v>-0.05</v>
      </c>
      <c r="T119" s="222">
        <f>Inputs!T178</f>
        <v>-0.05</v>
      </c>
      <c r="U119" s="222">
        <f>Inputs!U178</f>
        <v>-0.05</v>
      </c>
      <c r="V119" s="222">
        <f>Inputs!V178</f>
        <v>-0.05</v>
      </c>
      <c r="W119" s="222">
        <f>Inputs!W178</f>
        <v>-0.05</v>
      </c>
      <c r="X119" s="222">
        <f>Inputs!X178</f>
        <v>-0.05</v>
      </c>
      <c r="Y119" s="222">
        <f>Inputs!Y178</f>
        <v>-0.05</v>
      </c>
      <c r="Z119" s="222">
        <f>Inputs!Z178</f>
        <v>-0.05</v>
      </c>
      <c r="AA119" s="222">
        <f>Inputs!AA178</f>
        <v>-0.05</v>
      </c>
      <c r="AB119" s="222">
        <f>Inputs!AB178</f>
        <v>-0.05</v>
      </c>
      <c r="AC119" s="222">
        <f>Inputs!AC178</f>
        <v>-0.05</v>
      </c>
      <c r="AD119" s="222">
        <f>Inputs!AD178</f>
        <v>-0.05</v>
      </c>
      <c r="AE119" s="222">
        <f>Inputs!AE178</f>
        <v>-0.05</v>
      </c>
      <c r="AF119" s="222">
        <f>Inputs!AF178</f>
        <v>-0.05</v>
      </c>
      <c r="AG119" s="222">
        <f>Inputs!AG178</f>
        <v>-0.02</v>
      </c>
      <c r="AH119" s="222">
        <f>Inputs!AH178</f>
        <v>-0.02</v>
      </c>
      <c r="AI119" s="222">
        <f>Inputs!AI178</f>
        <v>-0.02</v>
      </c>
      <c r="AJ119" s="222">
        <f>Inputs!AJ178</f>
        <v>-0.02</v>
      </c>
      <c r="AK119" s="457"/>
    </row>
    <row r="120">
      <c r="A120" s="101"/>
      <c r="B120" s="102"/>
      <c r="C120" s="102"/>
      <c r="D120" s="701"/>
      <c r="E120" s="702"/>
      <c r="F120" s="132"/>
      <c r="G120" s="242"/>
      <c r="H120" s="405"/>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5"/>
    </row>
    <row r="121">
      <c r="A121" s="101"/>
      <c r="B121" s="102"/>
      <c r="C121" s="102"/>
      <c r="D121" s="703" t="s">
        <v>282</v>
      </c>
      <c r="E121" s="47"/>
      <c r="F121" s="121" t="s">
        <v>112</v>
      </c>
      <c r="G121" s="248" t="s">
        <v>164</v>
      </c>
      <c r="H121" s="249" t="s">
        <v>165</v>
      </c>
      <c r="I121" s="290">
        <f t="shared" ref="I121:AJ121" si="37">SUM($H110:$H119,I110:I119)</f>
        <v>-0.22</v>
      </c>
      <c r="J121" s="290">
        <f t="shared" si="37"/>
        <v>-0.22</v>
      </c>
      <c r="K121" s="290">
        <f t="shared" si="37"/>
        <v>-0.22</v>
      </c>
      <c r="L121" s="290">
        <f t="shared" si="37"/>
        <v>-0.22</v>
      </c>
      <c r="M121" s="290">
        <f t="shared" si="37"/>
        <v>-0.22</v>
      </c>
      <c r="N121" s="290">
        <f t="shared" si="37"/>
        <v>-0.22</v>
      </c>
      <c r="O121" s="290">
        <f t="shared" si="37"/>
        <v>-0.22</v>
      </c>
      <c r="P121" s="290">
        <f t="shared" si="37"/>
        <v>-0.22</v>
      </c>
      <c r="Q121" s="290">
        <f t="shared" si="37"/>
        <v>-0.22</v>
      </c>
      <c r="R121" s="290">
        <f t="shared" si="37"/>
        <v>-0.22</v>
      </c>
      <c r="S121" s="290">
        <f t="shared" si="37"/>
        <v>-0.22</v>
      </c>
      <c r="T121" s="290">
        <f t="shared" si="37"/>
        <v>-0.22</v>
      </c>
      <c r="U121" s="290">
        <f t="shared" si="37"/>
        <v>-0.22</v>
      </c>
      <c r="V121" s="290">
        <f t="shared" si="37"/>
        <v>-0.22</v>
      </c>
      <c r="W121" s="290">
        <f t="shared" si="37"/>
        <v>-0.22</v>
      </c>
      <c r="X121" s="290">
        <f t="shared" si="37"/>
        <v>-0.22</v>
      </c>
      <c r="Y121" s="290">
        <f t="shared" si="37"/>
        <v>-0.22</v>
      </c>
      <c r="Z121" s="290">
        <f t="shared" si="37"/>
        <v>-0.22</v>
      </c>
      <c r="AA121" s="290">
        <f t="shared" si="37"/>
        <v>-0.22</v>
      </c>
      <c r="AB121" s="290">
        <f t="shared" si="37"/>
        <v>-0.22</v>
      </c>
      <c r="AC121" s="290">
        <f t="shared" si="37"/>
        <v>-0.22</v>
      </c>
      <c r="AD121" s="290">
        <f t="shared" si="37"/>
        <v>-0.22</v>
      </c>
      <c r="AE121" s="290">
        <f t="shared" si="37"/>
        <v>-0.22</v>
      </c>
      <c r="AF121" s="290">
        <f t="shared" si="37"/>
        <v>-0.22</v>
      </c>
      <c r="AG121" s="290">
        <f t="shared" si="37"/>
        <v>-0.24</v>
      </c>
      <c r="AH121" s="290">
        <f t="shared" si="37"/>
        <v>-0.24</v>
      </c>
      <c r="AI121" s="290">
        <f t="shared" si="37"/>
        <v>-0.24</v>
      </c>
      <c r="AJ121" s="290">
        <f t="shared" si="37"/>
        <v>-0.24</v>
      </c>
      <c r="AK121" s="686"/>
    </row>
    <row r="122">
      <c r="A122" s="101"/>
      <c r="B122" s="102"/>
      <c r="C122" s="102"/>
      <c r="D122" s="102"/>
      <c r="E122" s="103"/>
      <c r="F122" s="104"/>
      <c r="G122" s="111"/>
      <c r="H122" s="105"/>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7"/>
    </row>
    <row r="123">
      <c r="A123" s="101"/>
      <c r="B123" s="102"/>
      <c r="C123" s="109" t="s">
        <v>415</v>
      </c>
      <c r="F123" s="104"/>
      <c r="G123" s="111"/>
      <c r="H123" s="105"/>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7"/>
    </row>
    <row r="124">
      <c r="A124" s="101"/>
      <c r="B124" s="102"/>
      <c r="C124" s="102"/>
      <c r="D124" s="681" t="s">
        <v>416</v>
      </c>
      <c r="E124" s="86"/>
      <c r="F124" s="114"/>
      <c r="G124" s="286"/>
      <c r="H124" s="211"/>
      <c r="I124" s="161"/>
      <c r="J124" s="161"/>
      <c r="K124" s="161"/>
      <c r="L124" s="161"/>
      <c r="M124" s="161"/>
      <c r="N124" s="161"/>
      <c r="O124" s="161"/>
      <c r="P124" s="161"/>
      <c r="Q124" s="161"/>
      <c r="R124" s="161"/>
      <c r="S124" s="161"/>
      <c r="T124" s="161"/>
      <c r="U124" s="161"/>
      <c r="V124" s="161"/>
      <c r="W124" s="161"/>
      <c r="X124" s="161"/>
      <c r="Y124" s="161"/>
      <c r="Z124" s="161"/>
      <c r="AA124" s="161"/>
      <c r="AB124" s="161"/>
      <c r="AC124" s="161"/>
      <c r="AD124" s="161"/>
      <c r="AE124" s="161"/>
      <c r="AF124" s="161"/>
      <c r="AG124" s="161"/>
      <c r="AH124" s="161"/>
      <c r="AI124" s="161"/>
      <c r="AJ124" s="161"/>
      <c r="AK124" s="264"/>
    </row>
    <row r="125">
      <c r="A125" s="101"/>
      <c r="B125" s="102"/>
      <c r="C125" s="102"/>
      <c r="D125" s="701"/>
      <c r="E125" s="112" t="s">
        <v>417</v>
      </c>
      <c r="F125" s="114" t="str">
        <f>Inputs!F181</f>
        <v>%</v>
      </c>
      <c r="G125" s="286" t="str">
        <f>Inputs!G181</f>
        <v>input</v>
      </c>
      <c r="H125" s="211">
        <f>Inputs!H181</f>
        <v>0.06</v>
      </c>
      <c r="I125" s="161" t="str">
        <f>Inputs!I181</f>
        <v>-</v>
      </c>
      <c r="J125" s="161" t="str">
        <f>Inputs!J181</f>
        <v>-</v>
      </c>
      <c r="K125" s="161" t="str">
        <f>Inputs!K181</f>
        <v>-</v>
      </c>
      <c r="L125" s="161" t="str">
        <f>Inputs!L181</f>
        <v>-</v>
      </c>
      <c r="M125" s="161" t="str">
        <f>Inputs!M181</f>
        <v>-</v>
      </c>
      <c r="N125" s="161" t="str">
        <f>Inputs!N181</f>
        <v>-</v>
      </c>
      <c r="O125" s="161" t="str">
        <f>Inputs!O181</f>
        <v>-</v>
      </c>
      <c r="P125" s="161" t="str">
        <f>Inputs!P181</f>
        <v>-</v>
      </c>
      <c r="Q125" s="161" t="str">
        <f>Inputs!Q181</f>
        <v>-</v>
      </c>
      <c r="R125" s="161" t="str">
        <f>Inputs!R181</f>
        <v>-</v>
      </c>
      <c r="S125" s="161" t="str">
        <f>Inputs!S181</f>
        <v>-</v>
      </c>
      <c r="T125" s="161" t="str">
        <f>Inputs!T181</f>
        <v>-</v>
      </c>
      <c r="U125" s="161" t="str">
        <f>Inputs!U181</f>
        <v>-</v>
      </c>
      <c r="V125" s="161" t="str">
        <f>Inputs!V181</f>
        <v>-</v>
      </c>
      <c r="W125" s="161" t="str">
        <f>Inputs!W181</f>
        <v>-</v>
      </c>
      <c r="X125" s="161" t="str">
        <f>Inputs!X181</f>
        <v>-</v>
      </c>
      <c r="Y125" s="161" t="str">
        <f>Inputs!Y181</f>
        <v>-</v>
      </c>
      <c r="Z125" s="161" t="str">
        <f>Inputs!Z181</f>
        <v>-</v>
      </c>
      <c r="AA125" s="161" t="str">
        <f>Inputs!AA181</f>
        <v>-</v>
      </c>
      <c r="AB125" s="161" t="str">
        <f>Inputs!AB181</f>
        <v>-</v>
      </c>
      <c r="AC125" s="161" t="str">
        <f>Inputs!AC181</f>
        <v>-</v>
      </c>
      <c r="AD125" s="161" t="str">
        <f>Inputs!AD181</f>
        <v>-</v>
      </c>
      <c r="AE125" s="161" t="str">
        <f>Inputs!AE181</f>
        <v>-</v>
      </c>
      <c r="AF125" s="161" t="str">
        <f>Inputs!AF181</f>
        <v>-</v>
      </c>
      <c r="AG125" s="161" t="str">
        <f>Inputs!AG181</f>
        <v>-</v>
      </c>
      <c r="AH125" s="161" t="str">
        <f>Inputs!AH181</f>
        <v>-</v>
      </c>
      <c r="AI125" s="161" t="str">
        <f>Inputs!AI181</f>
        <v>-</v>
      </c>
      <c r="AJ125" s="161" t="str">
        <f>Inputs!AJ181</f>
        <v>-</v>
      </c>
      <c r="AK125" s="264"/>
    </row>
    <row r="126">
      <c r="A126" s="101"/>
      <c r="B126" s="102"/>
      <c r="C126" s="102"/>
      <c r="D126" s="102"/>
      <c r="E126" s="112" t="s">
        <v>420</v>
      </c>
      <c r="F126" s="145" t="str">
        <f>Inputs!F182</f>
        <v>%</v>
      </c>
      <c r="G126" s="419" t="str">
        <f>Inputs!G182</f>
        <v>input</v>
      </c>
      <c r="H126" s="316">
        <f>Inputs!H182</f>
        <v>0.09</v>
      </c>
      <c r="I126" s="222" t="str">
        <f>Inputs!I182</f>
        <v>-</v>
      </c>
      <c r="J126" s="222" t="str">
        <f>Inputs!J182</f>
        <v>-</v>
      </c>
      <c r="K126" s="222" t="str">
        <f>Inputs!K182</f>
        <v>-</v>
      </c>
      <c r="L126" s="222" t="str">
        <f>Inputs!L182</f>
        <v>-</v>
      </c>
      <c r="M126" s="222" t="str">
        <f>Inputs!M182</f>
        <v>-</v>
      </c>
      <c r="N126" s="222" t="str">
        <f>Inputs!N182</f>
        <v>-</v>
      </c>
      <c r="O126" s="222" t="str">
        <f>Inputs!O182</f>
        <v>-</v>
      </c>
      <c r="P126" s="222" t="str">
        <f>Inputs!P182</f>
        <v>-</v>
      </c>
      <c r="Q126" s="222" t="str">
        <f>Inputs!Q182</f>
        <v>-</v>
      </c>
      <c r="R126" s="222" t="str">
        <f>Inputs!R182</f>
        <v>-</v>
      </c>
      <c r="S126" s="222" t="str">
        <f>Inputs!S182</f>
        <v>-</v>
      </c>
      <c r="T126" s="222" t="str">
        <f>Inputs!T182</f>
        <v>-</v>
      </c>
      <c r="U126" s="222" t="str">
        <f>Inputs!U182</f>
        <v>-</v>
      </c>
      <c r="V126" s="222" t="str">
        <f>Inputs!V182</f>
        <v>-</v>
      </c>
      <c r="W126" s="222" t="str">
        <f>Inputs!W182</f>
        <v>-</v>
      </c>
      <c r="X126" s="222" t="str">
        <f>Inputs!X182</f>
        <v>-</v>
      </c>
      <c r="Y126" s="222" t="str">
        <f>Inputs!Y182</f>
        <v>-</v>
      </c>
      <c r="Z126" s="222" t="str">
        <f>Inputs!Z182</f>
        <v>-</v>
      </c>
      <c r="AA126" s="222" t="str">
        <f>Inputs!AA182</f>
        <v>-</v>
      </c>
      <c r="AB126" s="222" t="str">
        <f>Inputs!AB182</f>
        <v>-</v>
      </c>
      <c r="AC126" s="222" t="str">
        <f>Inputs!AC182</f>
        <v>-</v>
      </c>
      <c r="AD126" s="222" t="str">
        <f>Inputs!AD182</f>
        <v>-</v>
      </c>
      <c r="AE126" s="222" t="str">
        <f>Inputs!AE182</f>
        <v>-</v>
      </c>
      <c r="AF126" s="222" t="str">
        <f>Inputs!AF182</f>
        <v>-</v>
      </c>
      <c r="AG126" s="222" t="str">
        <f>Inputs!AG182</f>
        <v>-</v>
      </c>
      <c r="AH126" s="222" t="str">
        <f>Inputs!AH182</f>
        <v>-</v>
      </c>
      <c r="AI126" s="222" t="str">
        <f>Inputs!AI182</f>
        <v>-</v>
      </c>
      <c r="AJ126" s="222" t="str">
        <f>Inputs!AJ182</f>
        <v>-</v>
      </c>
      <c r="AK126" s="457"/>
    </row>
    <row r="127">
      <c r="A127" s="101"/>
      <c r="B127" s="102"/>
      <c r="C127" s="102"/>
      <c r="D127" s="102"/>
      <c r="E127" s="112" t="s">
        <v>423</v>
      </c>
      <c r="F127" s="145" t="str">
        <f>Inputs!F183</f>
        <v>%</v>
      </c>
      <c r="G127" s="419" t="str">
        <f>Inputs!G183</f>
        <v>input</v>
      </c>
      <c r="H127" s="316">
        <f>Inputs!H183</f>
        <v>0.03</v>
      </c>
      <c r="I127" s="222" t="str">
        <f>Inputs!I183</f>
        <v>-</v>
      </c>
      <c r="J127" s="222" t="str">
        <f>Inputs!J183</f>
        <v>-</v>
      </c>
      <c r="K127" s="222" t="str">
        <f>Inputs!K183</f>
        <v>-</v>
      </c>
      <c r="L127" s="222" t="str">
        <f>Inputs!L183</f>
        <v>-</v>
      </c>
      <c r="M127" s="222" t="str">
        <f>Inputs!M183</f>
        <v>-</v>
      </c>
      <c r="N127" s="222" t="str">
        <f>Inputs!N183</f>
        <v>-</v>
      </c>
      <c r="O127" s="222" t="str">
        <f>Inputs!O183</f>
        <v>-</v>
      </c>
      <c r="P127" s="222" t="str">
        <f>Inputs!P183</f>
        <v>-</v>
      </c>
      <c r="Q127" s="222" t="str">
        <f>Inputs!Q183</f>
        <v>-</v>
      </c>
      <c r="R127" s="222" t="str">
        <f>Inputs!R183</f>
        <v>-</v>
      </c>
      <c r="S127" s="222" t="str">
        <f>Inputs!S183</f>
        <v>-</v>
      </c>
      <c r="T127" s="222" t="str">
        <f>Inputs!T183</f>
        <v>-</v>
      </c>
      <c r="U127" s="222" t="str">
        <f>Inputs!U183</f>
        <v>-</v>
      </c>
      <c r="V127" s="222" t="str">
        <f>Inputs!V183</f>
        <v>-</v>
      </c>
      <c r="W127" s="222" t="str">
        <f>Inputs!W183</f>
        <v>-</v>
      </c>
      <c r="X127" s="222" t="str">
        <f>Inputs!X183</f>
        <v>-</v>
      </c>
      <c r="Y127" s="222" t="str">
        <f>Inputs!Y183</f>
        <v>-</v>
      </c>
      <c r="Z127" s="222" t="str">
        <f>Inputs!Z183</f>
        <v>-</v>
      </c>
      <c r="AA127" s="222" t="str">
        <f>Inputs!AA183</f>
        <v>-</v>
      </c>
      <c r="AB127" s="222" t="str">
        <f>Inputs!AB183</f>
        <v>-</v>
      </c>
      <c r="AC127" s="222" t="str">
        <f>Inputs!AC183</f>
        <v>-</v>
      </c>
      <c r="AD127" s="222" t="str">
        <f>Inputs!AD183</f>
        <v>-</v>
      </c>
      <c r="AE127" s="222" t="str">
        <f>Inputs!AE183</f>
        <v>-</v>
      </c>
      <c r="AF127" s="222" t="str">
        <f>Inputs!AF183</f>
        <v>-</v>
      </c>
      <c r="AG127" s="222" t="str">
        <f>Inputs!AG183</f>
        <v>-</v>
      </c>
      <c r="AH127" s="222" t="str">
        <f>Inputs!AH183</f>
        <v>-</v>
      </c>
      <c r="AI127" s="222" t="str">
        <f>Inputs!AI183</f>
        <v>-</v>
      </c>
      <c r="AJ127" s="222" t="str">
        <f>Inputs!AJ183</f>
        <v>-</v>
      </c>
      <c r="AK127" s="457"/>
    </row>
    <row r="128">
      <c r="A128" s="101"/>
      <c r="B128" s="102"/>
      <c r="C128" s="102"/>
      <c r="D128" s="102"/>
      <c r="E128" s="112" t="s">
        <v>427</v>
      </c>
      <c r="F128" s="145" t="str">
        <f>Inputs!F184</f>
        <v>%</v>
      </c>
      <c r="G128" s="419" t="str">
        <f>Inputs!G184</f>
        <v>input</v>
      </c>
      <c r="H128" s="316">
        <f>Inputs!H184</f>
        <v>0.09</v>
      </c>
      <c r="I128" s="222" t="str">
        <f>Inputs!I184</f>
        <v>-</v>
      </c>
      <c r="J128" s="222" t="str">
        <f>Inputs!J184</f>
        <v>-</v>
      </c>
      <c r="K128" s="222" t="str">
        <f>Inputs!K184</f>
        <v>-</v>
      </c>
      <c r="L128" s="222" t="str">
        <f>Inputs!L184</f>
        <v>-</v>
      </c>
      <c r="M128" s="222" t="str">
        <f>Inputs!M184</f>
        <v>-</v>
      </c>
      <c r="N128" s="222" t="str">
        <f>Inputs!N184</f>
        <v>-</v>
      </c>
      <c r="O128" s="222" t="str">
        <f>Inputs!O184</f>
        <v>-</v>
      </c>
      <c r="P128" s="222" t="str">
        <f>Inputs!P184</f>
        <v>-</v>
      </c>
      <c r="Q128" s="222" t="str">
        <f>Inputs!Q184</f>
        <v>-</v>
      </c>
      <c r="R128" s="222" t="str">
        <f>Inputs!R184</f>
        <v>-</v>
      </c>
      <c r="S128" s="222" t="str">
        <f>Inputs!S184</f>
        <v>-</v>
      </c>
      <c r="T128" s="222" t="str">
        <f>Inputs!T184</f>
        <v>-</v>
      </c>
      <c r="U128" s="222" t="str">
        <f>Inputs!U184</f>
        <v>-</v>
      </c>
      <c r="V128" s="222" t="str">
        <f>Inputs!V184</f>
        <v>-</v>
      </c>
      <c r="W128" s="222" t="str">
        <f>Inputs!W184</f>
        <v>-</v>
      </c>
      <c r="X128" s="222" t="str">
        <f>Inputs!X184</f>
        <v>-</v>
      </c>
      <c r="Y128" s="222" t="str">
        <f>Inputs!Y184</f>
        <v>-</v>
      </c>
      <c r="Z128" s="222" t="str">
        <f>Inputs!Z184</f>
        <v>-</v>
      </c>
      <c r="AA128" s="222" t="str">
        <f>Inputs!AA184</f>
        <v>-</v>
      </c>
      <c r="AB128" s="222" t="str">
        <f>Inputs!AB184</f>
        <v>-</v>
      </c>
      <c r="AC128" s="222" t="str">
        <f>Inputs!AC184</f>
        <v>-</v>
      </c>
      <c r="AD128" s="222" t="str">
        <f>Inputs!AD184</f>
        <v>-</v>
      </c>
      <c r="AE128" s="222" t="str">
        <f>Inputs!AE184</f>
        <v>-</v>
      </c>
      <c r="AF128" s="222" t="str">
        <f>Inputs!AF184</f>
        <v>-</v>
      </c>
      <c r="AG128" s="222" t="str">
        <f>Inputs!AG184</f>
        <v>-</v>
      </c>
      <c r="AH128" s="222" t="str">
        <f>Inputs!AH184</f>
        <v>-</v>
      </c>
      <c r="AI128" s="222" t="str">
        <f>Inputs!AI184</f>
        <v>-</v>
      </c>
      <c r="AJ128" s="222" t="str">
        <f>Inputs!AJ184</f>
        <v>-</v>
      </c>
      <c r="AK128" s="457"/>
    </row>
    <row r="129">
      <c r="A129" s="101"/>
      <c r="B129" s="102"/>
      <c r="C129" s="102"/>
      <c r="D129" s="102"/>
      <c r="E129" s="112" t="s">
        <v>429</v>
      </c>
      <c r="F129" s="145" t="str">
        <f>Inputs!F185</f>
        <v>%</v>
      </c>
      <c r="G129" s="419" t="str">
        <f>Inputs!G185</f>
        <v>input</v>
      </c>
      <c r="H129" s="316">
        <f>Inputs!H185</f>
        <v>0.18</v>
      </c>
      <c r="I129" s="222" t="str">
        <f>Inputs!I185</f>
        <v>-</v>
      </c>
      <c r="J129" s="222" t="str">
        <f>Inputs!J185</f>
        <v>-</v>
      </c>
      <c r="K129" s="222" t="str">
        <f>Inputs!K185</f>
        <v>-</v>
      </c>
      <c r="L129" s="222" t="str">
        <f>Inputs!L185</f>
        <v>-</v>
      </c>
      <c r="M129" s="222" t="str">
        <f>Inputs!M185</f>
        <v>-</v>
      </c>
      <c r="N129" s="222" t="str">
        <f>Inputs!N185</f>
        <v>-</v>
      </c>
      <c r="O129" s="222" t="str">
        <f>Inputs!O185</f>
        <v>-</v>
      </c>
      <c r="P129" s="222" t="str">
        <f>Inputs!P185</f>
        <v>-</v>
      </c>
      <c r="Q129" s="222" t="str">
        <f>Inputs!Q185</f>
        <v>-</v>
      </c>
      <c r="R129" s="222" t="str">
        <f>Inputs!R185</f>
        <v>-</v>
      </c>
      <c r="S129" s="222" t="str">
        <f>Inputs!S185</f>
        <v>-</v>
      </c>
      <c r="T129" s="222" t="str">
        <f>Inputs!T185</f>
        <v>-</v>
      </c>
      <c r="U129" s="222" t="str">
        <f>Inputs!U185</f>
        <v>-</v>
      </c>
      <c r="V129" s="222" t="str">
        <f>Inputs!V185</f>
        <v>-</v>
      </c>
      <c r="W129" s="222" t="str">
        <f>Inputs!W185</f>
        <v>-</v>
      </c>
      <c r="X129" s="222" t="str">
        <f>Inputs!X185</f>
        <v>-</v>
      </c>
      <c r="Y129" s="222" t="str">
        <f>Inputs!Y185</f>
        <v>-</v>
      </c>
      <c r="Z129" s="222" t="str">
        <f>Inputs!Z185</f>
        <v>-</v>
      </c>
      <c r="AA129" s="222" t="str">
        <f>Inputs!AA185</f>
        <v>-</v>
      </c>
      <c r="AB129" s="222" t="str">
        <f>Inputs!AB185</f>
        <v>-</v>
      </c>
      <c r="AC129" s="222" t="str">
        <f>Inputs!AC185</f>
        <v>-</v>
      </c>
      <c r="AD129" s="222" t="str">
        <f>Inputs!AD185</f>
        <v>-</v>
      </c>
      <c r="AE129" s="222" t="str">
        <f>Inputs!AE185</f>
        <v>-</v>
      </c>
      <c r="AF129" s="222" t="str">
        <f>Inputs!AF185</f>
        <v>-</v>
      </c>
      <c r="AG129" s="222" t="str">
        <f>Inputs!AG185</f>
        <v>-</v>
      </c>
      <c r="AH129" s="222" t="str">
        <f>Inputs!AH185</f>
        <v>-</v>
      </c>
      <c r="AI129" s="222" t="str">
        <f>Inputs!AI185</f>
        <v>-</v>
      </c>
      <c r="AJ129" s="222" t="str">
        <f>Inputs!AJ185</f>
        <v>-</v>
      </c>
      <c r="AK129" s="457"/>
    </row>
    <row r="130">
      <c r="A130" s="101"/>
      <c r="B130" s="102"/>
      <c r="C130" s="102"/>
      <c r="D130" s="102"/>
      <c r="E130" s="112" t="s">
        <v>434</v>
      </c>
      <c r="F130" s="145" t="str">
        <f>Inputs!F186</f>
        <v>%</v>
      </c>
      <c r="G130" s="419" t="str">
        <f>Inputs!G186</f>
        <v>input</v>
      </c>
      <c r="H130" s="316">
        <f>Inputs!H186</f>
        <v>0.2</v>
      </c>
      <c r="I130" s="222" t="str">
        <f>Inputs!I186</f>
        <v>-</v>
      </c>
      <c r="J130" s="222" t="str">
        <f>Inputs!J186</f>
        <v>-</v>
      </c>
      <c r="K130" s="222" t="str">
        <f>Inputs!K186</f>
        <v>-</v>
      </c>
      <c r="L130" s="222" t="str">
        <f>Inputs!L186</f>
        <v>-</v>
      </c>
      <c r="M130" s="222" t="str">
        <f>Inputs!M186</f>
        <v>-</v>
      </c>
      <c r="N130" s="222" t="str">
        <f>Inputs!N186</f>
        <v>-</v>
      </c>
      <c r="O130" s="222" t="str">
        <f>Inputs!O186</f>
        <v>-</v>
      </c>
      <c r="P130" s="222" t="str">
        <f>Inputs!P186</f>
        <v>-</v>
      </c>
      <c r="Q130" s="222" t="str">
        <f>Inputs!Q186</f>
        <v>-</v>
      </c>
      <c r="R130" s="222" t="str">
        <f>Inputs!R186</f>
        <v>-</v>
      </c>
      <c r="S130" s="222" t="str">
        <f>Inputs!S186</f>
        <v>-</v>
      </c>
      <c r="T130" s="222" t="str">
        <f>Inputs!T186</f>
        <v>-</v>
      </c>
      <c r="U130" s="222" t="str">
        <f>Inputs!U186</f>
        <v>-</v>
      </c>
      <c r="V130" s="222" t="str">
        <f>Inputs!V186</f>
        <v>-</v>
      </c>
      <c r="W130" s="222" t="str">
        <f>Inputs!W186</f>
        <v>-</v>
      </c>
      <c r="X130" s="222" t="str">
        <f>Inputs!X186</f>
        <v>-</v>
      </c>
      <c r="Y130" s="222" t="str">
        <f>Inputs!Y186</f>
        <v>-</v>
      </c>
      <c r="Z130" s="222" t="str">
        <f>Inputs!Z186</f>
        <v>-</v>
      </c>
      <c r="AA130" s="222" t="str">
        <f>Inputs!AA186</f>
        <v>-</v>
      </c>
      <c r="AB130" s="222" t="str">
        <f>Inputs!AB186</f>
        <v>-</v>
      </c>
      <c r="AC130" s="222" t="str">
        <f>Inputs!AC186</f>
        <v>-</v>
      </c>
      <c r="AD130" s="222" t="str">
        <f>Inputs!AD186</f>
        <v>-</v>
      </c>
      <c r="AE130" s="222" t="str">
        <f>Inputs!AE186</f>
        <v>-</v>
      </c>
      <c r="AF130" s="222" t="str">
        <f>Inputs!AF186</f>
        <v>-</v>
      </c>
      <c r="AG130" s="222" t="str">
        <f>Inputs!AG186</f>
        <v>-</v>
      </c>
      <c r="AH130" s="222" t="str">
        <f>Inputs!AH186</f>
        <v>-</v>
      </c>
      <c r="AI130" s="222" t="str">
        <f>Inputs!AI186</f>
        <v>-</v>
      </c>
      <c r="AJ130" s="222" t="str">
        <f>Inputs!AJ186</f>
        <v>-</v>
      </c>
      <c r="AK130" s="457"/>
    </row>
    <row r="131">
      <c r="A131" s="101"/>
      <c r="B131" s="102"/>
      <c r="C131" s="102"/>
      <c r="D131" s="681" t="s">
        <v>438</v>
      </c>
      <c r="E131" s="86"/>
      <c r="F131" s="145"/>
      <c r="G131" s="419"/>
      <c r="H131" s="316"/>
      <c r="I131" s="222"/>
      <c r="J131" s="222"/>
      <c r="K131" s="222"/>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457"/>
    </row>
    <row r="132">
      <c r="A132" s="101"/>
      <c r="B132" s="102"/>
      <c r="C132" s="102"/>
      <c r="D132" s="102"/>
      <c r="E132" s="112" t="s">
        <v>439</v>
      </c>
      <c r="F132" s="145" t="str">
        <f>Inputs!F187</f>
        <v>%</v>
      </c>
      <c r="G132" s="419" t="str">
        <f>Inputs!G187</f>
        <v>input</v>
      </c>
      <c r="H132" s="316">
        <f>Inputs!H187</f>
        <v>0.015</v>
      </c>
      <c r="I132" s="222" t="str">
        <f>Inputs!I187</f>
        <v>-</v>
      </c>
      <c r="J132" s="222" t="str">
        <f>Inputs!J187</f>
        <v>-</v>
      </c>
      <c r="K132" s="222" t="str">
        <f>Inputs!K187</f>
        <v>-</v>
      </c>
      <c r="L132" s="222" t="str">
        <f>Inputs!L187</f>
        <v>-</v>
      </c>
      <c r="M132" s="222" t="str">
        <f>Inputs!M187</f>
        <v>-</v>
      </c>
      <c r="N132" s="222" t="str">
        <f>Inputs!N187</f>
        <v>-</v>
      </c>
      <c r="O132" s="222" t="str">
        <f>Inputs!O187</f>
        <v>-</v>
      </c>
      <c r="P132" s="222" t="str">
        <f>Inputs!P187</f>
        <v>-</v>
      </c>
      <c r="Q132" s="222" t="str">
        <f>Inputs!Q187</f>
        <v>-</v>
      </c>
      <c r="R132" s="222" t="str">
        <f>Inputs!R187</f>
        <v>-</v>
      </c>
      <c r="S132" s="222" t="str">
        <f>Inputs!S187</f>
        <v>-</v>
      </c>
      <c r="T132" s="222" t="str">
        <f>Inputs!T187</f>
        <v>-</v>
      </c>
      <c r="U132" s="222" t="str">
        <f>Inputs!U187</f>
        <v>-</v>
      </c>
      <c r="V132" s="222" t="str">
        <f>Inputs!V187</f>
        <v>-</v>
      </c>
      <c r="W132" s="222" t="str">
        <f>Inputs!W187</f>
        <v>-</v>
      </c>
      <c r="X132" s="222" t="str">
        <f>Inputs!X187</f>
        <v>-</v>
      </c>
      <c r="Y132" s="222" t="str">
        <f>Inputs!Y187</f>
        <v>-</v>
      </c>
      <c r="Z132" s="222" t="str">
        <f>Inputs!Z187</f>
        <v>-</v>
      </c>
      <c r="AA132" s="222" t="str">
        <f>Inputs!AA187</f>
        <v>-</v>
      </c>
      <c r="AB132" s="222" t="str">
        <f>Inputs!AB187</f>
        <v>-</v>
      </c>
      <c r="AC132" s="222" t="str">
        <f>Inputs!AC187</f>
        <v>-</v>
      </c>
      <c r="AD132" s="222" t="str">
        <f>Inputs!AD187</f>
        <v>-</v>
      </c>
      <c r="AE132" s="222" t="str">
        <f>Inputs!AE187</f>
        <v>-</v>
      </c>
      <c r="AF132" s="222" t="str">
        <f>Inputs!AF187</f>
        <v>-</v>
      </c>
      <c r="AG132" s="222" t="str">
        <f>Inputs!AG187</f>
        <v>-</v>
      </c>
      <c r="AH132" s="222" t="str">
        <f>Inputs!AH187</f>
        <v>-</v>
      </c>
      <c r="AI132" s="222" t="str">
        <f>Inputs!AI187</f>
        <v>-</v>
      </c>
      <c r="AJ132" s="222" t="str">
        <f>Inputs!AJ187</f>
        <v>-</v>
      </c>
      <c r="AK132" s="457"/>
    </row>
    <row r="133">
      <c r="A133" s="101"/>
      <c r="B133" s="102"/>
      <c r="C133" s="102"/>
      <c r="D133" s="102"/>
      <c r="E133" s="112" t="s">
        <v>444</v>
      </c>
      <c r="F133" s="145" t="str">
        <f>Inputs!F188</f>
        <v>%</v>
      </c>
      <c r="G133" s="419" t="str">
        <f>Inputs!G188</f>
        <v>input</v>
      </c>
      <c r="H133" s="316" t="str">
        <f>Inputs!H188</f>
        <v>-</v>
      </c>
      <c r="I133" s="222">
        <f>Inputs!I188</f>
        <v>0</v>
      </c>
      <c r="J133" s="222">
        <f>Inputs!J188</f>
        <v>0</v>
      </c>
      <c r="K133" s="222">
        <f>Inputs!K188</f>
        <v>0</v>
      </c>
      <c r="L133" s="222">
        <f>Inputs!L188</f>
        <v>0</v>
      </c>
      <c r="M133" s="222">
        <f>Inputs!M188</f>
        <v>0</v>
      </c>
      <c r="N133" s="222">
        <f>Inputs!N188</f>
        <v>0</v>
      </c>
      <c r="O133" s="222">
        <f>Inputs!O188</f>
        <v>0</v>
      </c>
      <c r="P133" s="222">
        <f>Inputs!P188</f>
        <v>0</v>
      </c>
      <c r="Q133" s="222">
        <f>Inputs!Q188</f>
        <v>0</v>
      </c>
      <c r="R133" s="222">
        <f>Inputs!R188</f>
        <v>0</v>
      </c>
      <c r="S133" s="222">
        <f>Inputs!S188</f>
        <v>0</v>
      </c>
      <c r="T133" s="222">
        <f>Inputs!T188</f>
        <v>0</v>
      </c>
      <c r="U133" s="222">
        <f>Inputs!U188</f>
        <v>0</v>
      </c>
      <c r="V133" s="222">
        <f>Inputs!V188</f>
        <v>0</v>
      </c>
      <c r="W133" s="222">
        <f>Inputs!W188</f>
        <v>0</v>
      </c>
      <c r="X133" s="222">
        <f>Inputs!X188</f>
        <v>0</v>
      </c>
      <c r="Y133" s="222">
        <f>Inputs!Y188</f>
        <v>0</v>
      </c>
      <c r="Z133" s="222">
        <f>Inputs!Z188</f>
        <v>0</v>
      </c>
      <c r="AA133" s="222">
        <f>Inputs!AA188</f>
        <v>0</v>
      </c>
      <c r="AB133" s="222">
        <f>Inputs!AB188</f>
        <v>0</v>
      </c>
      <c r="AC133" s="222">
        <f>Inputs!AC188</f>
        <v>0</v>
      </c>
      <c r="AD133" s="222">
        <f>Inputs!AD188</f>
        <v>0</v>
      </c>
      <c r="AE133" s="222">
        <f>Inputs!AE188</f>
        <v>0</v>
      </c>
      <c r="AF133" s="222">
        <f>Inputs!AF188</f>
        <v>0</v>
      </c>
      <c r="AG133" s="222">
        <f>Inputs!AG188</f>
        <v>0</v>
      </c>
      <c r="AH133" s="222">
        <f>Inputs!AH188</f>
        <v>0</v>
      </c>
      <c r="AI133" s="222">
        <f>Inputs!AI188</f>
        <v>0</v>
      </c>
      <c r="AJ133" s="222">
        <f>Inputs!AJ188</f>
        <v>0</v>
      </c>
      <c r="AK133" s="457"/>
    </row>
    <row r="134">
      <c r="A134" s="101"/>
      <c r="B134" s="102"/>
      <c r="C134" s="102"/>
      <c r="D134" s="701"/>
      <c r="E134" s="702"/>
      <c r="F134" s="132"/>
      <c r="G134" s="242"/>
      <c r="H134" s="712"/>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7"/>
    </row>
    <row r="135">
      <c r="A135" s="101"/>
      <c r="B135" s="102"/>
      <c r="C135" s="102"/>
      <c r="D135" s="703" t="s">
        <v>286</v>
      </c>
      <c r="E135" s="47"/>
      <c r="F135" s="121" t="s">
        <v>112</v>
      </c>
      <c r="G135" s="248" t="s">
        <v>164</v>
      </c>
      <c r="H135" s="249" t="s">
        <v>165</v>
      </c>
      <c r="I135" s="675">
        <f t="shared" ref="I135:AJ135" si="38">SUM($H125:$H134,I125:I134)</f>
        <v>0.665</v>
      </c>
      <c r="J135" s="675">
        <f t="shared" si="38"/>
        <v>0.665</v>
      </c>
      <c r="K135" s="675">
        <f t="shared" si="38"/>
        <v>0.665</v>
      </c>
      <c r="L135" s="675">
        <f t="shared" si="38"/>
        <v>0.665</v>
      </c>
      <c r="M135" s="675">
        <f t="shared" si="38"/>
        <v>0.665</v>
      </c>
      <c r="N135" s="675">
        <f t="shared" si="38"/>
        <v>0.665</v>
      </c>
      <c r="O135" s="675">
        <f t="shared" si="38"/>
        <v>0.665</v>
      </c>
      <c r="P135" s="675">
        <f t="shared" si="38"/>
        <v>0.665</v>
      </c>
      <c r="Q135" s="675">
        <f t="shared" si="38"/>
        <v>0.665</v>
      </c>
      <c r="R135" s="675">
        <f t="shared" si="38"/>
        <v>0.665</v>
      </c>
      <c r="S135" s="675">
        <f t="shared" si="38"/>
        <v>0.665</v>
      </c>
      <c r="T135" s="675">
        <f t="shared" si="38"/>
        <v>0.665</v>
      </c>
      <c r="U135" s="675">
        <f t="shared" si="38"/>
        <v>0.665</v>
      </c>
      <c r="V135" s="675">
        <f t="shared" si="38"/>
        <v>0.665</v>
      </c>
      <c r="W135" s="675">
        <f t="shared" si="38"/>
        <v>0.665</v>
      </c>
      <c r="X135" s="675">
        <f t="shared" si="38"/>
        <v>0.665</v>
      </c>
      <c r="Y135" s="675">
        <f t="shared" si="38"/>
        <v>0.665</v>
      </c>
      <c r="Z135" s="675">
        <f t="shared" si="38"/>
        <v>0.665</v>
      </c>
      <c r="AA135" s="675">
        <f t="shared" si="38"/>
        <v>0.665</v>
      </c>
      <c r="AB135" s="675">
        <f t="shared" si="38"/>
        <v>0.665</v>
      </c>
      <c r="AC135" s="675">
        <f t="shared" si="38"/>
        <v>0.665</v>
      </c>
      <c r="AD135" s="675">
        <f t="shared" si="38"/>
        <v>0.665</v>
      </c>
      <c r="AE135" s="675">
        <f t="shared" si="38"/>
        <v>0.665</v>
      </c>
      <c r="AF135" s="675">
        <f t="shared" si="38"/>
        <v>0.665</v>
      </c>
      <c r="AG135" s="675">
        <f t="shared" si="38"/>
        <v>0.665</v>
      </c>
      <c r="AH135" s="675">
        <f t="shared" si="38"/>
        <v>0.665</v>
      </c>
      <c r="AI135" s="675">
        <f t="shared" si="38"/>
        <v>0.665</v>
      </c>
      <c r="AJ135" s="675">
        <f t="shared" si="38"/>
        <v>0.665</v>
      </c>
      <c r="AK135" s="679"/>
    </row>
    <row r="136">
      <c r="A136" s="101"/>
      <c r="B136" s="102"/>
      <c r="C136" s="102"/>
      <c r="D136" s="102"/>
      <c r="E136" s="103"/>
      <c r="F136" s="715"/>
      <c r="G136" s="111"/>
      <c r="H136" s="105"/>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c r="AJ136" s="106"/>
      <c r="AK136" s="107"/>
    </row>
    <row r="137">
      <c r="A137" s="101"/>
      <c r="B137" s="102"/>
      <c r="C137" s="130" t="s">
        <v>451</v>
      </c>
      <c r="F137" s="715"/>
      <c r="G137" s="111"/>
      <c r="H137" s="105"/>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7"/>
    </row>
    <row r="138">
      <c r="A138" s="101"/>
      <c r="B138" s="102"/>
      <c r="C138" s="102"/>
      <c r="D138" s="102"/>
      <c r="E138" s="112" t="s">
        <v>445</v>
      </c>
      <c r="F138" s="114" t="str">
        <f>LeverageFunging!F133</f>
        <v>%</v>
      </c>
      <c r="G138" s="286" t="s">
        <v>232</v>
      </c>
      <c r="H138" s="117" t="str">
        <f>LeverageFunging!H133</f>
        <v>-</v>
      </c>
      <c r="I138" s="166">
        <f>LeverageFunging!I133</f>
        <v>-0.01947325914</v>
      </c>
      <c r="J138" s="166">
        <f>LeverageFunging!J133</f>
        <v>-0.02205386241</v>
      </c>
      <c r="K138" s="166">
        <f>LeverageFunging!K133</f>
        <v>-0.03625298958</v>
      </c>
      <c r="L138" s="166">
        <f>LeverageFunging!L133</f>
        <v>-0.0340203642</v>
      </c>
      <c r="M138" s="166">
        <f>LeverageFunging!M133</f>
        <v>-0.02513471842</v>
      </c>
      <c r="N138" s="166">
        <f>LeverageFunging!N133</f>
        <v>-0.07987834229</v>
      </c>
      <c r="O138" s="166">
        <f>LeverageFunging!O133</f>
        <v>-0.03244141483</v>
      </c>
      <c r="P138" s="166">
        <f>LeverageFunging!P133</f>
        <v>-0.01250016135</v>
      </c>
      <c r="Q138" s="166">
        <f>LeverageFunging!Q133</f>
        <v>-0.007809414554</v>
      </c>
      <c r="R138" s="166">
        <f>LeverageFunging!R133</f>
        <v>-0.02353099696</v>
      </c>
      <c r="S138" s="166">
        <f>LeverageFunging!S133</f>
        <v>-0.1091428556</v>
      </c>
      <c r="T138" s="166">
        <f>LeverageFunging!T133</f>
        <v>-0.1981957392</v>
      </c>
      <c r="U138" s="166">
        <f>LeverageFunging!U133</f>
        <v>-0.05220917985</v>
      </c>
      <c r="V138" s="166">
        <f>LeverageFunging!V133</f>
        <v>-0.09350782321</v>
      </c>
      <c r="W138" s="166">
        <f>LeverageFunging!W133</f>
        <v>-0.03710717552</v>
      </c>
      <c r="X138" s="166">
        <f>LeverageFunging!X133</f>
        <v>-0.1251877375</v>
      </c>
      <c r="Y138" s="166">
        <f>LeverageFunging!Y133</f>
        <v>-0.08294769458</v>
      </c>
      <c r="Z138" s="166">
        <f>LeverageFunging!Z133</f>
        <v>-0.1491351599</v>
      </c>
      <c r="AA138" s="166">
        <f>LeverageFunging!AA133</f>
        <v>-0.1146583161</v>
      </c>
      <c r="AB138" s="166">
        <f>LeverageFunging!AB133</f>
        <v>-0.04177997056</v>
      </c>
      <c r="AC138" s="166">
        <f>LeverageFunging!AC133</f>
        <v>-0.1002806175</v>
      </c>
      <c r="AD138" s="166">
        <f>LeverageFunging!AD133</f>
        <v>-0.1965004343</v>
      </c>
      <c r="AE138" s="166">
        <f>LeverageFunging!AE133</f>
        <v>-0.0642888948</v>
      </c>
      <c r="AF138" s="166">
        <f>LeverageFunging!AF133</f>
        <v>-0.01750912369</v>
      </c>
      <c r="AG138" s="166">
        <f>LeverageFunging!AG133</f>
        <v>-0.04925154078</v>
      </c>
      <c r="AH138" s="166">
        <f>LeverageFunging!AH133</f>
        <v>-0.008645932197</v>
      </c>
      <c r="AI138" s="166">
        <f>LeverageFunging!AI133</f>
        <v>-0.01670719858</v>
      </c>
      <c r="AJ138" s="166">
        <f>LeverageFunging!AJ133</f>
        <v>-0.03878379831</v>
      </c>
      <c r="AK138" s="180"/>
    </row>
    <row r="139">
      <c r="A139" s="101"/>
      <c r="B139" s="102"/>
      <c r="C139" s="102"/>
      <c r="D139" s="102"/>
      <c r="E139" s="144" t="s">
        <v>448</v>
      </c>
      <c r="F139" s="145" t="str">
        <f>LeverageFunging!F134</f>
        <v>%</v>
      </c>
      <c r="G139" s="419" t="s">
        <v>232</v>
      </c>
      <c r="H139" s="150" t="str">
        <f>LeverageFunging!H134</f>
        <v>-</v>
      </c>
      <c r="I139" s="187">
        <f>LeverageFunging!I134</f>
        <v>-0.2720680022</v>
      </c>
      <c r="J139" s="187">
        <f>LeverageFunging!J134</f>
        <v>-0.3269725451</v>
      </c>
      <c r="K139" s="187">
        <f>LeverageFunging!K134</f>
        <v>-0.3452941854</v>
      </c>
      <c r="L139" s="187">
        <f>LeverageFunging!L134</f>
        <v>-0.1756309101</v>
      </c>
      <c r="M139" s="187">
        <f>LeverageFunging!M134</f>
        <v>-0.3700125864</v>
      </c>
      <c r="N139" s="187">
        <f>LeverageFunging!N134</f>
        <v>-0.2723292123</v>
      </c>
      <c r="O139" s="187">
        <f>LeverageFunging!O134</f>
        <v>-0.2112519459</v>
      </c>
      <c r="P139" s="187">
        <f>LeverageFunging!P134</f>
        <v>-0.338631384</v>
      </c>
      <c r="Q139" s="187">
        <f>LeverageFunging!Q134</f>
        <v>-0.2942304915</v>
      </c>
      <c r="R139" s="187">
        <f>LeverageFunging!R134</f>
        <v>-0.236007944</v>
      </c>
      <c r="S139" s="187">
        <f>LeverageFunging!S134</f>
        <v>-0.1851012218</v>
      </c>
      <c r="T139" s="187">
        <f>LeverageFunging!T134</f>
        <v>-0.1321483894</v>
      </c>
      <c r="U139" s="187">
        <f>LeverageFunging!U134</f>
        <v>-0.2189552563</v>
      </c>
      <c r="V139" s="187">
        <f>LeverageFunging!V134</f>
        <v>-0.1943981611</v>
      </c>
      <c r="W139" s="187">
        <f>LeverageFunging!W134</f>
        <v>-0.2279352451</v>
      </c>
      <c r="X139" s="187">
        <f>LeverageFunging!X134</f>
        <v>-0.1755605769</v>
      </c>
      <c r="Y139" s="187">
        <f>LeverageFunging!Y134</f>
        <v>-0.2006774493</v>
      </c>
      <c r="Z139" s="187">
        <f>LeverageFunging!Z134</f>
        <v>-0.161320905</v>
      </c>
      <c r="AA139" s="187">
        <f>LeverageFunging!AA134</f>
        <v>-0.1818216059</v>
      </c>
      <c r="AB139" s="187">
        <f>LeverageFunging!AB134</f>
        <v>-0.2251566969</v>
      </c>
      <c r="AC139" s="187">
        <f>LeverageFunging!AC134</f>
        <v>-0.1903709064</v>
      </c>
      <c r="AD139" s="187">
        <f>LeverageFunging!AD134</f>
        <v>-0.1331564555</v>
      </c>
      <c r="AE139" s="187">
        <f>LeverageFunging!AE134</f>
        <v>-0.2117723881</v>
      </c>
      <c r="AF139" s="187">
        <f>LeverageFunging!AF134</f>
        <v>-0.2395886842</v>
      </c>
      <c r="AG139" s="187">
        <f>LeverageFunging!AG134</f>
        <v>-0.2409743249</v>
      </c>
      <c r="AH139" s="187">
        <f>LeverageFunging!AH134</f>
        <v>-0.4566786993</v>
      </c>
      <c r="AI139" s="187">
        <f>LeverageFunging!AI134</f>
        <v>-0.3460550169</v>
      </c>
      <c r="AJ139" s="187">
        <f>LeverageFunging!AJ134</f>
        <v>-0.3344612777</v>
      </c>
      <c r="AK139" s="204"/>
    </row>
    <row r="140">
      <c r="A140" s="101"/>
      <c r="B140" s="102"/>
      <c r="C140" s="102"/>
      <c r="D140" s="102"/>
      <c r="E140" s="131"/>
      <c r="F140" s="132"/>
      <c r="G140" s="242"/>
      <c r="H140" s="105"/>
      <c r="I140" s="323"/>
      <c r="J140" s="323"/>
      <c r="K140" s="323"/>
      <c r="L140" s="323"/>
      <c r="M140" s="323"/>
      <c r="N140" s="323"/>
      <c r="O140" s="323"/>
      <c r="P140" s="323"/>
      <c r="Q140" s="323"/>
      <c r="R140" s="323"/>
      <c r="S140" s="323"/>
      <c r="T140" s="323"/>
      <c r="U140" s="323"/>
      <c r="V140" s="323"/>
      <c r="W140" s="323"/>
      <c r="X140" s="323"/>
      <c r="Y140" s="323"/>
      <c r="Z140" s="323"/>
      <c r="AA140" s="323"/>
      <c r="AB140" s="323"/>
      <c r="AC140" s="323"/>
      <c r="AD140" s="323"/>
      <c r="AE140" s="323"/>
      <c r="AF140" s="323"/>
      <c r="AG140" s="323"/>
      <c r="AH140" s="323"/>
      <c r="AI140" s="323"/>
      <c r="AJ140" s="323"/>
      <c r="AK140" s="713"/>
    </row>
    <row r="141">
      <c r="A141" s="101"/>
      <c r="B141" s="102"/>
      <c r="C141" s="102"/>
      <c r="D141" s="246" t="s">
        <v>461</v>
      </c>
      <c r="E141" s="47"/>
      <c r="F141" s="121" t="s">
        <v>112</v>
      </c>
      <c r="G141" s="248" t="s">
        <v>164</v>
      </c>
      <c r="H141" s="288" t="str">
        <f>LeverageFunging!H135</f>
        <v>-</v>
      </c>
      <c r="I141" s="675">
        <f>LeverageFunging!I135</f>
        <v>-0.2915412613</v>
      </c>
      <c r="J141" s="675">
        <f>LeverageFunging!J135</f>
        <v>-0.3490264075</v>
      </c>
      <c r="K141" s="675">
        <f>LeverageFunging!K135</f>
        <v>-0.3815471749</v>
      </c>
      <c r="L141" s="675">
        <f>LeverageFunging!L135</f>
        <v>-0.2096512743</v>
      </c>
      <c r="M141" s="675">
        <f>LeverageFunging!M135</f>
        <v>-0.3951473048</v>
      </c>
      <c r="N141" s="675">
        <f>LeverageFunging!N135</f>
        <v>-0.3522075546</v>
      </c>
      <c r="O141" s="675">
        <f>LeverageFunging!O135</f>
        <v>-0.2436933608</v>
      </c>
      <c r="P141" s="675">
        <f>LeverageFunging!P135</f>
        <v>-0.3511315453</v>
      </c>
      <c r="Q141" s="675">
        <f>LeverageFunging!Q135</f>
        <v>-0.302039906</v>
      </c>
      <c r="R141" s="675">
        <f>LeverageFunging!R135</f>
        <v>-0.2595389409</v>
      </c>
      <c r="S141" s="675">
        <f>LeverageFunging!S135</f>
        <v>-0.2942440774</v>
      </c>
      <c r="T141" s="675">
        <f>LeverageFunging!T135</f>
        <v>-0.3303441286</v>
      </c>
      <c r="U141" s="675">
        <f>LeverageFunging!U135</f>
        <v>-0.2711644361</v>
      </c>
      <c r="V141" s="675">
        <f>LeverageFunging!V135</f>
        <v>-0.2879059843</v>
      </c>
      <c r="W141" s="675">
        <f>LeverageFunging!W135</f>
        <v>-0.2650424207</v>
      </c>
      <c r="X141" s="675">
        <f>LeverageFunging!X135</f>
        <v>-0.3007483144</v>
      </c>
      <c r="Y141" s="675">
        <f>LeverageFunging!Y135</f>
        <v>-0.2836251438</v>
      </c>
      <c r="Z141" s="675">
        <f>LeverageFunging!Z135</f>
        <v>-0.3104560649</v>
      </c>
      <c r="AA141" s="675">
        <f>LeverageFunging!AA135</f>
        <v>-0.296479922</v>
      </c>
      <c r="AB141" s="675">
        <f>LeverageFunging!AB135</f>
        <v>-0.2669366675</v>
      </c>
      <c r="AC141" s="675">
        <f>LeverageFunging!AC135</f>
        <v>-0.2906515239</v>
      </c>
      <c r="AD141" s="675">
        <f>LeverageFunging!AD135</f>
        <v>-0.3296568898</v>
      </c>
      <c r="AE141" s="675">
        <f>LeverageFunging!AE135</f>
        <v>-0.2760612829</v>
      </c>
      <c r="AF141" s="675">
        <f>LeverageFunging!AF135</f>
        <v>-0.2570978079</v>
      </c>
      <c r="AG141" s="675">
        <f>LeverageFunging!AG135</f>
        <v>-0.2902258657</v>
      </c>
      <c r="AH141" s="675">
        <f>LeverageFunging!AH135</f>
        <v>-0.4653246315</v>
      </c>
      <c r="AI141" s="675">
        <f>LeverageFunging!AI135</f>
        <v>-0.3627622155</v>
      </c>
      <c r="AJ141" s="675">
        <f>LeverageFunging!AJ135</f>
        <v>-0.373245076</v>
      </c>
      <c r="AK141" s="679"/>
    </row>
    <row r="142">
      <c r="A142" s="101"/>
      <c r="B142" s="102"/>
      <c r="C142" s="102"/>
      <c r="D142" s="102"/>
      <c r="E142" s="103"/>
      <c r="F142" s="715"/>
      <c r="G142" s="111"/>
      <c r="H142" s="105"/>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7"/>
    </row>
    <row r="143">
      <c r="A143" s="99" t="s">
        <v>464</v>
      </c>
      <c r="B143" s="12"/>
      <c r="C143" s="12"/>
      <c r="D143" s="12"/>
      <c r="E143" s="12"/>
      <c r="F143" s="12"/>
      <c r="G143" s="12"/>
      <c r="H143" s="97"/>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100"/>
    </row>
    <row r="144">
      <c r="A144" s="101"/>
      <c r="B144" s="102"/>
      <c r="C144" s="102"/>
      <c r="D144" s="102"/>
      <c r="E144" s="103"/>
      <c r="F144" s="715"/>
      <c r="G144" s="111"/>
      <c r="H144" s="105"/>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7"/>
    </row>
    <row r="145">
      <c r="A145" s="101"/>
      <c r="B145" s="102"/>
      <c r="C145" s="123" t="s">
        <v>466</v>
      </c>
      <c r="F145" s="132"/>
      <c r="G145" s="481"/>
      <c r="H145" s="562"/>
      <c r="I145" s="559"/>
      <c r="J145" s="559"/>
      <c r="K145" s="532"/>
      <c r="L145" s="532"/>
      <c r="M145" s="532"/>
      <c r="N145" s="532"/>
      <c r="O145" s="532"/>
      <c r="P145" s="532"/>
      <c r="Q145" s="532"/>
      <c r="R145" s="532"/>
      <c r="S145" s="532"/>
      <c r="T145" s="532"/>
      <c r="U145" s="532"/>
      <c r="V145" s="532"/>
      <c r="W145" s="532"/>
      <c r="X145" s="532"/>
      <c r="Y145" s="532"/>
      <c r="Z145" s="532"/>
      <c r="AA145" s="532"/>
      <c r="AB145" s="532"/>
      <c r="AC145" s="532"/>
      <c r="AD145" s="532"/>
      <c r="AE145" s="532"/>
      <c r="AF145" s="532"/>
      <c r="AG145" s="532"/>
      <c r="AH145" s="532"/>
      <c r="AI145" s="532"/>
      <c r="AJ145" s="532"/>
      <c r="AK145" s="563"/>
    </row>
    <row r="146">
      <c r="A146" s="101"/>
      <c r="B146" s="102"/>
      <c r="C146" s="22"/>
      <c r="D146" s="102"/>
      <c r="E146" s="747" t="s">
        <v>442</v>
      </c>
      <c r="F146" s="114" t="str">
        <f>LeverageFunging!F130</f>
        <v>UOV</v>
      </c>
      <c r="G146" s="723" t="s">
        <v>232</v>
      </c>
      <c r="H146" s="596" t="str">
        <f>LeverageFunging!H130</f>
        <v>-</v>
      </c>
      <c r="I146" s="118">
        <f t="shared" ref="I146:AJ146" si="39">I92*(1+I121)*(1+I135)*(1+I141)</f>
        <v>75271.84455</v>
      </c>
      <c r="J146" s="118">
        <f t="shared" si="39"/>
        <v>52973.47766</v>
      </c>
      <c r="K146" s="118">
        <f t="shared" si="39"/>
        <v>28435.43695</v>
      </c>
      <c r="L146" s="118">
        <f t="shared" si="39"/>
        <v>56325.39564</v>
      </c>
      <c r="M146" s="118">
        <f t="shared" si="39"/>
        <v>36404.25054</v>
      </c>
      <c r="N146" s="118">
        <f t="shared" si="39"/>
        <v>15975.50727</v>
      </c>
      <c r="O146" s="118">
        <f t="shared" si="39"/>
        <v>52989.99213</v>
      </c>
      <c r="P146" s="118">
        <f t="shared" si="39"/>
        <v>109326.5267</v>
      </c>
      <c r="Q146" s="118">
        <f t="shared" si="39"/>
        <v>197613.3262</v>
      </c>
      <c r="R146" s="118">
        <f t="shared" si="39"/>
        <v>71524.96017</v>
      </c>
      <c r="S146" s="118">
        <f t="shared" si="39"/>
        <v>14697.88846</v>
      </c>
      <c r="T146" s="118">
        <f t="shared" si="39"/>
        <v>7679.85633</v>
      </c>
      <c r="U146" s="118">
        <f t="shared" si="39"/>
        <v>31730.60945</v>
      </c>
      <c r="V146" s="118">
        <f t="shared" si="39"/>
        <v>17309.52369</v>
      </c>
      <c r="W146" s="118">
        <f t="shared" si="39"/>
        <v>45019.4415</v>
      </c>
      <c r="X146" s="118">
        <f t="shared" si="39"/>
        <v>12696.01597</v>
      </c>
      <c r="Y146" s="118">
        <f t="shared" si="39"/>
        <v>19630.51724</v>
      </c>
      <c r="Z146" s="118">
        <f t="shared" si="39"/>
        <v>10509.39286</v>
      </c>
      <c r="AA146" s="118">
        <f t="shared" si="39"/>
        <v>13946.54606</v>
      </c>
      <c r="AB146" s="118">
        <f t="shared" si="39"/>
        <v>39881.28065</v>
      </c>
      <c r="AC146" s="118">
        <f t="shared" si="39"/>
        <v>16078.23488</v>
      </c>
      <c r="AD146" s="118">
        <f t="shared" si="39"/>
        <v>7754.063691</v>
      </c>
      <c r="AE146" s="118">
        <f t="shared" si="39"/>
        <v>25595.37946</v>
      </c>
      <c r="AF146" s="118">
        <f t="shared" si="39"/>
        <v>96441.2782</v>
      </c>
      <c r="AG146" s="118">
        <f t="shared" si="39"/>
        <v>18739.92144</v>
      </c>
      <c r="AH146" s="118">
        <f t="shared" si="39"/>
        <v>67013.84313</v>
      </c>
      <c r="AI146" s="118">
        <f t="shared" si="39"/>
        <v>49598.13006</v>
      </c>
      <c r="AJ146" s="118">
        <f t="shared" si="39"/>
        <v>21014.29544</v>
      </c>
      <c r="AK146" s="142"/>
    </row>
    <row r="147">
      <c r="A147" s="101"/>
      <c r="B147" s="102"/>
      <c r="C147" s="102"/>
      <c r="D147" s="102"/>
      <c r="E147" s="112" t="s">
        <v>178</v>
      </c>
      <c r="F147" s="114" t="str">
        <f>F21</f>
        <v>$</v>
      </c>
      <c r="G147" s="286" t="s">
        <v>60</v>
      </c>
      <c r="H147" s="253" t="str">
        <f t="shared" ref="H147:AJ147" si="40">H21</f>
        <v>-</v>
      </c>
      <c r="I147" s="297">
        <f t="shared" si="40"/>
        <v>1000000</v>
      </c>
      <c r="J147" s="297">
        <f t="shared" si="40"/>
        <v>1000000</v>
      </c>
      <c r="K147" s="297">
        <f t="shared" si="40"/>
        <v>1000000</v>
      </c>
      <c r="L147" s="297">
        <f t="shared" si="40"/>
        <v>1000000</v>
      </c>
      <c r="M147" s="297">
        <f t="shared" si="40"/>
        <v>1000000</v>
      </c>
      <c r="N147" s="297">
        <f t="shared" si="40"/>
        <v>1000000</v>
      </c>
      <c r="O147" s="297">
        <f t="shared" si="40"/>
        <v>1000000</v>
      </c>
      <c r="P147" s="297">
        <f t="shared" si="40"/>
        <v>1000000</v>
      </c>
      <c r="Q147" s="297">
        <f t="shared" si="40"/>
        <v>1000000</v>
      </c>
      <c r="R147" s="297">
        <f t="shared" si="40"/>
        <v>1000000</v>
      </c>
      <c r="S147" s="297">
        <f t="shared" si="40"/>
        <v>1000000</v>
      </c>
      <c r="T147" s="297">
        <f t="shared" si="40"/>
        <v>1000000</v>
      </c>
      <c r="U147" s="297">
        <f t="shared" si="40"/>
        <v>1000000</v>
      </c>
      <c r="V147" s="297">
        <f t="shared" si="40"/>
        <v>1000000</v>
      </c>
      <c r="W147" s="297">
        <f t="shared" si="40"/>
        <v>1000000</v>
      </c>
      <c r="X147" s="297">
        <f t="shared" si="40"/>
        <v>1000000</v>
      </c>
      <c r="Y147" s="297">
        <f t="shared" si="40"/>
        <v>1000000</v>
      </c>
      <c r="Z147" s="297">
        <f t="shared" si="40"/>
        <v>1000000</v>
      </c>
      <c r="AA147" s="297">
        <f t="shared" si="40"/>
        <v>1000000</v>
      </c>
      <c r="AB147" s="297">
        <f t="shared" si="40"/>
        <v>1000000</v>
      </c>
      <c r="AC147" s="297">
        <f t="shared" si="40"/>
        <v>1000000</v>
      </c>
      <c r="AD147" s="297">
        <f t="shared" si="40"/>
        <v>1000000</v>
      </c>
      <c r="AE147" s="297">
        <f t="shared" si="40"/>
        <v>1000000</v>
      </c>
      <c r="AF147" s="297">
        <f t="shared" si="40"/>
        <v>1000000</v>
      </c>
      <c r="AG147" s="297">
        <f t="shared" si="40"/>
        <v>1000000</v>
      </c>
      <c r="AH147" s="297">
        <f t="shared" si="40"/>
        <v>1000000</v>
      </c>
      <c r="AI147" s="297">
        <f t="shared" si="40"/>
        <v>1000000</v>
      </c>
      <c r="AJ147" s="297">
        <f t="shared" si="40"/>
        <v>1000000</v>
      </c>
      <c r="AK147" s="306"/>
    </row>
    <row r="148">
      <c r="A148" s="101"/>
      <c r="B148" s="102"/>
      <c r="C148" s="102"/>
      <c r="D148" s="102"/>
      <c r="E148" s="144" t="s">
        <v>511</v>
      </c>
      <c r="F148" s="145" t="s">
        <v>116</v>
      </c>
      <c r="G148" s="419" t="s">
        <v>164</v>
      </c>
      <c r="H148" s="794" t="s">
        <v>165</v>
      </c>
      <c r="I148" s="798">
        <f t="shared" ref="I148:AJ148" si="41">I146/I147</f>
        <v>0.07527184455</v>
      </c>
      <c r="J148" s="798">
        <f t="shared" si="41"/>
        <v>0.05297347766</v>
      </c>
      <c r="K148" s="798">
        <f t="shared" si="41"/>
        <v>0.02843543695</v>
      </c>
      <c r="L148" s="798">
        <f t="shared" si="41"/>
        <v>0.05632539564</v>
      </c>
      <c r="M148" s="798">
        <f t="shared" si="41"/>
        <v>0.03640425054</v>
      </c>
      <c r="N148" s="798">
        <f t="shared" si="41"/>
        <v>0.01597550727</v>
      </c>
      <c r="O148" s="798">
        <f t="shared" si="41"/>
        <v>0.05298999213</v>
      </c>
      <c r="P148" s="798">
        <f t="shared" si="41"/>
        <v>0.1093265267</v>
      </c>
      <c r="Q148" s="798">
        <f t="shared" si="41"/>
        <v>0.1976133262</v>
      </c>
      <c r="R148" s="798">
        <f t="shared" si="41"/>
        <v>0.07152496017</v>
      </c>
      <c r="S148" s="798">
        <f t="shared" si="41"/>
        <v>0.01469788846</v>
      </c>
      <c r="T148" s="798">
        <f t="shared" si="41"/>
        <v>0.00767985633</v>
      </c>
      <c r="U148" s="798">
        <f t="shared" si="41"/>
        <v>0.03173060945</v>
      </c>
      <c r="V148" s="798">
        <f t="shared" si="41"/>
        <v>0.01730952369</v>
      </c>
      <c r="W148" s="798">
        <f t="shared" si="41"/>
        <v>0.0450194415</v>
      </c>
      <c r="X148" s="798">
        <f t="shared" si="41"/>
        <v>0.01269601597</v>
      </c>
      <c r="Y148" s="798">
        <f t="shared" si="41"/>
        <v>0.01963051724</v>
      </c>
      <c r="Z148" s="798">
        <f t="shared" si="41"/>
        <v>0.01050939286</v>
      </c>
      <c r="AA148" s="798">
        <f t="shared" si="41"/>
        <v>0.01394654606</v>
      </c>
      <c r="AB148" s="798">
        <f t="shared" si="41"/>
        <v>0.03988128065</v>
      </c>
      <c r="AC148" s="798">
        <f t="shared" si="41"/>
        <v>0.01607823488</v>
      </c>
      <c r="AD148" s="798">
        <f t="shared" si="41"/>
        <v>0.007754063691</v>
      </c>
      <c r="AE148" s="798">
        <f t="shared" si="41"/>
        <v>0.02559537946</v>
      </c>
      <c r="AF148" s="798">
        <f t="shared" si="41"/>
        <v>0.0964412782</v>
      </c>
      <c r="AG148" s="798">
        <f t="shared" si="41"/>
        <v>0.01873992144</v>
      </c>
      <c r="AH148" s="798">
        <f t="shared" si="41"/>
        <v>0.06701384313</v>
      </c>
      <c r="AI148" s="798">
        <f t="shared" si="41"/>
        <v>0.04959813006</v>
      </c>
      <c r="AJ148" s="798">
        <f t="shared" si="41"/>
        <v>0.02101429544</v>
      </c>
      <c r="AK148" s="807"/>
    </row>
    <row r="149">
      <c r="A149" s="101"/>
      <c r="B149" s="102"/>
      <c r="C149" s="102"/>
      <c r="D149" s="102"/>
      <c r="E149" s="808" t="s">
        <v>517</v>
      </c>
      <c r="F149" s="809" t="s">
        <v>118</v>
      </c>
      <c r="G149" s="810" t="s">
        <v>164</v>
      </c>
      <c r="H149" s="811" t="s">
        <v>165</v>
      </c>
      <c r="I149" s="812">
        <f t="shared" ref="I149:AJ149" si="42">I148/$H94</f>
        <v>22.60415752</v>
      </c>
      <c r="J149" s="812">
        <f t="shared" si="42"/>
        <v>15.90795125</v>
      </c>
      <c r="K149" s="812">
        <f t="shared" si="42"/>
        <v>8.539170255</v>
      </c>
      <c r="L149" s="812">
        <f t="shared" si="42"/>
        <v>16.91453322</v>
      </c>
      <c r="M149" s="812">
        <f t="shared" si="42"/>
        <v>10.93220737</v>
      </c>
      <c r="N149" s="812">
        <f t="shared" si="42"/>
        <v>4.797449632</v>
      </c>
      <c r="O149" s="812">
        <f t="shared" si="42"/>
        <v>15.91291055</v>
      </c>
      <c r="P149" s="812">
        <f t="shared" si="42"/>
        <v>32.8307888</v>
      </c>
      <c r="Q149" s="812">
        <f t="shared" si="42"/>
        <v>59.34334121</v>
      </c>
      <c r="R149" s="812">
        <f t="shared" si="42"/>
        <v>21.47896702</v>
      </c>
      <c r="S149" s="812">
        <f t="shared" si="42"/>
        <v>4.41378032</v>
      </c>
      <c r="T149" s="812">
        <f t="shared" si="42"/>
        <v>2.306263162</v>
      </c>
      <c r="U149" s="812">
        <f t="shared" si="42"/>
        <v>9.528711546</v>
      </c>
      <c r="V149" s="812">
        <f t="shared" si="42"/>
        <v>5.198055163</v>
      </c>
      <c r="W149" s="812">
        <f t="shared" si="42"/>
        <v>13.5193518</v>
      </c>
      <c r="X149" s="812">
        <f t="shared" si="42"/>
        <v>3.812617409</v>
      </c>
      <c r="Y149" s="812">
        <f t="shared" si="42"/>
        <v>5.895050222</v>
      </c>
      <c r="Z149" s="812">
        <f t="shared" si="42"/>
        <v>3.155973833</v>
      </c>
      <c r="AA149" s="812">
        <f t="shared" si="42"/>
        <v>4.188151971</v>
      </c>
      <c r="AB149" s="812">
        <f t="shared" si="42"/>
        <v>11.97636056</v>
      </c>
      <c r="AC149" s="812">
        <f t="shared" si="42"/>
        <v>4.828298764</v>
      </c>
      <c r="AD149" s="812">
        <f t="shared" si="42"/>
        <v>2.328547655</v>
      </c>
      <c r="AE149" s="812">
        <f t="shared" si="42"/>
        <v>7.686300139</v>
      </c>
      <c r="AF149" s="812">
        <f t="shared" si="42"/>
        <v>28.9613448</v>
      </c>
      <c r="AG149" s="812">
        <f t="shared" si="42"/>
        <v>5.627604036</v>
      </c>
      <c r="AH149" s="812">
        <f t="shared" si="42"/>
        <v>20.12427722</v>
      </c>
      <c r="AI149" s="812">
        <f t="shared" si="42"/>
        <v>14.89433335</v>
      </c>
      <c r="AJ149" s="812">
        <f t="shared" si="42"/>
        <v>6.31059923</v>
      </c>
      <c r="AK149" s="816"/>
    </row>
    <row r="150">
      <c r="A150" s="101"/>
      <c r="B150" s="102"/>
      <c r="C150" s="102"/>
      <c r="D150" s="102"/>
      <c r="E150" s="818"/>
      <c r="F150" s="819"/>
      <c r="G150" s="820"/>
      <c r="H150" s="821"/>
      <c r="I150" s="822"/>
      <c r="J150" s="822"/>
      <c r="K150" s="822"/>
      <c r="L150" s="822"/>
      <c r="M150" s="822"/>
      <c r="N150" s="822"/>
      <c r="O150" s="822"/>
      <c r="P150" s="822"/>
      <c r="Q150" s="822"/>
      <c r="R150" s="822"/>
      <c r="S150" s="822"/>
      <c r="T150" s="822"/>
      <c r="U150" s="822"/>
      <c r="V150" s="822"/>
      <c r="W150" s="822"/>
      <c r="X150" s="822"/>
      <c r="Y150" s="822"/>
      <c r="Z150" s="822"/>
      <c r="AA150" s="822"/>
      <c r="AB150" s="822"/>
      <c r="AC150" s="822"/>
      <c r="AD150" s="822"/>
      <c r="AE150" s="822"/>
      <c r="AF150" s="822"/>
      <c r="AG150" s="822"/>
      <c r="AH150" s="822"/>
      <c r="AI150" s="822"/>
      <c r="AJ150" s="822"/>
      <c r="AK150" s="824"/>
    </row>
    <row r="151">
      <c r="A151" s="99" t="s">
        <v>520</v>
      </c>
      <c r="B151" s="12"/>
      <c r="C151" s="12"/>
      <c r="D151" s="12"/>
      <c r="E151" s="12"/>
      <c r="F151" s="12"/>
      <c r="G151" s="12"/>
      <c r="H151" s="97"/>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100"/>
    </row>
    <row r="152">
      <c r="A152" s="101"/>
      <c r="B152" s="102"/>
      <c r="C152" s="102"/>
      <c r="D152" s="102"/>
      <c r="E152" s="103"/>
      <c r="F152" s="104"/>
      <c r="G152" s="111"/>
      <c r="H152" s="105"/>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7"/>
    </row>
    <row r="153">
      <c r="A153" s="101"/>
      <c r="B153" s="102"/>
      <c r="C153" s="130" t="s">
        <v>522</v>
      </c>
      <c r="F153" s="104"/>
      <c r="G153" s="111"/>
      <c r="H153" s="105"/>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7"/>
    </row>
    <row r="154">
      <c r="A154" s="101"/>
      <c r="B154" s="102"/>
      <c r="C154" s="102"/>
      <c r="D154" s="102"/>
      <c r="E154" s="112" t="s">
        <v>282</v>
      </c>
      <c r="F154" s="114" t="str">
        <f>F121</f>
        <v>%</v>
      </c>
      <c r="G154" s="286" t="s">
        <v>60</v>
      </c>
      <c r="H154" s="117" t="str">
        <f t="shared" ref="H154:AJ154" si="43">H121</f>
        <v>-</v>
      </c>
      <c r="I154" s="166">
        <f t="shared" si="43"/>
        <v>-0.22</v>
      </c>
      <c r="J154" s="166">
        <f t="shared" si="43"/>
        <v>-0.22</v>
      </c>
      <c r="K154" s="166">
        <f t="shared" si="43"/>
        <v>-0.22</v>
      </c>
      <c r="L154" s="166">
        <f t="shared" si="43"/>
        <v>-0.22</v>
      </c>
      <c r="M154" s="166">
        <f t="shared" si="43"/>
        <v>-0.22</v>
      </c>
      <c r="N154" s="166">
        <f t="shared" si="43"/>
        <v>-0.22</v>
      </c>
      <c r="O154" s="166">
        <f t="shared" si="43"/>
        <v>-0.22</v>
      </c>
      <c r="P154" s="166">
        <f t="shared" si="43"/>
        <v>-0.22</v>
      </c>
      <c r="Q154" s="166">
        <f t="shared" si="43"/>
        <v>-0.22</v>
      </c>
      <c r="R154" s="166">
        <f t="shared" si="43"/>
        <v>-0.22</v>
      </c>
      <c r="S154" s="166">
        <f t="shared" si="43"/>
        <v>-0.22</v>
      </c>
      <c r="T154" s="166">
        <f t="shared" si="43"/>
        <v>-0.22</v>
      </c>
      <c r="U154" s="166">
        <f t="shared" si="43"/>
        <v>-0.22</v>
      </c>
      <c r="V154" s="166">
        <f t="shared" si="43"/>
        <v>-0.22</v>
      </c>
      <c r="W154" s="166">
        <f t="shared" si="43"/>
        <v>-0.22</v>
      </c>
      <c r="X154" s="166">
        <f t="shared" si="43"/>
        <v>-0.22</v>
      </c>
      <c r="Y154" s="166">
        <f t="shared" si="43"/>
        <v>-0.22</v>
      </c>
      <c r="Z154" s="166">
        <f t="shared" si="43"/>
        <v>-0.22</v>
      </c>
      <c r="AA154" s="166">
        <f t="shared" si="43"/>
        <v>-0.22</v>
      </c>
      <c r="AB154" s="166">
        <f t="shared" si="43"/>
        <v>-0.22</v>
      </c>
      <c r="AC154" s="166">
        <f t="shared" si="43"/>
        <v>-0.22</v>
      </c>
      <c r="AD154" s="166">
        <f t="shared" si="43"/>
        <v>-0.22</v>
      </c>
      <c r="AE154" s="166">
        <f t="shared" si="43"/>
        <v>-0.22</v>
      </c>
      <c r="AF154" s="166">
        <f t="shared" si="43"/>
        <v>-0.22</v>
      </c>
      <c r="AG154" s="166">
        <f t="shared" si="43"/>
        <v>-0.24</v>
      </c>
      <c r="AH154" s="166">
        <f t="shared" si="43"/>
        <v>-0.24</v>
      </c>
      <c r="AI154" s="166">
        <f t="shared" si="43"/>
        <v>-0.24</v>
      </c>
      <c r="AJ154" s="166">
        <f t="shared" si="43"/>
        <v>-0.24</v>
      </c>
      <c r="AK154" s="180"/>
    </row>
    <row r="155">
      <c r="A155" s="101"/>
      <c r="B155" s="102"/>
      <c r="C155" s="102"/>
      <c r="D155" s="102"/>
      <c r="E155" s="830" t="s">
        <v>452</v>
      </c>
      <c r="F155" s="145" t="str">
        <f>LeverageFunging!F138</f>
        <v>%</v>
      </c>
      <c r="G155" s="419" t="s">
        <v>232</v>
      </c>
      <c r="H155" s="223" t="str">
        <f>LeverageFunging!H138</f>
        <v>-</v>
      </c>
      <c r="I155" s="187">
        <f>LeverageFunging!I138</f>
        <v>-0.2915412613</v>
      </c>
      <c r="J155" s="187">
        <f>LeverageFunging!J138</f>
        <v>-0.3490264075</v>
      </c>
      <c r="K155" s="187">
        <f>LeverageFunging!K138</f>
        <v>-0.3815471749</v>
      </c>
      <c r="L155" s="187">
        <f>LeverageFunging!L138</f>
        <v>-0.2096512743</v>
      </c>
      <c r="M155" s="187">
        <f>LeverageFunging!M138</f>
        <v>-0.3951473048</v>
      </c>
      <c r="N155" s="187">
        <f>LeverageFunging!N138</f>
        <v>-0.3522075546</v>
      </c>
      <c r="O155" s="187">
        <f>LeverageFunging!O138</f>
        <v>-0.2436933608</v>
      </c>
      <c r="P155" s="187">
        <f>LeverageFunging!P138</f>
        <v>-0.3511315453</v>
      </c>
      <c r="Q155" s="187">
        <f>LeverageFunging!Q138</f>
        <v>-0.302039906</v>
      </c>
      <c r="R155" s="187">
        <f>LeverageFunging!R138</f>
        <v>-0.2595389409</v>
      </c>
      <c r="S155" s="187">
        <f>LeverageFunging!S138</f>
        <v>-0.2942440774</v>
      </c>
      <c r="T155" s="187">
        <f>LeverageFunging!T138</f>
        <v>-0.3303441286</v>
      </c>
      <c r="U155" s="187">
        <f>LeverageFunging!U138</f>
        <v>-0.2711644361</v>
      </c>
      <c r="V155" s="187">
        <f>LeverageFunging!V138</f>
        <v>-0.2879059843</v>
      </c>
      <c r="W155" s="187">
        <f>LeverageFunging!W138</f>
        <v>-0.2650424207</v>
      </c>
      <c r="X155" s="187">
        <f>LeverageFunging!X138</f>
        <v>-0.3007483144</v>
      </c>
      <c r="Y155" s="187">
        <f>LeverageFunging!Y138</f>
        <v>-0.2836251438</v>
      </c>
      <c r="Z155" s="187">
        <f>LeverageFunging!Z138</f>
        <v>-0.3104560649</v>
      </c>
      <c r="AA155" s="187">
        <f>LeverageFunging!AA138</f>
        <v>-0.296479922</v>
      </c>
      <c r="AB155" s="187">
        <f>LeverageFunging!AB138</f>
        <v>-0.2669366675</v>
      </c>
      <c r="AC155" s="187">
        <f>LeverageFunging!AC138</f>
        <v>-0.2906515239</v>
      </c>
      <c r="AD155" s="187">
        <f>LeverageFunging!AD138</f>
        <v>-0.3296568898</v>
      </c>
      <c r="AE155" s="187">
        <f>LeverageFunging!AE138</f>
        <v>-0.2760612829</v>
      </c>
      <c r="AF155" s="187">
        <f>LeverageFunging!AF138</f>
        <v>-0.2570978079</v>
      </c>
      <c r="AG155" s="187">
        <f>LeverageFunging!AG138</f>
        <v>-0.2902258657</v>
      </c>
      <c r="AH155" s="187">
        <f>LeverageFunging!AH138</f>
        <v>-0.4653246315</v>
      </c>
      <c r="AI155" s="187">
        <f>LeverageFunging!AI138</f>
        <v>-0.3627622155</v>
      </c>
      <c r="AJ155" s="187">
        <f>LeverageFunging!AJ138</f>
        <v>-0.373245076</v>
      </c>
      <c r="AK155" s="204"/>
    </row>
    <row r="156">
      <c r="A156" s="101"/>
      <c r="B156" s="102"/>
      <c r="C156" s="102"/>
      <c r="D156" s="703" t="s">
        <v>525</v>
      </c>
      <c r="E156" s="47"/>
      <c r="F156" s="121" t="s">
        <v>112</v>
      </c>
      <c r="G156" s="248" t="s">
        <v>164</v>
      </c>
      <c r="H156" s="249" t="s">
        <v>165</v>
      </c>
      <c r="I156" s="675">
        <f t="shared" ref="I156:AJ156" si="44">((1+I154)*(1+I155))-1</f>
        <v>-0.4474021838</v>
      </c>
      <c r="J156" s="675">
        <f t="shared" si="44"/>
        <v>-0.4922405979</v>
      </c>
      <c r="K156" s="675">
        <f t="shared" si="44"/>
        <v>-0.5176067964</v>
      </c>
      <c r="L156" s="675">
        <f t="shared" si="44"/>
        <v>-0.3835279939</v>
      </c>
      <c r="M156" s="675">
        <f t="shared" si="44"/>
        <v>-0.5282148978</v>
      </c>
      <c r="N156" s="675">
        <f t="shared" si="44"/>
        <v>-0.4947218926</v>
      </c>
      <c r="O156" s="675">
        <f t="shared" si="44"/>
        <v>-0.4100808214</v>
      </c>
      <c r="P156" s="675">
        <f t="shared" si="44"/>
        <v>-0.4938826054</v>
      </c>
      <c r="Q156" s="675">
        <f t="shared" si="44"/>
        <v>-0.4555911267</v>
      </c>
      <c r="R156" s="675">
        <f t="shared" si="44"/>
        <v>-0.4224403739</v>
      </c>
      <c r="S156" s="675">
        <f t="shared" si="44"/>
        <v>-0.4495103804</v>
      </c>
      <c r="T156" s="675">
        <f t="shared" si="44"/>
        <v>-0.4776684203</v>
      </c>
      <c r="U156" s="675">
        <f t="shared" si="44"/>
        <v>-0.4315082602</v>
      </c>
      <c r="V156" s="675">
        <f t="shared" si="44"/>
        <v>-0.4445666677</v>
      </c>
      <c r="W156" s="675">
        <f t="shared" si="44"/>
        <v>-0.4267330881</v>
      </c>
      <c r="X156" s="675">
        <f t="shared" si="44"/>
        <v>-0.4545836852</v>
      </c>
      <c r="Y156" s="675">
        <f t="shared" si="44"/>
        <v>-0.4412276122</v>
      </c>
      <c r="Z156" s="675">
        <f t="shared" si="44"/>
        <v>-0.4621557306</v>
      </c>
      <c r="AA156" s="675">
        <f t="shared" si="44"/>
        <v>-0.4512543391</v>
      </c>
      <c r="AB156" s="675">
        <f t="shared" si="44"/>
        <v>-0.4282106006</v>
      </c>
      <c r="AC156" s="675">
        <f t="shared" si="44"/>
        <v>-0.4467081886</v>
      </c>
      <c r="AD156" s="675">
        <f t="shared" si="44"/>
        <v>-0.4771323741</v>
      </c>
      <c r="AE156" s="675">
        <f t="shared" si="44"/>
        <v>-0.4353278007</v>
      </c>
      <c r="AF156" s="675">
        <f t="shared" si="44"/>
        <v>-0.4205362902</v>
      </c>
      <c r="AG156" s="675">
        <f t="shared" si="44"/>
        <v>-0.4605716579</v>
      </c>
      <c r="AH156" s="675">
        <f t="shared" si="44"/>
        <v>-0.5936467199</v>
      </c>
      <c r="AI156" s="675">
        <f t="shared" si="44"/>
        <v>-0.5156992838</v>
      </c>
      <c r="AJ156" s="675">
        <f t="shared" si="44"/>
        <v>-0.5236662578</v>
      </c>
      <c r="AK156" s="679"/>
    </row>
    <row r="157">
      <c r="A157" s="101"/>
      <c r="B157" s="102"/>
      <c r="C157" s="102"/>
      <c r="D157" s="102"/>
      <c r="E157" s="103"/>
      <c r="F157" s="104"/>
      <c r="G157" s="111"/>
      <c r="H157" s="105"/>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7"/>
    </row>
    <row r="158">
      <c r="A158" s="101"/>
      <c r="B158" s="102"/>
      <c r="C158" s="130" t="s">
        <v>526</v>
      </c>
      <c r="F158" s="104"/>
      <c r="G158" s="111"/>
      <c r="H158" s="105"/>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7"/>
    </row>
    <row r="159">
      <c r="A159" s="101"/>
      <c r="B159" s="102"/>
      <c r="C159" s="102"/>
      <c r="D159" s="102"/>
      <c r="E159" s="112" t="s">
        <v>282</v>
      </c>
      <c r="F159" s="114" t="str">
        <f>F121</f>
        <v>%</v>
      </c>
      <c r="G159" s="286" t="s">
        <v>60</v>
      </c>
      <c r="H159" s="117" t="str">
        <f t="shared" ref="H159:AJ159" si="45">H121</f>
        <v>-</v>
      </c>
      <c r="I159" s="166">
        <f t="shared" si="45"/>
        <v>-0.22</v>
      </c>
      <c r="J159" s="166">
        <f t="shared" si="45"/>
        <v>-0.22</v>
      </c>
      <c r="K159" s="166">
        <f t="shared" si="45"/>
        <v>-0.22</v>
      </c>
      <c r="L159" s="166">
        <f t="shared" si="45"/>
        <v>-0.22</v>
      </c>
      <c r="M159" s="166">
        <f t="shared" si="45"/>
        <v>-0.22</v>
      </c>
      <c r="N159" s="166">
        <f t="shared" si="45"/>
        <v>-0.22</v>
      </c>
      <c r="O159" s="166">
        <f t="shared" si="45"/>
        <v>-0.22</v>
      </c>
      <c r="P159" s="166">
        <f t="shared" si="45"/>
        <v>-0.22</v>
      </c>
      <c r="Q159" s="166">
        <f t="shared" si="45"/>
        <v>-0.22</v>
      </c>
      <c r="R159" s="166">
        <f t="shared" si="45"/>
        <v>-0.22</v>
      </c>
      <c r="S159" s="166">
        <f t="shared" si="45"/>
        <v>-0.22</v>
      </c>
      <c r="T159" s="166">
        <f t="shared" si="45"/>
        <v>-0.22</v>
      </c>
      <c r="U159" s="166">
        <f t="shared" si="45"/>
        <v>-0.22</v>
      </c>
      <c r="V159" s="166">
        <f t="shared" si="45"/>
        <v>-0.22</v>
      </c>
      <c r="W159" s="166">
        <f t="shared" si="45"/>
        <v>-0.22</v>
      </c>
      <c r="X159" s="166">
        <f t="shared" si="45"/>
        <v>-0.22</v>
      </c>
      <c r="Y159" s="166">
        <f t="shared" si="45"/>
        <v>-0.22</v>
      </c>
      <c r="Z159" s="166">
        <f t="shared" si="45"/>
        <v>-0.22</v>
      </c>
      <c r="AA159" s="166">
        <f t="shared" si="45"/>
        <v>-0.22</v>
      </c>
      <c r="AB159" s="166">
        <f t="shared" si="45"/>
        <v>-0.22</v>
      </c>
      <c r="AC159" s="166">
        <f t="shared" si="45"/>
        <v>-0.22</v>
      </c>
      <c r="AD159" s="166">
        <f t="shared" si="45"/>
        <v>-0.22</v>
      </c>
      <c r="AE159" s="166">
        <f t="shared" si="45"/>
        <v>-0.22</v>
      </c>
      <c r="AF159" s="166">
        <f t="shared" si="45"/>
        <v>-0.22</v>
      </c>
      <c r="AG159" s="166">
        <f t="shared" si="45"/>
        <v>-0.24</v>
      </c>
      <c r="AH159" s="166">
        <f t="shared" si="45"/>
        <v>-0.24</v>
      </c>
      <c r="AI159" s="166">
        <f t="shared" si="45"/>
        <v>-0.24</v>
      </c>
      <c r="AJ159" s="166">
        <f t="shared" si="45"/>
        <v>-0.24</v>
      </c>
      <c r="AK159" s="180"/>
    </row>
    <row r="160">
      <c r="A160" s="101"/>
      <c r="B160" s="102"/>
      <c r="C160" s="102"/>
      <c r="D160" s="102"/>
      <c r="E160" s="144" t="s">
        <v>319</v>
      </c>
      <c r="F160" s="145" t="s">
        <v>112</v>
      </c>
      <c r="G160" s="419" t="s">
        <v>164</v>
      </c>
      <c r="H160" s="223" t="s">
        <v>165</v>
      </c>
      <c r="I160" s="187">
        <f t="shared" ref="I160:AJ160" si="46">SUM($H132:$H134,I132:I134)</f>
        <v>0.015</v>
      </c>
      <c r="J160" s="187">
        <f t="shared" si="46"/>
        <v>0.015</v>
      </c>
      <c r="K160" s="187">
        <f t="shared" si="46"/>
        <v>0.015</v>
      </c>
      <c r="L160" s="187">
        <f t="shared" si="46"/>
        <v>0.015</v>
      </c>
      <c r="M160" s="187">
        <f t="shared" si="46"/>
        <v>0.015</v>
      </c>
      <c r="N160" s="187">
        <f t="shared" si="46"/>
        <v>0.015</v>
      </c>
      <c r="O160" s="187">
        <f t="shared" si="46"/>
        <v>0.015</v>
      </c>
      <c r="P160" s="187">
        <f t="shared" si="46"/>
        <v>0.015</v>
      </c>
      <c r="Q160" s="187">
        <f t="shared" si="46"/>
        <v>0.015</v>
      </c>
      <c r="R160" s="187">
        <f t="shared" si="46"/>
        <v>0.015</v>
      </c>
      <c r="S160" s="187">
        <f t="shared" si="46"/>
        <v>0.015</v>
      </c>
      <c r="T160" s="187">
        <f t="shared" si="46"/>
        <v>0.015</v>
      </c>
      <c r="U160" s="187">
        <f t="shared" si="46"/>
        <v>0.015</v>
      </c>
      <c r="V160" s="187">
        <f t="shared" si="46"/>
        <v>0.015</v>
      </c>
      <c r="W160" s="187">
        <f t="shared" si="46"/>
        <v>0.015</v>
      </c>
      <c r="X160" s="187">
        <f t="shared" si="46"/>
        <v>0.015</v>
      </c>
      <c r="Y160" s="187">
        <f t="shared" si="46"/>
        <v>0.015</v>
      </c>
      <c r="Z160" s="187">
        <f t="shared" si="46"/>
        <v>0.015</v>
      </c>
      <c r="AA160" s="187">
        <f t="shared" si="46"/>
        <v>0.015</v>
      </c>
      <c r="AB160" s="187">
        <f t="shared" si="46"/>
        <v>0.015</v>
      </c>
      <c r="AC160" s="187">
        <f t="shared" si="46"/>
        <v>0.015</v>
      </c>
      <c r="AD160" s="187">
        <f t="shared" si="46"/>
        <v>0.015</v>
      </c>
      <c r="AE160" s="187">
        <f t="shared" si="46"/>
        <v>0.015</v>
      </c>
      <c r="AF160" s="187">
        <f t="shared" si="46"/>
        <v>0.015</v>
      </c>
      <c r="AG160" s="187">
        <f t="shared" si="46"/>
        <v>0.015</v>
      </c>
      <c r="AH160" s="187">
        <f t="shared" si="46"/>
        <v>0.015</v>
      </c>
      <c r="AI160" s="187">
        <f t="shared" si="46"/>
        <v>0.015</v>
      </c>
      <c r="AJ160" s="187">
        <f t="shared" si="46"/>
        <v>0.015</v>
      </c>
      <c r="AK160" s="204"/>
    </row>
    <row r="161">
      <c r="A161" s="101"/>
      <c r="B161" s="102"/>
      <c r="C161" s="102"/>
      <c r="D161" s="102"/>
      <c r="E161" s="830" t="s">
        <v>452</v>
      </c>
      <c r="F161" s="145" t="str">
        <f>LeverageFunging!F138</f>
        <v>%</v>
      </c>
      <c r="G161" s="419" t="s">
        <v>232</v>
      </c>
      <c r="H161" s="223" t="str">
        <f>LeverageFunging!H138</f>
        <v>-</v>
      </c>
      <c r="I161" s="187">
        <f>LeverageFunging!I138</f>
        <v>-0.2915412613</v>
      </c>
      <c r="J161" s="187">
        <f>LeverageFunging!J138</f>
        <v>-0.3490264075</v>
      </c>
      <c r="K161" s="187">
        <f>LeverageFunging!K138</f>
        <v>-0.3815471749</v>
      </c>
      <c r="L161" s="187">
        <f>LeverageFunging!L138</f>
        <v>-0.2096512743</v>
      </c>
      <c r="M161" s="187">
        <f>LeverageFunging!M138</f>
        <v>-0.3951473048</v>
      </c>
      <c r="N161" s="187">
        <f>LeverageFunging!N138</f>
        <v>-0.3522075546</v>
      </c>
      <c r="O161" s="187">
        <f>LeverageFunging!O138</f>
        <v>-0.2436933608</v>
      </c>
      <c r="P161" s="187">
        <f>LeverageFunging!P138</f>
        <v>-0.3511315453</v>
      </c>
      <c r="Q161" s="187">
        <f>LeverageFunging!Q138</f>
        <v>-0.302039906</v>
      </c>
      <c r="R161" s="187">
        <f>LeverageFunging!R138</f>
        <v>-0.2595389409</v>
      </c>
      <c r="S161" s="187">
        <f>LeverageFunging!S138</f>
        <v>-0.2942440774</v>
      </c>
      <c r="T161" s="187">
        <f>LeverageFunging!T138</f>
        <v>-0.3303441286</v>
      </c>
      <c r="U161" s="187">
        <f>LeverageFunging!U138</f>
        <v>-0.2711644361</v>
      </c>
      <c r="V161" s="187">
        <f>LeverageFunging!V138</f>
        <v>-0.2879059843</v>
      </c>
      <c r="W161" s="187">
        <f>LeverageFunging!W138</f>
        <v>-0.2650424207</v>
      </c>
      <c r="X161" s="187">
        <f>LeverageFunging!X138</f>
        <v>-0.3007483144</v>
      </c>
      <c r="Y161" s="187">
        <f>LeverageFunging!Y138</f>
        <v>-0.2836251438</v>
      </c>
      <c r="Z161" s="187">
        <f>LeverageFunging!Z138</f>
        <v>-0.3104560649</v>
      </c>
      <c r="AA161" s="187">
        <f>LeverageFunging!AA138</f>
        <v>-0.296479922</v>
      </c>
      <c r="AB161" s="187">
        <f>LeverageFunging!AB138</f>
        <v>-0.2669366675</v>
      </c>
      <c r="AC161" s="187">
        <f>LeverageFunging!AC138</f>
        <v>-0.2906515239</v>
      </c>
      <c r="AD161" s="187">
        <f>LeverageFunging!AD138</f>
        <v>-0.3296568898</v>
      </c>
      <c r="AE161" s="187">
        <f>LeverageFunging!AE138</f>
        <v>-0.2760612829</v>
      </c>
      <c r="AF161" s="187">
        <f>LeverageFunging!AF138</f>
        <v>-0.2570978079</v>
      </c>
      <c r="AG161" s="187">
        <f>LeverageFunging!AG138</f>
        <v>-0.2902258657</v>
      </c>
      <c r="AH161" s="187">
        <f>LeverageFunging!AH138</f>
        <v>-0.4653246315</v>
      </c>
      <c r="AI161" s="187">
        <f>LeverageFunging!AI138</f>
        <v>-0.3627622155</v>
      </c>
      <c r="AJ161" s="187">
        <f>LeverageFunging!AJ138</f>
        <v>-0.373245076</v>
      </c>
      <c r="AK161" s="204"/>
    </row>
    <row r="162">
      <c r="A162" s="101"/>
      <c r="B162" s="102"/>
      <c r="C162" s="102"/>
      <c r="D162" s="703" t="s">
        <v>530</v>
      </c>
      <c r="E162" s="47"/>
      <c r="F162" s="121" t="s">
        <v>112</v>
      </c>
      <c r="G162" s="248" t="s">
        <v>164</v>
      </c>
      <c r="H162" s="249" t="s">
        <v>165</v>
      </c>
      <c r="I162" s="675">
        <f t="shared" ref="I162:AJ162" si="47">((1+I159)*(1+I160)*(1+I161))-1</f>
        <v>-0.4391132166</v>
      </c>
      <c r="J162" s="675">
        <f t="shared" si="47"/>
        <v>-0.4846242068</v>
      </c>
      <c r="K162" s="675">
        <f t="shared" si="47"/>
        <v>-0.5103708984</v>
      </c>
      <c r="L162" s="675">
        <f t="shared" si="47"/>
        <v>-0.3742809138</v>
      </c>
      <c r="M162" s="675">
        <f t="shared" si="47"/>
        <v>-0.5211381212</v>
      </c>
      <c r="N162" s="675">
        <f t="shared" si="47"/>
        <v>-0.4871427209</v>
      </c>
      <c r="O162" s="675">
        <f t="shared" si="47"/>
        <v>-0.4012320337</v>
      </c>
      <c r="P162" s="675">
        <f t="shared" si="47"/>
        <v>-0.4862908444</v>
      </c>
      <c r="Q162" s="675">
        <f t="shared" si="47"/>
        <v>-0.4474249936</v>
      </c>
      <c r="R162" s="675">
        <f t="shared" si="47"/>
        <v>-0.4137769795</v>
      </c>
      <c r="S162" s="675">
        <f t="shared" si="47"/>
        <v>-0.4412530361</v>
      </c>
      <c r="T162" s="675">
        <f t="shared" si="47"/>
        <v>-0.4698334466</v>
      </c>
      <c r="U162" s="675">
        <f t="shared" si="47"/>
        <v>-0.4229808841</v>
      </c>
      <c r="V162" s="675">
        <f t="shared" si="47"/>
        <v>-0.4362351677</v>
      </c>
      <c r="W162" s="675">
        <f t="shared" si="47"/>
        <v>-0.4181340844</v>
      </c>
      <c r="X162" s="675">
        <f t="shared" si="47"/>
        <v>-0.4464024405</v>
      </c>
      <c r="Y162" s="675">
        <f t="shared" si="47"/>
        <v>-0.4328460264</v>
      </c>
      <c r="Z162" s="675">
        <f t="shared" si="47"/>
        <v>-0.4540880666</v>
      </c>
      <c r="AA162" s="675">
        <f t="shared" si="47"/>
        <v>-0.4430231542</v>
      </c>
      <c r="AB162" s="675">
        <f t="shared" si="47"/>
        <v>-0.4196337596</v>
      </c>
      <c r="AC162" s="675">
        <f t="shared" si="47"/>
        <v>-0.4384088115</v>
      </c>
      <c r="AD162" s="675">
        <f t="shared" si="47"/>
        <v>-0.4692893597</v>
      </c>
      <c r="AE162" s="675">
        <f t="shared" si="47"/>
        <v>-0.4268577177</v>
      </c>
      <c r="AF162" s="675">
        <f t="shared" si="47"/>
        <v>-0.4118443345</v>
      </c>
      <c r="AG162" s="675">
        <f t="shared" si="47"/>
        <v>-0.4524802328</v>
      </c>
      <c r="AH162" s="675">
        <f t="shared" si="47"/>
        <v>-0.5875514207</v>
      </c>
      <c r="AI162" s="675">
        <f t="shared" si="47"/>
        <v>-0.5084347731</v>
      </c>
      <c r="AJ162" s="675">
        <f t="shared" si="47"/>
        <v>-0.5165212516</v>
      </c>
      <c r="AK162" s="679"/>
    </row>
    <row r="163">
      <c r="A163" s="101"/>
      <c r="B163" s="102"/>
      <c r="C163" s="102"/>
      <c r="D163" s="102"/>
      <c r="E163" s="103"/>
      <c r="F163" s="104"/>
      <c r="G163" s="111"/>
      <c r="H163" s="105"/>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7"/>
    </row>
    <row r="164">
      <c r="A164" s="101"/>
      <c r="B164" s="102"/>
      <c r="C164" s="130" t="s">
        <v>532</v>
      </c>
      <c r="F164" s="104"/>
      <c r="G164" s="111"/>
      <c r="H164" s="105"/>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7"/>
    </row>
    <row r="165">
      <c r="A165" s="101"/>
      <c r="B165" s="102"/>
      <c r="C165" s="102"/>
      <c r="D165" s="102"/>
      <c r="E165" s="112" t="s">
        <v>533</v>
      </c>
      <c r="F165" s="114" t="s">
        <v>101</v>
      </c>
      <c r="G165" s="286" t="s">
        <v>164</v>
      </c>
      <c r="H165" s="256" t="s">
        <v>165</v>
      </c>
      <c r="I165" s="118">
        <f t="shared" ref="I165:AJ165" si="48">I40*(1+I$156)</f>
        <v>411523.0371</v>
      </c>
      <c r="J165" s="118">
        <f t="shared" si="48"/>
        <v>348832.6551</v>
      </c>
      <c r="K165" s="118">
        <f t="shared" si="48"/>
        <v>376159.1838</v>
      </c>
      <c r="L165" s="118">
        <f t="shared" si="48"/>
        <v>480710.7665</v>
      </c>
      <c r="M165" s="118">
        <f t="shared" si="48"/>
        <v>259908.1339</v>
      </c>
      <c r="N165" s="118">
        <f t="shared" si="48"/>
        <v>394004.3083</v>
      </c>
      <c r="O165" s="118">
        <f t="shared" si="48"/>
        <v>460005.4792</v>
      </c>
      <c r="P165" s="118">
        <f t="shared" si="48"/>
        <v>512921.2117</v>
      </c>
      <c r="Q165" s="118">
        <f t="shared" si="48"/>
        <v>509810.6357</v>
      </c>
      <c r="R165" s="118">
        <f t="shared" si="48"/>
        <v>450367.7829</v>
      </c>
      <c r="S165" s="118">
        <f t="shared" si="48"/>
        <v>429259.2111</v>
      </c>
      <c r="T165" s="118">
        <f t="shared" si="48"/>
        <v>407302.2158</v>
      </c>
      <c r="U165" s="118">
        <f t="shared" si="48"/>
        <v>443296.8526</v>
      </c>
      <c r="V165" s="118">
        <f t="shared" si="48"/>
        <v>433114.2052</v>
      </c>
      <c r="W165" s="118">
        <f t="shared" si="48"/>
        <v>447020.4225</v>
      </c>
      <c r="X165" s="118">
        <f t="shared" si="48"/>
        <v>425303.1641</v>
      </c>
      <c r="Y165" s="118">
        <f t="shared" si="48"/>
        <v>435717.9243</v>
      </c>
      <c r="Z165" s="118">
        <f t="shared" si="48"/>
        <v>419398.6563</v>
      </c>
      <c r="AA165" s="118">
        <f t="shared" si="48"/>
        <v>427899.312</v>
      </c>
      <c r="AB165" s="118">
        <f t="shared" si="48"/>
        <v>445868.2921</v>
      </c>
      <c r="AC165" s="118">
        <f t="shared" si="48"/>
        <v>431444.2961</v>
      </c>
      <c r="AD165" s="118">
        <f t="shared" si="48"/>
        <v>407720.2124</v>
      </c>
      <c r="AE165" s="118">
        <f t="shared" si="48"/>
        <v>440318.4623</v>
      </c>
      <c r="AF165" s="118">
        <f t="shared" si="48"/>
        <v>451852.5438</v>
      </c>
      <c r="AG165" s="118">
        <f t="shared" si="48"/>
        <v>252497.3844</v>
      </c>
      <c r="AH165" s="118">
        <f t="shared" si="48"/>
        <v>190207.1737</v>
      </c>
      <c r="AI165" s="118">
        <f t="shared" si="48"/>
        <v>317511.7788</v>
      </c>
      <c r="AJ165" s="118">
        <f t="shared" si="48"/>
        <v>334445.7863</v>
      </c>
      <c r="AK165" s="142"/>
    </row>
    <row r="166">
      <c r="A166" s="101"/>
      <c r="B166" s="102"/>
      <c r="C166" s="102"/>
      <c r="D166" s="102"/>
      <c r="E166" s="246" t="s">
        <v>534</v>
      </c>
      <c r="F166" s="121" t="s">
        <v>108</v>
      </c>
      <c r="G166" s="248" t="s">
        <v>164</v>
      </c>
      <c r="H166" s="249" t="s">
        <v>165</v>
      </c>
      <c r="I166" s="855">
        <f t="shared" ref="I166:AJ166" si="49">I21/I165</f>
        <v>2.429997618</v>
      </c>
      <c r="J166" s="855">
        <f t="shared" si="49"/>
        <v>2.866704093</v>
      </c>
      <c r="K166" s="855">
        <f t="shared" si="49"/>
        <v>2.658448984</v>
      </c>
      <c r="L166" s="855">
        <f t="shared" si="49"/>
        <v>2.08025297</v>
      </c>
      <c r="M166" s="855">
        <f t="shared" si="49"/>
        <v>3.847513292</v>
      </c>
      <c r="N166" s="855">
        <f t="shared" si="49"/>
        <v>2.538043313</v>
      </c>
      <c r="O166" s="855">
        <f t="shared" si="49"/>
        <v>2.17388715</v>
      </c>
      <c r="P166" s="855">
        <f t="shared" si="49"/>
        <v>1.949617168</v>
      </c>
      <c r="Q166" s="855">
        <f t="shared" si="49"/>
        <v>1.961512628</v>
      </c>
      <c r="R166" s="855">
        <f t="shared" si="49"/>
        <v>2.220407494</v>
      </c>
      <c r="S166" s="855">
        <f t="shared" si="49"/>
        <v>2.329594739</v>
      </c>
      <c r="T166" s="855">
        <f t="shared" si="49"/>
        <v>2.455179376</v>
      </c>
      <c r="U166" s="855">
        <f t="shared" si="49"/>
        <v>2.255824723</v>
      </c>
      <c r="V166" s="855">
        <f t="shared" si="49"/>
        <v>2.308859853</v>
      </c>
      <c r="W166" s="855">
        <f t="shared" si="49"/>
        <v>2.23703426</v>
      </c>
      <c r="X166" s="855">
        <f t="shared" si="49"/>
        <v>2.351263956</v>
      </c>
      <c r="Y166" s="855">
        <f t="shared" si="49"/>
        <v>2.295062802</v>
      </c>
      <c r="Z166" s="855">
        <f t="shared" si="49"/>
        <v>2.384366246</v>
      </c>
      <c r="AA166" s="855">
        <f t="shared" si="49"/>
        <v>2.336998382</v>
      </c>
      <c r="AB166" s="855">
        <f t="shared" si="49"/>
        <v>2.24281479</v>
      </c>
      <c r="AC166" s="855">
        <f t="shared" si="49"/>
        <v>2.317796316</v>
      </c>
      <c r="AD166" s="855">
        <f t="shared" si="49"/>
        <v>2.452662315</v>
      </c>
      <c r="AE166" s="855">
        <f t="shared" si="49"/>
        <v>2.271083512</v>
      </c>
      <c r="AF166" s="855">
        <f t="shared" si="49"/>
        <v>2.213111365</v>
      </c>
      <c r="AG166" s="855">
        <f t="shared" si="49"/>
        <v>3.960437065</v>
      </c>
      <c r="AH166" s="855">
        <f t="shared" si="49"/>
        <v>5.257425262</v>
      </c>
      <c r="AI166" s="855">
        <f t="shared" si="49"/>
        <v>3.149489458</v>
      </c>
      <c r="AJ166" s="855">
        <f t="shared" si="49"/>
        <v>2.990021226</v>
      </c>
      <c r="AK166" s="856"/>
    </row>
    <row r="167">
      <c r="A167" s="101"/>
      <c r="B167" s="102"/>
      <c r="C167" s="102"/>
      <c r="D167" s="102"/>
      <c r="E167" s="103"/>
      <c r="F167" s="104"/>
      <c r="G167" s="111"/>
      <c r="H167" s="105"/>
      <c r="I167" s="323"/>
      <c r="J167" s="323"/>
      <c r="K167" s="323"/>
      <c r="L167" s="323"/>
      <c r="M167" s="323"/>
      <c r="N167" s="323"/>
      <c r="O167" s="323"/>
      <c r="P167" s="323"/>
      <c r="Q167" s="323"/>
      <c r="R167" s="323"/>
      <c r="S167" s="323"/>
      <c r="T167" s="323"/>
      <c r="U167" s="323"/>
      <c r="V167" s="323"/>
      <c r="W167" s="323"/>
      <c r="X167" s="323"/>
      <c r="Y167" s="323"/>
      <c r="Z167" s="323"/>
      <c r="AA167" s="323"/>
      <c r="AB167" s="323"/>
      <c r="AC167" s="323"/>
      <c r="AD167" s="323"/>
      <c r="AE167" s="323"/>
      <c r="AF167" s="323"/>
      <c r="AG167" s="323"/>
      <c r="AH167" s="323"/>
      <c r="AI167" s="323"/>
      <c r="AJ167" s="323"/>
      <c r="AK167" s="107"/>
    </row>
    <row r="168">
      <c r="A168" s="101"/>
      <c r="B168" s="102"/>
      <c r="C168" s="130" t="s">
        <v>536</v>
      </c>
      <c r="F168" s="104"/>
      <c r="G168" s="111"/>
      <c r="H168" s="105"/>
      <c r="I168" s="323"/>
      <c r="J168" s="323"/>
      <c r="K168" s="323"/>
      <c r="L168" s="323"/>
      <c r="M168" s="323"/>
      <c r="N168" s="323"/>
      <c r="O168" s="323"/>
      <c r="P168" s="323"/>
      <c r="Q168" s="323"/>
      <c r="R168" s="323"/>
      <c r="S168" s="323"/>
      <c r="T168" s="323"/>
      <c r="U168" s="323"/>
      <c r="V168" s="323"/>
      <c r="W168" s="323"/>
      <c r="X168" s="323"/>
      <c r="Y168" s="323"/>
      <c r="Z168" s="323"/>
      <c r="AA168" s="323"/>
      <c r="AB168" s="323"/>
      <c r="AC168" s="323"/>
      <c r="AD168" s="323"/>
      <c r="AE168" s="323"/>
      <c r="AF168" s="323"/>
      <c r="AG168" s="323"/>
      <c r="AH168" s="323"/>
      <c r="AI168" s="323"/>
      <c r="AJ168" s="323"/>
      <c r="AK168" s="107"/>
    </row>
    <row r="169">
      <c r="A169" s="101"/>
      <c r="B169" s="102"/>
      <c r="C169" s="102"/>
      <c r="D169" s="102"/>
      <c r="E169" s="112" t="s">
        <v>537</v>
      </c>
      <c r="F169" s="114" t="s">
        <v>101</v>
      </c>
      <c r="G169" s="286" t="s">
        <v>164</v>
      </c>
      <c r="H169" s="256" t="s">
        <v>165</v>
      </c>
      <c r="I169" s="118">
        <f t="shared" ref="I169:AJ169" si="50">I103*(1+I$162)</f>
        <v>310.3728186</v>
      </c>
      <c r="J169" s="118">
        <f t="shared" si="50"/>
        <v>218.4286525</v>
      </c>
      <c r="K169" s="118">
        <f t="shared" si="50"/>
        <v>117.2495077</v>
      </c>
      <c r="L169" s="118">
        <f t="shared" si="50"/>
        <v>232.2498128</v>
      </c>
      <c r="M169" s="118">
        <f t="shared" si="50"/>
        <v>150.1077849</v>
      </c>
      <c r="N169" s="118">
        <f t="shared" si="50"/>
        <v>65.87274765</v>
      </c>
      <c r="O169" s="118">
        <f t="shared" si="50"/>
        <v>218.4967475</v>
      </c>
      <c r="P169" s="118">
        <f t="shared" si="50"/>
        <v>450.7924902</v>
      </c>
      <c r="Q169" s="118">
        <f t="shared" si="50"/>
        <v>814.8306372</v>
      </c>
      <c r="R169" s="118">
        <f t="shared" si="50"/>
        <v>294.9230701</v>
      </c>
      <c r="S169" s="118">
        <f t="shared" si="50"/>
        <v>60.60466696</v>
      </c>
      <c r="T169" s="118">
        <f t="shared" si="50"/>
        <v>31.66680277</v>
      </c>
      <c r="U169" s="118">
        <f t="shared" si="50"/>
        <v>130.836686</v>
      </c>
      <c r="V169" s="118">
        <f t="shared" si="50"/>
        <v>71.37337592</v>
      </c>
      <c r="W169" s="118">
        <f t="shared" si="50"/>
        <v>185.6313079</v>
      </c>
      <c r="X169" s="118">
        <f t="shared" si="50"/>
        <v>52.3502285</v>
      </c>
      <c r="Y169" s="118">
        <f t="shared" si="50"/>
        <v>80.94366496</v>
      </c>
      <c r="Z169" s="118">
        <f t="shared" si="50"/>
        <v>43.33399699</v>
      </c>
      <c r="AA169" s="118">
        <f t="shared" si="50"/>
        <v>57.50661269</v>
      </c>
      <c r="AB169" s="118">
        <f t="shared" si="50"/>
        <v>164.4448274</v>
      </c>
      <c r="AC169" s="118">
        <f t="shared" si="50"/>
        <v>66.29633044</v>
      </c>
      <c r="AD169" s="118">
        <f t="shared" si="50"/>
        <v>31.97278634</v>
      </c>
      <c r="AE169" s="118">
        <f t="shared" si="50"/>
        <v>105.5389318</v>
      </c>
      <c r="AF169" s="118">
        <f t="shared" si="50"/>
        <v>397.661988</v>
      </c>
      <c r="AG169" s="118">
        <f t="shared" si="50"/>
        <v>77.27141898</v>
      </c>
      <c r="AH169" s="118">
        <f t="shared" si="50"/>
        <v>276.3221162</v>
      </c>
      <c r="AI169" s="118">
        <f t="shared" si="50"/>
        <v>204.5108834</v>
      </c>
      <c r="AJ169" s="118">
        <f t="shared" si="50"/>
        <v>86.6494789</v>
      </c>
      <c r="AK169" s="142"/>
    </row>
    <row r="170">
      <c r="A170" s="101"/>
      <c r="B170" s="102"/>
      <c r="C170" s="102"/>
      <c r="D170" s="102"/>
      <c r="E170" s="246" t="s">
        <v>539</v>
      </c>
      <c r="F170" s="121" t="s">
        <v>108</v>
      </c>
      <c r="G170" s="248" t="s">
        <v>164</v>
      </c>
      <c r="H170" s="249" t="s">
        <v>165</v>
      </c>
      <c r="I170" s="251">
        <f t="shared" ref="I170:AJ170" si="51">I21/I169</f>
        <v>3221.931626</v>
      </c>
      <c r="J170" s="251">
        <f t="shared" si="51"/>
        <v>4578.153959</v>
      </c>
      <c r="K170" s="251">
        <f t="shared" si="51"/>
        <v>8528.820462</v>
      </c>
      <c r="L170" s="251">
        <f t="shared" si="51"/>
        <v>4305.708531</v>
      </c>
      <c r="M170" s="251">
        <f t="shared" si="51"/>
        <v>6661.879667</v>
      </c>
      <c r="N170" s="251">
        <f t="shared" si="51"/>
        <v>15180.7847</v>
      </c>
      <c r="O170" s="251">
        <f t="shared" si="51"/>
        <v>4576.727166</v>
      </c>
      <c r="P170" s="251">
        <f t="shared" si="51"/>
        <v>2218.31557</v>
      </c>
      <c r="Q170" s="251">
        <f t="shared" si="51"/>
        <v>1227.248896</v>
      </c>
      <c r="R170" s="251">
        <f t="shared" si="51"/>
        <v>3390.714736</v>
      </c>
      <c r="S170" s="251">
        <f t="shared" si="51"/>
        <v>16500.37943</v>
      </c>
      <c r="T170" s="251">
        <f t="shared" si="51"/>
        <v>31578.81164</v>
      </c>
      <c r="U170" s="251">
        <f t="shared" si="51"/>
        <v>7643.116243</v>
      </c>
      <c r="V170" s="251">
        <f t="shared" si="51"/>
        <v>14010.82669</v>
      </c>
      <c r="W170" s="251">
        <f t="shared" si="51"/>
        <v>5387.022326</v>
      </c>
      <c r="X170" s="251">
        <f t="shared" si="51"/>
        <v>19102.11337</v>
      </c>
      <c r="Y170" s="251">
        <f t="shared" si="51"/>
        <v>12354.27134</v>
      </c>
      <c r="Z170" s="251">
        <f t="shared" si="51"/>
        <v>23076.56966</v>
      </c>
      <c r="AA170" s="251">
        <f t="shared" si="51"/>
        <v>17389.30452</v>
      </c>
      <c r="AB170" s="251">
        <f t="shared" si="51"/>
        <v>6081.066919</v>
      </c>
      <c r="AC170" s="251">
        <f t="shared" si="51"/>
        <v>15083.79111</v>
      </c>
      <c r="AD170" s="251">
        <f t="shared" si="51"/>
        <v>31276.59846</v>
      </c>
      <c r="AE170" s="251">
        <f t="shared" si="51"/>
        <v>9475.176441</v>
      </c>
      <c r="AF170" s="251">
        <f t="shared" si="51"/>
        <v>2514.698488</v>
      </c>
      <c r="AG170" s="251">
        <f t="shared" si="51"/>
        <v>12941.39558</v>
      </c>
      <c r="AH170" s="251">
        <f t="shared" si="51"/>
        <v>3618.964756</v>
      </c>
      <c r="AI170" s="251">
        <f t="shared" si="51"/>
        <v>4889.715322</v>
      </c>
      <c r="AJ170" s="251">
        <f t="shared" si="51"/>
        <v>11540.7503</v>
      </c>
      <c r="AK170" s="252"/>
    </row>
    <row r="171">
      <c r="A171" s="845"/>
      <c r="B171" s="846"/>
      <c r="C171" s="846"/>
      <c r="D171" s="846"/>
      <c r="E171" s="857"/>
      <c r="F171" s="848"/>
      <c r="G171" s="849"/>
      <c r="H171" s="288"/>
      <c r="I171" s="251"/>
      <c r="J171" s="251"/>
      <c r="K171" s="251"/>
      <c r="L171" s="251"/>
      <c r="M171" s="251"/>
      <c r="N171" s="251"/>
      <c r="O171" s="251"/>
      <c r="P171" s="251"/>
      <c r="Q171" s="251"/>
      <c r="R171" s="251"/>
      <c r="S171" s="251"/>
      <c r="T171" s="251"/>
      <c r="U171" s="251"/>
      <c r="V171" s="251"/>
      <c r="W171" s="251"/>
      <c r="X171" s="251"/>
      <c r="Y171" s="251"/>
      <c r="Z171" s="251"/>
      <c r="AA171" s="251"/>
      <c r="AB171" s="251"/>
      <c r="AC171" s="251"/>
      <c r="AD171" s="251"/>
      <c r="AE171" s="251"/>
      <c r="AF171" s="251"/>
      <c r="AG171" s="251"/>
      <c r="AH171" s="251"/>
      <c r="AI171" s="251"/>
      <c r="AJ171" s="251"/>
      <c r="AK171" s="292"/>
    </row>
  </sheetData>
  <mergeCells count="48">
    <mergeCell ref="I1:P1"/>
    <mergeCell ref="Q1:X1"/>
    <mergeCell ref="Y1:AF1"/>
    <mergeCell ref="AG1:AJ1"/>
    <mergeCell ref="A3:E3"/>
    <mergeCell ref="A5:G5"/>
    <mergeCell ref="C7:E7"/>
    <mergeCell ref="C10:E10"/>
    <mergeCell ref="C17:E17"/>
    <mergeCell ref="C20:E20"/>
    <mergeCell ref="C27:E27"/>
    <mergeCell ref="C31:E31"/>
    <mergeCell ref="A37:G37"/>
    <mergeCell ref="C39:E39"/>
    <mergeCell ref="A44:G44"/>
    <mergeCell ref="C46:E46"/>
    <mergeCell ref="C58:E58"/>
    <mergeCell ref="A66:G66"/>
    <mergeCell ref="C68:E68"/>
    <mergeCell ref="C72:E72"/>
    <mergeCell ref="A76:G76"/>
    <mergeCell ref="C78:E78"/>
    <mergeCell ref="C82:E82"/>
    <mergeCell ref="C86:E86"/>
    <mergeCell ref="C90:E90"/>
    <mergeCell ref="C97:E97"/>
    <mergeCell ref="C101:E101"/>
    <mergeCell ref="A106:G106"/>
    <mergeCell ref="C108:E108"/>
    <mergeCell ref="D109:E109"/>
    <mergeCell ref="D113:E113"/>
    <mergeCell ref="D116:E116"/>
    <mergeCell ref="D121:E121"/>
    <mergeCell ref="C123:E123"/>
    <mergeCell ref="D124:E124"/>
    <mergeCell ref="C153:E153"/>
    <mergeCell ref="D156:E156"/>
    <mergeCell ref="C158:E158"/>
    <mergeCell ref="D162:E162"/>
    <mergeCell ref="C164:E164"/>
    <mergeCell ref="C168:E168"/>
    <mergeCell ref="D131:E131"/>
    <mergeCell ref="D135:E135"/>
    <mergeCell ref="C137:E137"/>
    <mergeCell ref="D141:E141"/>
    <mergeCell ref="A143:G143"/>
    <mergeCell ref="C145:E145"/>
    <mergeCell ref="A151:G151"/>
  </mergeCells>
  <hyperlinks>
    <hyperlink display="Grant size" location="Inputs!E8" ref="E8"/>
    <hyperlink display="Percentage of total costs covered by the grantee" location="Inputs!E11" ref="E11"/>
    <hyperlink display="Percentage of total costs covered by Nutrition International (vitamin A capsule procurement)" location="Inputs!E12" ref="E12"/>
    <hyperlink display="Percentage of total costs covered by other philanthropic actors" location="Inputs!E13" ref="E13"/>
    <hyperlink display="Percentage of total costs covered by domestic governments (financial contributions)" location="Inputs!E14" ref="E14"/>
    <hyperlink display="Percentage of total costs covered by domestic governments (in-kind contributions)" location="Inputs!E15" ref="E15"/>
    <hyperlink display="Cost per vitamin A supplement delivered" location="Inputs!E18" ref="E32"/>
    <hyperlink display="Supplementation rounds delivered per year" location="Inputs!E19" ref="E33"/>
    <hyperlink display="Baseline proportion of people under age 5 who receive VAS from non-campaign sources" location="Inputs!E139" ref="E41"/>
    <hyperlink display="Reduction in all-cause mortality for children under age 5 participating in VAS programs found in the Imdad et al. 2017 meta-analysis" location="Inputs!E144" ref="E47"/>
    <hyperlink display="Proportion of participating children that received VAS in the trials from the Imdad et al. 2017 meta-analysis" location="Inputs!E145" ref="E48"/>
    <hyperlink display="Internal validity adjustment" location="Inputs!E146" ref="E50"/>
    <hyperlink display="External validity adjustment" location="'External validity'!E182" ref="E51"/>
    <hyperlink display="Proportion of people under age 5 represented in GBD 2019 disease burden estimates who received VAS" location="Inputs!E147" ref="E54"/>
    <hyperlink display="Ratio of value generated from income increases to value generated from mortalities averted among people under age 15 by seasonal malaria chemoprevention (SMC)" location="Inputs!E150" ref="E59"/>
    <hyperlink display="Adjustment for income increases generated by VAS compared to SMC" location="Inputs!E151" ref="E60"/>
    <hyperlink display="Value assigned to averting a death of a person under age 5 with vitamin A supplementation" location="Inputs!E156" ref="E62"/>
    <hyperlink display="Value assigned to averting a death of a person under age 5 with vitamin A supplementation" location="Inputs!E156" ref="E69"/>
    <hyperlink display="Total deaths averted among people under age 5" location="'Main CEA'!E56" ref="E79"/>
    <hyperlink display="Additional people under age 5 receiving a year of VAS as a result of the program" location="'Main CEA'!E42" ref="E80"/>
    <hyperlink display="Value assigned to averting a death of a person under age 5 with vitamin A supplementation" location="Inputs!E156" ref="E83"/>
    <hyperlink display="Units of value generated from long-term income increases per person receiving a year of VAS" location="'Main CEA'!E73" ref="E84"/>
    <hyperlink display="Total spending contributed by grantee" location="'Main CEA'!E21" ref="E91"/>
    <hyperlink display="Total spending contributed by grantee" location="'Main CEA'!E21" ref="E102"/>
    <hyperlink display="Double treatment" location="Inputs!E169" ref="E110"/>
    <hyperlink display="Ineffective goods" location="Inputs!E170" ref="E111"/>
    <hyperlink display="Goods purchased and left in storage until they expire / cash doesn't receive recipients or is taken back from them inappropriately" location="Inputs!E171" ref="E112"/>
    <hyperlink display="Misappropriation without monitoring results" location="Inputs!E173" ref="E114"/>
    <hyperlink display="False monitoring results" location="Inputs!E174" ref="E115"/>
    <hyperlink display="Change of priorities" location="Inputs!E176" ref="E117"/>
    <hyperlink display="Non-funding bottlenecks" location="Inputs!E177" ref="E118"/>
    <hyperlink display="Within-org fungibility" location="Inputs!E178" ref="E119"/>
    <hyperlink display="Short-term consequences of reduced infectious disease morbidity" location="Inputs!E181" ref="E125"/>
    <hyperlink display="Short-term anemia effects" location="Inputs!E182" ref="E126"/>
    <hyperlink display="Investment of income increases" location="Inputs!E183" ref="E127"/>
    <hyperlink display="Vision benefits" location="Inputs!E184" ref="E128"/>
    <hyperlink display="Benefits from other programs supported by our funding (e.g. deworming, immunizations)" location="Inputs!E185" ref="E129"/>
    <hyperlink display="Treatment costs averted from prevention" location="Inputs!E186" ref="E130"/>
    <hyperlink display="Interaction between VAS and vaccines" location="Inputs!E187" ref="E132"/>
    <hyperlink display="Marginal funding going to lower priority areas" location="Inputs!E188" ref="E133"/>
    <hyperlink display="Adjustment for the possibility of crowding funding into the program (leverage)" location="LeverageFunging!E133" ref="E138"/>
    <hyperlink display="Adjustment for the possibility of crowding funding out of the program (funging)" location="LeverageFunging!E134" ref="E139"/>
    <hyperlink display="Total value generated by grantee spending after adjusting for leverage and funging" location="LeverageFunging!E130" ref="E146"/>
    <hyperlink display="Total spending contributed by grantee" location="'Main CEA'!E21" ref="E147"/>
    <hyperlink display="Total supplemental grantee-level adjustment" location="'Main CEA'!D121" ref="E154"/>
    <hyperlink display="Leverage and funging adjustment for counterfactual impact estimates" location="LeverageFunging!E138" ref="E155"/>
    <hyperlink display="Total supplemental grantee-level adjustment" location="'Main CEA'!D121" ref="E159"/>
    <hyperlink display="Leverage and funging adjustment for counterfactual impact estimates" location="LeverageFunging!E138" ref="E161"/>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6" width="12.13"/>
    <col customWidth="1" min="37" max="37" width="3.63"/>
  </cols>
  <sheetData>
    <row r="1">
      <c r="A1" s="1"/>
      <c r="B1" s="4"/>
      <c r="C1" s="4"/>
      <c r="D1" s="4"/>
      <c r="E1" s="6"/>
      <c r="F1" s="7"/>
      <c r="G1" s="7"/>
      <c r="H1" s="8"/>
      <c r="I1" s="10" t="s">
        <v>1</v>
      </c>
      <c r="Q1" s="13" t="s">
        <v>1</v>
      </c>
      <c r="R1" s="3"/>
      <c r="S1" s="3"/>
      <c r="T1" s="3"/>
      <c r="U1" s="3"/>
      <c r="V1" s="3"/>
      <c r="W1" s="3"/>
      <c r="X1" s="3"/>
      <c r="Y1" s="13" t="s">
        <v>1</v>
      </c>
      <c r="Z1" s="3"/>
      <c r="AA1" s="3"/>
      <c r="AB1" s="3"/>
      <c r="AC1" s="3"/>
      <c r="AD1" s="3"/>
      <c r="AE1" s="3"/>
      <c r="AF1" s="17"/>
      <c r="AG1" s="20" t="s">
        <v>3</v>
      </c>
      <c r="AH1" s="12"/>
      <c r="AI1" s="12"/>
      <c r="AJ1" s="12"/>
      <c r="AK1" s="21"/>
    </row>
    <row r="2">
      <c r="A2" s="23"/>
      <c r="B2" s="24"/>
      <c r="C2" s="24"/>
      <c r="D2" s="24"/>
      <c r="E2" s="26"/>
      <c r="F2" s="27"/>
      <c r="G2" s="27"/>
      <c r="H2" s="28"/>
      <c r="I2" s="29" t="s">
        <v>5</v>
      </c>
      <c r="J2" s="29" t="s">
        <v>6</v>
      </c>
      <c r="K2" s="29" t="s">
        <v>7</v>
      </c>
      <c r="L2" s="29" t="s">
        <v>8</v>
      </c>
      <c r="M2" s="29" t="s">
        <v>9</v>
      </c>
      <c r="N2" s="29" t="s">
        <v>10</v>
      </c>
      <c r="O2" s="29" t="s">
        <v>11</v>
      </c>
      <c r="P2" s="29" t="s">
        <v>12</v>
      </c>
      <c r="Q2" s="13" t="s">
        <v>13</v>
      </c>
      <c r="R2" s="29" t="s">
        <v>14</v>
      </c>
      <c r="S2" s="29" t="s">
        <v>14</v>
      </c>
      <c r="T2" s="29" t="s">
        <v>14</v>
      </c>
      <c r="U2" s="29" t="s">
        <v>14</v>
      </c>
      <c r="V2" s="29" t="s">
        <v>14</v>
      </c>
      <c r="W2" s="29" t="s">
        <v>14</v>
      </c>
      <c r="X2" s="29" t="s">
        <v>14</v>
      </c>
      <c r="Y2" s="13" t="s">
        <v>14</v>
      </c>
      <c r="Z2" s="29" t="s">
        <v>14</v>
      </c>
      <c r="AA2" s="29" t="s">
        <v>14</v>
      </c>
      <c r="AB2" s="29" t="s">
        <v>14</v>
      </c>
      <c r="AC2" s="29" t="s">
        <v>14</v>
      </c>
      <c r="AD2" s="29" t="s">
        <v>14</v>
      </c>
      <c r="AE2" s="29" t="s">
        <v>14</v>
      </c>
      <c r="AF2" s="29" t="s">
        <v>14</v>
      </c>
      <c r="AG2" s="39" t="s">
        <v>17</v>
      </c>
      <c r="AH2" s="41" t="s">
        <v>19</v>
      </c>
      <c r="AI2" s="41" t="s">
        <v>20</v>
      </c>
      <c r="AJ2" s="41" t="s">
        <v>21</v>
      </c>
      <c r="AK2" s="45"/>
    </row>
    <row r="3">
      <c r="A3" s="46" t="s">
        <v>22</v>
      </c>
      <c r="B3" s="47"/>
      <c r="C3" s="47"/>
      <c r="D3" s="47"/>
      <c r="E3" s="47"/>
      <c r="F3" s="48"/>
      <c r="G3" s="48"/>
      <c r="H3" s="49" t="s">
        <v>25</v>
      </c>
      <c r="I3" s="50"/>
      <c r="J3" s="50"/>
      <c r="K3" s="50"/>
      <c r="L3" s="50"/>
      <c r="M3" s="50"/>
      <c r="N3" s="50"/>
      <c r="O3" s="50"/>
      <c r="P3" s="50"/>
      <c r="Q3" s="51"/>
      <c r="R3" s="50" t="s">
        <v>27</v>
      </c>
      <c r="S3" s="50" t="s">
        <v>28</v>
      </c>
      <c r="T3" s="50" t="s">
        <v>30</v>
      </c>
      <c r="U3" s="50" t="s">
        <v>31</v>
      </c>
      <c r="V3" s="50" t="s">
        <v>32</v>
      </c>
      <c r="W3" s="50" t="s">
        <v>33</v>
      </c>
      <c r="X3" s="50" t="s">
        <v>34</v>
      </c>
      <c r="Y3" s="51" t="s">
        <v>35</v>
      </c>
      <c r="Z3" s="50" t="s">
        <v>36</v>
      </c>
      <c r="AA3" s="50" t="s">
        <v>37</v>
      </c>
      <c r="AB3" s="50" t="s">
        <v>38</v>
      </c>
      <c r="AC3" s="50" t="s">
        <v>40</v>
      </c>
      <c r="AD3" s="50" t="s">
        <v>41</v>
      </c>
      <c r="AE3" s="50" t="s">
        <v>42</v>
      </c>
      <c r="AF3" s="50" t="s">
        <v>43</v>
      </c>
      <c r="AG3" s="53"/>
      <c r="AH3" s="50"/>
      <c r="AI3" s="50"/>
      <c r="AJ3" s="50"/>
      <c r="AK3" s="55"/>
    </row>
    <row r="4">
      <c r="A4" s="56"/>
      <c r="B4" s="57"/>
      <c r="C4" s="57"/>
      <c r="D4" s="57"/>
      <c r="E4" s="58" t="s">
        <v>48</v>
      </c>
      <c r="F4" s="67" t="str">
        <f>'Main CEA'!F149</f>
        <v>xbenchmark</v>
      </c>
      <c r="G4" s="67" t="s">
        <v>55</v>
      </c>
      <c r="H4" s="71" t="str">
        <f>'Main CEA'!H149</f>
        <v>-</v>
      </c>
      <c r="I4" s="76">
        <f>'Main CEA'!I149</f>
        <v>22.60415752</v>
      </c>
      <c r="J4" s="76">
        <f>'Main CEA'!J149</f>
        <v>15.90795125</v>
      </c>
      <c r="K4" s="76">
        <f>'Main CEA'!K149</f>
        <v>8.539170255</v>
      </c>
      <c r="L4" s="76">
        <f>'Main CEA'!L149</f>
        <v>16.91453322</v>
      </c>
      <c r="M4" s="76">
        <f>'Main CEA'!M149</f>
        <v>10.93220737</v>
      </c>
      <c r="N4" s="76">
        <f>'Main CEA'!N149</f>
        <v>4.797449632</v>
      </c>
      <c r="O4" s="76">
        <f>'Main CEA'!O149</f>
        <v>15.91291055</v>
      </c>
      <c r="P4" s="76">
        <f>'Main CEA'!P149</f>
        <v>32.8307888</v>
      </c>
      <c r="Q4" s="76">
        <f>'Main CEA'!Q149</f>
        <v>59.34334121</v>
      </c>
      <c r="R4" s="76">
        <f>'Main CEA'!R149</f>
        <v>21.47896702</v>
      </c>
      <c r="S4" s="76">
        <f>'Main CEA'!S149</f>
        <v>4.41378032</v>
      </c>
      <c r="T4" s="76">
        <f>'Main CEA'!T149</f>
        <v>2.306263162</v>
      </c>
      <c r="U4" s="76">
        <f>'Main CEA'!U149</f>
        <v>9.528711546</v>
      </c>
      <c r="V4" s="76">
        <f>'Main CEA'!V149</f>
        <v>5.198055163</v>
      </c>
      <c r="W4" s="76">
        <f>'Main CEA'!W149</f>
        <v>13.5193518</v>
      </c>
      <c r="X4" s="76">
        <f>'Main CEA'!X149</f>
        <v>3.812617409</v>
      </c>
      <c r="Y4" s="76">
        <f>'Main CEA'!Y149</f>
        <v>5.895050222</v>
      </c>
      <c r="Z4" s="76">
        <f>'Main CEA'!Z149</f>
        <v>3.155973833</v>
      </c>
      <c r="AA4" s="76">
        <f>'Main CEA'!AA149</f>
        <v>4.188151971</v>
      </c>
      <c r="AB4" s="76">
        <f>'Main CEA'!AB149</f>
        <v>11.97636056</v>
      </c>
      <c r="AC4" s="76">
        <f>'Main CEA'!AC149</f>
        <v>4.828298764</v>
      </c>
      <c r="AD4" s="76">
        <f>'Main CEA'!AD149</f>
        <v>2.328547655</v>
      </c>
      <c r="AE4" s="76">
        <f>'Main CEA'!AE149</f>
        <v>7.686300139</v>
      </c>
      <c r="AF4" s="76">
        <f>'Main CEA'!AF149</f>
        <v>28.9613448</v>
      </c>
      <c r="AG4" s="76">
        <f>'Main CEA'!AG149</f>
        <v>5.627604036</v>
      </c>
      <c r="AH4" s="76">
        <f>'Main CEA'!AH149</f>
        <v>20.12427722</v>
      </c>
      <c r="AI4" s="76">
        <f>'Main CEA'!AI149</f>
        <v>14.89433335</v>
      </c>
      <c r="AJ4" s="76">
        <f>'Main CEA'!AJ149</f>
        <v>6.31059923</v>
      </c>
      <c r="AK4" s="94"/>
    </row>
    <row r="5">
      <c r="A5" s="56"/>
      <c r="B5" s="47"/>
      <c r="C5" s="47"/>
      <c r="D5" s="47"/>
      <c r="E5" s="47"/>
      <c r="F5" s="47"/>
      <c r="G5" s="47"/>
      <c r="H5" s="97"/>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100"/>
    </row>
    <row r="6">
      <c r="A6" s="101"/>
      <c r="B6" s="102"/>
      <c r="C6" s="102"/>
      <c r="D6" s="102"/>
      <c r="E6" s="103"/>
      <c r="F6" s="104"/>
      <c r="G6" s="104"/>
      <c r="H6" s="105"/>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7"/>
    </row>
    <row r="7">
      <c r="A7" s="101"/>
      <c r="B7" s="102"/>
      <c r="C7" s="109" t="s">
        <v>85</v>
      </c>
      <c r="F7" s="104"/>
      <c r="G7" s="110"/>
      <c r="H7" s="105"/>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7"/>
    </row>
    <row r="8">
      <c r="A8" s="101"/>
      <c r="B8" s="102"/>
      <c r="C8" s="109"/>
      <c r="D8" s="102"/>
      <c r="E8" s="112" t="s">
        <v>90</v>
      </c>
      <c r="F8" s="114" t="str">
        <f>Inputs!F24</f>
        <v>#</v>
      </c>
      <c r="G8" s="116" t="str">
        <f>Inputs!G24</f>
        <v>input</v>
      </c>
      <c r="H8" s="117" t="str">
        <f>Inputs!H24</f>
        <v>-</v>
      </c>
      <c r="I8" s="118">
        <f>Inputs!I24</f>
        <v>98779.14033</v>
      </c>
      <c r="J8" s="118">
        <f>Inputs!J24</f>
        <v>64035.00739</v>
      </c>
      <c r="K8" s="118">
        <f>Inputs!K24</f>
        <v>64816.60409</v>
      </c>
      <c r="L8" s="118">
        <f>Inputs!L24</f>
        <v>168468.4512</v>
      </c>
      <c r="M8" s="118">
        <f>Inputs!M24</f>
        <v>45406.17471</v>
      </c>
      <c r="N8" s="118">
        <f>Inputs!N24</f>
        <v>53344.7099</v>
      </c>
      <c r="O8" s="118">
        <f>Inputs!O24</f>
        <v>48156.10418</v>
      </c>
      <c r="P8" s="118">
        <f>Inputs!P24</f>
        <v>109642.6225</v>
      </c>
      <c r="Q8" s="118">
        <f>Inputs!Q24</f>
        <v>120216.7235</v>
      </c>
      <c r="R8" s="118">
        <f>Inputs!R24</f>
        <v>13907.73873</v>
      </c>
      <c r="S8" s="118">
        <f>Inputs!S24</f>
        <v>3462.225164</v>
      </c>
      <c r="T8" s="118">
        <f>Inputs!T24</f>
        <v>7871.751135</v>
      </c>
      <c r="U8" s="118">
        <f>Inputs!U24</f>
        <v>26884.78566</v>
      </c>
      <c r="V8" s="118">
        <f>Inputs!V24</f>
        <v>7861.21423</v>
      </c>
      <c r="W8" s="118">
        <f>Inputs!W24</f>
        <v>7938.591477</v>
      </c>
      <c r="X8" s="118">
        <f>Inputs!X24</f>
        <v>5408.39386</v>
      </c>
      <c r="Y8" s="118">
        <f>Inputs!Y24</f>
        <v>2631.649859</v>
      </c>
      <c r="Z8" s="118">
        <f>Inputs!Z24</f>
        <v>11380.79524</v>
      </c>
      <c r="AA8" s="118">
        <f>Inputs!AA24</f>
        <v>3662.544731</v>
      </c>
      <c r="AB8" s="118">
        <f>Inputs!AB24</f>
        <v>13333.45365</v>
      </c>
      <c r="AC8" s="118">
        <f>Inputs!AC24</f>
        <v>20448.01213</v>
      </c>
      <c r="AD8" s="118">
        <f>Inputs!AD24</f>
        <v>4522.234854</v>
      </c>
      <c r="AE8" s="118">
        <f>Inputs!AE24</f>
        <v>6707.239581</v>
      </c>
      <c r="AF8" s="118">
        <f>Inputs!AF24</f>
        <v>34193.94716</v>
      </c>
      <c r="AG8" s="118">
        <f>Inputs!AG24</f>
        <v>58764.73414</v>
      </c>
      <c r="AH8" s="118">
        <f>Inputs!AH24</f>
        <v>85575.12265</v>
      </c>
      <c r="AI8" s="118">
        <f>Inputs!AI24</f>
        <v>15010.42875</v>
      </c>
      <c r="AJ8" s="118">
        <f>Inputs!AJ24</f>
        <v>91702.41553</v>
      </c>
      <c r="AK8" s="142"/>
    </row>
    <row r="9">
      <c r="A9" s="101"/>
      <c r="B9" s="102"/>
      <c r="C9" s="109"/>
      <c r="D9" s="102"/>
      <c r="E9" s="144" t="s">
        <v>132</v>
      </c>
      <c r="F9" s="145" t="str">
        <f>Inputs!F25</f>
        <v>#</v>
      </c>
      <c r="G9" s="145" t="str">
        <f>Inputs!G25</f>
        <v>input</v>
      </c>
      <c r="H9" s="150" t="str">
        <f>Inputs!H25</f>
        <v>-</v>
      </c>
      <c r="I9" s="153">
        <f>Inputs!I25</f>
        <v>19940.74855</v>
      </c>
      <c r="J9" s="153">
        <f>Inputs!J25</f>
        <v>17016.72353</v>
      </c>
      <c r="K9" s="153">
        <f>Inputs!K25</f>
        <v>25085.60233</v>
      </c>
      <c r="L9" s="153">
        <f>Inputs!L25</f>
        <v>53762.70372</v>
      </c>
      <c r="M9" s="153">
        <f>Inputs!M25</f>
        <v>11002.66188</v>
      </c>
      <c r="N9" s="153">
        <f>Inputs!N25</f>
        <v>20427.11313</v>
      </c>
      <c r="O9" s="153">
        <f>Inputs!O25</f>
        <v>15934.39256</v>
      </c>
      <c r="P9" s="153">
        <f>Inputs!P25</f>
        <v>31228.72021</v>
      </c>
      <c r="Q9" s="153">
        <f>Inputs!Q25</f>
        <v>22912.70936</v>
      </c>
      <c r="R9" s="153">
        <f>Inputs!R25</f>
        <v>3823.608947</v>
      </c>
      <c r="S9" s="153">
        <f>Inputs!S25</f>
        <v>1329.358602</v>
      </c>
      <c r="T9" s="153">
        <f>Inputs!T25</f>
        <v>3453.101975</v>
      </c>
      <c r="U9" s="153">
        <f>Inputs!U25</f>
        <v>9008.117154</v>
      </c>
      <c r="V9" s="153">
        <f>Inputs!V25</f>
        <v>2787.57299</v>
      </c>
      <c r="W9" s="153">
        <f>Inputs!W25</f>
        <v>2640.671913</v>
      </c>
      <c r="X9" s="153">
        <f>Inputs!X25</f>
        <v>2146.970943</v>
      </c>
      <c r="Y9" s="153">
        <f>Inputs!Y25</f>
        <v>973.8088071</v>
      </c>
      <c r="Z9" s="153">
        <f>Inputs!Z25</f>
        <v>5034.873061</v>
      </c>
      <c r="AA9" s="153">
        <f>Inputs!AA25</f>
        <v>1489.287</v>
      </c>
      <c r="AB9" s="153">
        <f>Inputs!AB25</f>
        <v>4455.531084</v>
      </c>
      <c r="AC9" s="153">
        <f>Inputs!AC25</f>
        <v>8159.989527</v>
      </c>
      <c r="AD9" s="153">
        <f>Inputs!AD25</f>
        <v>2060.925307</v>
      </c>
      <c r="AE9" s="153">
        <f>Inputs!AE25</f>
        <v>2301.501831</v>
      </c>
      <c r="AF9" s="153">
        <f>Inputs!AF25</f>
        <v>9372.784678</v>
      </c>
      <c r="AG9" s="153">
        <f>Inputs!AG25</f>
        <v>20694.58644</v>
      </c>
      <c r="AH9" s="153">
        <f>Inputs!AH25</f>
        <v>19471.00076</v>
      </c>
      <c r="AI9" s="153">
        <f>Inputs!AI25</f>
        <v>5107.64038</v>
      </c>
      <c r="AJ9" s="153">
        <f>Inputs!AJ25</f>
        <v>33674.56533</v>
      </c>
      <c r="AK9" s="168"/>
    </row>
    <row r="10">
      <c r="A10" s="101"/>
      <c r="B10" s="102"/>
      <c r="C10" s="109"/>
      <c r="D10" s="109"/>
      <c r="E10" s="144" t="s">
        <v>142</v>
      </c>
      <c r="F10" s="171" t="str">
        <f>Inputs!F26</f>
        <v>#</v>
      </c>
      <c r="G10" s="172" t="str">
        <f>Inputs!G26</f>
        <v>input</v>
      </c>
      <c r="H10" s="150" t="str">
        <f>Inputs!H26</f>
        <v>-</v>
      </c>
      <c r="I10" s="153">
        <f>Inputs!I26</f>
        <v>6949.467251</v>
      </c>
      <c r="J10" s="153">
        <f>Inputs!J26</f>
        <v>4718.894707</v>
      </c>
      <c r="K10" s="153">
        <f>Inputs!K26</f>
        <v>5328.858472</v>
      </c>
      <c r="L10" s="153">
        <f>Inputs!L26</f>
        <v>10893.45506</v>
      </c>
      <c r="M10" s="153">
        <f>Inputs!M26</f>
        <v>3633.856099</v>
      </c>
      <c r="N10" s="153">
        <f>Inputs!N26</f>
        <v>5221.114399</v>
      </c>
      <c r="O10" s="153">
        <f>Inputs!O26</f>
        <v>3885.4177</v>
      </c>
      <c r="P10" s="153">
        <f>Inputs!P26</f>
        <v>6808.063876</v>
      </c>
      <c r="Q10" s="153">
        <f>Inputs!Q26</f>
        <v>7653.323267</v>
      </c>
      <c r="R10" s="153">
        <f>Inputs!R26</f>
        <v>961.7471079</v>
      </c>
      <c r="S10" s="153">
        <f>Inputs!S26</f>
        <v>229.1202135</v>
      </c>
      <c r="T10" s="153">
        <f>Inputs!T26</f>
        <v>566.9277211</v>
      </c>
      <c r="U10" s="153">
        <f>Inputs!U26</f>
        <v>1900.406123</v>
      </c>
      <c r="V10" s="153">
        <f>Inputs!V26</f>
        <v>557.1714584</v>
      </c>
      <c r="W10" s="153">
        <f>Inputs!W26</f>
        <v>574.2221148</v>
      </c>
      <c r="X10" s="153">
        <f>Inputs!X26</f>
        <v>383.4652698</v>
      </c>
      <c r="Y10" s="153">
        <f>Inputs!Y26</f>
        <v>185.3151303</v>
      </c>
      <c r="Z10" s="153">
        <f>Inputs!Z26</f>
        <v>845.1846992</v>
      </c>
      <c r="AA10" s="153">
        <f>Inputs!AA26</f>
        <v>256.7525313</v>
      </c>
      <c r="AB10" s="153">
        <f>Inputs!AB26</f>
        <v>962.4266505</v>
      </c>
      <c r="AC10" s="153">
        <f>Inputs!AC26</f>
        <v>1522.781504</v>
      </c>
      <c r="AD10" s="153">
        <f>Inputs!AD26</f>
        <v>328.0110029</v>
      </c>
      <c r="AE10" s="153">
        <f>Inputs!AE26</f>
        <v>460.3396178</v>
      </c>
      <c r="AF10" s="153">
        <f>Inputs!AF26</f>
        <v>2484.410708</v>
      </c>
      <c r="AG10" s="153">
        <f>Inputs!AG26</f>
        <v>3275.622234</v>
      </c>
      <c r="AH10" s="153">
        <f>Inputs!AH26</f>
        <v>5935.057826</v>
      </c>
      <c r="AI10" s="153">
        <f>Inputs!AI26</f>
        <v>819.2103542</v>
      </c>
      <c r="AJ10" s="153">
        <f>Inputs!AJ26</f>
        <v>7103.605519</v>
      </c>
      <c r="AK10" s="168"/>
    </row>
    <row r="11">
      <c r="A11" s="101"/>
      <c r="B11" s="102"/>
      <c r="C11" s="109"/>
      <c r="D11" s="109"/>
      <c r="E11" s="190" t="s">
        <v>152</v>
      </c>
      <c r="F11" s="192" t="str">
        <f>Inputs!F27</f>
        <v>#</v>
      </c>
      <c r="G11" s="196" t="str">
        <f>Inputs!G27</f>
        <v>input</v>
      </c>
      <c r="H11" s="199" t="str">
        <f>Inputs!H27</f>
        <v>-</v>
      </c>
      <c r="I11" s="200">
        <f>Inputs!I27</f>
        <v>30592.14891</v>
      </c>
      <c r="J11" s="200">
        <f>Inputs!J27</f>
        <v>19245.01042</v>
      </c>
      <c r="K11" s="200">
        <f>Inputs!K27</f>
        <v>12225.34139</v>
      </c>
      <c r="L11" s="200">
        <f>Inputs!L27</f>
        <v>50492.30638</v>
      </c>
      <c r="M11" s="200">
        <f>Inputs!M27</f>
        <v>11984.04726</v>
      </c>
      <c r="N11" s="200">
        <f>Inputs!N27</f>
        <v>15329.81801</v>
      </c>
      <c r="O11" s="200">
        <f>Inputs!O27</f>
        <v>15450.8777</v>
      </c>
      <c r="P11" s="200">
        <f>Inputs!P27</f>
        <v>28412.93493</v>
      </c>
      <c r="Q11" s="200">
        <f>Inputs!Q27</f>
        <v>30362.1489</v>
      </c>
      <c r="R11" s="200">
        <f>Inputs!R27</f>
        <v>3814.759117</v>
      </c>
      <c r="S11" s="200">
        <f>Inputs!S27</f>
        <v>899.2507422</v>
      </c>
      <c r="T11" s="200">
        <f>Inputs!T27</f>
        <v>1977.83322</v>
      </c>
      <c r="U11" s="200">
        <f>Inputs!U27</f>
        <v>7596.611931</v>
      </c>
      <c r="V11" s="200">
        <f>Inputs!V27</f>
        <v>2133.298156</v>
      </c>
      <c r="W11" s="200">
        <f>Inputs!W27</f>
        <v>2185.101705</v>
      </c>
      <c r="X11" s="200">
        <f>Inputs!X27</f>
        <v>1406.128139</v>
      </c>
      <c r="Y11" s="200">
        <f>Inputs!Y27</f>
        <v>688.1729607</v>
      </c>
      <c r="Z11" s="200">
        <f>Inputs!Z27</f>
        <v>2904.058815</v>
      </c>
      <c r="AA11" s="200">
        <f>Inputs!AA27</f>
        <v>901.7446937</v>
      </c>
      <c r="AB11" s="200">
        <f>Inputs!AB27</f>
        <v>3747.540591</v>
      </c>
      <c r="AC11" s="200">
        <f>Inputs!AC27</f>
        <v>5457.207151</v>
      </c>
      <c r="AD11" s="200">
        <f>Inputs!AD27</f>
        <v>1063.922078</v>
      </c>
      <c r="AE11" s="200">
        <f>Inputs!AE27</f>
        <v>1846.545736</v>
      </c>
      <c r="AF11" s="200">
        <f>Inputs!AF27</f>
        <v>9773.849826</v>
      </c>
      <c r="AG11" s="200">
        <f>Inputs!AG27</f>
        <v>17133.41458</v>
      </c>
      <c r="AH11" s="200">
        <f>Inputs!AH27</f>
        <v>27388.4432</v>
      </c>
      <c r="AI11" s="200">
        <f>Inputs!AI27</f>
        <v>3686.52231</v>
      </c>
      <c r="AJ11" s="200">
        <f>Inputs!AJ27</f>
        <v>25133.87915</v>
      </c>
      <c r="AK11" s="207"/>
    </row>
    <row r="12">
      <c r="A12" s="101"/>
      <c r="B12" s="102"/>
      <c r="C12" s="109"/>
      <c r="D12" s="109"/>
      <c r="E12" s="131"/>
      <c r="F12" s="104"/>
      <c r="G12" s="110"/>
      <c r="H12" s="105"/>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7"/>
    </row>
    <row r="13">
      <c r="A13" s="101"/>
      <c r="B13" s="102"/>
      <c r="C13" s="109" t="s">
        <v>159</v>
      </c>
      <c r="F13" s="104"/>
      <c r="G13" s="110"/>
      <c r="H13" s="105"/>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7"/>
    </row>
    <row r="14">
      <c r="A14" s="101"/>
      <c r="B14" s="102"/>
      <c r="C14" s="102"/>
      <c r="D14" s="208"/>
      <c r="E14" s="112" t="str">
        <f>Inputs!E30</f>
        <v>Proportion of post-neonatal mortalities that are among 1-5-month-olds</v>
      </c>
      <c r="F14" s="114" t="str">
        <f>Inputs!F30</f>
        <v>%</v>
      </c>
      <c r="G14" s="148" t="str">
        <f>Inputs!G30</f>
        <v>input</v>
      </c>
      <c r="H14" s="211">
        <f>Inputs!H30</f>
        <v>0.53</v>
      </c>
      <c r="I14" s="212" t="str">
        <f>Inputs!I30</f>
        <v/>
      </c>
      <c r="J14" s="212" t="str">
        <f>Inputs!J30</f>
        <v/>
      </c>
      <c r="K14" s="212" t="str">
        <f>Inputs!K30</f>
        <v/>
      </c>
      <c r="L14" s="212" t="str">
        <f>Inputs!L30</f>
        <v/>
      </c>
      <c r="M14" s="212" t="str">
        <f>Inputs!M30</f>
        <v>-</v>
      </c>
      <c r="N14" s="212" t="str">
        <f>Inputs!N30</f>
        <v>-</v>
      </c>
      <c r="O14" s="212" t="str">
        <f>Inputs!O30</f>
        <v>-</v>
      </c>
      <c r="P14" s="212" t="str">
        <f>Inputs!P30</f>
        <v>-</v>
      </c>
      <c r="Q14" s="212" t="str">
        <f>Inputs!Q30</f>
        <v>-</v>
      </c>
      <c r="R14" s="212" t="str">
        <f>Inputs!R30</f>
        <v>-</v>
      </c>
      <c r="S14" s="212" t="str">
        <f>Inputs!S30</f>
        <v>-</v>
      </c>
      <c r="T14" s="212" t="str">
        <f>Inputs!T30</f>
        <v>-</v>
      </c>
      <c r="U14" s="212" t="str">
        <f>Inputs!U30</f>
        <v>-</v>
      </c>
      <c r="V14" s="212" t="str">
        <f>Inputs!V30</f>
        <v>-</v>
      </c>
      <c r="W14" s="212" t="str">
        <f>Inputs!W30</f>
        <v>-</v>
      </c>
      <c r="X14" s="212" t="str">
        <f>Inputs!X30</f>
        <v>-</v>
      </c>
      <c r="Y14" s="212" t="str">
        <f>Inputs!Y30</f>
        <v>-</v>
      </c>
      <c r="Z14" s="212" t="str">
        <f>Inputs!Z30</f>
        <v>-</v>
      </c>
      <c r="AA14" s="212" t="str">
        <f>Inputs!AA30</f>
        <v>-</v>
      </c>
      <c r="AB14" s="212" t="str">
        <f>Inputs!AB30</f>
        <v>-</v>
      </c>
      <c r="AC14" s="212" t="str">
        <f>Inputs!AC30</f>
        <v>-</v>
      </c>
      <c r="AD14" s="212" t="str">
        <f>Inputs!AD30</f>
        <v>-</v>
      </c>
      <c r="AE14" s="212" t="str">
        <f>Inputs!AE30</f>
        <v>-</v>
      </c>
      <c r="AF14" s="212" t="str">
        <f>Inputs!AF30</f>
        <v>-</v>
      </c>
      <c r="AG14" s="212" t="str">
        <f>Inputs!AG30</f>
        <v>-</v>
      </c>
      <c r="AH14" s="212" t="str">
        <f>Inputs!AH30</f>
        <v>-</v>
      </c>
      <c r="AI14" s="212" t="str">
        <f>Inputs!AI30</f>
        <v>-</v>
      </c>
      <c r="AJ14" s="212" t="str">
        <f>Inputs!AJ30</f>
        <v>-</v>
      </c>
      <c r="AK14" s="221"/>
    </row>
    <row r="15">
      <c r="A15" s="101"/>
      <c r="B15" s="102"/>
      <c r="C15" s="109"/>
      <c r="D15" s="102"/>
      <c r="E15" s="144" t="s">
        <v>163</v>
      </c>
      <c r="F15" s="145" t="s">
        <v>101</v>
      </c>
      <c r="G15" s="145" t="s">
        <v>164</v>
      </c>
      <c r="H15" s="223" t="s">
        <v>165</v>
      </c>
      <c r="I15" s="225">
        <f t="shared" ref="I15:AJ15" si="1">I11*$H14</f>
        <v>16213.83892</v>
      </c>
      <c r="J15" s="225">
        <f t="shared" si="1"/>
        <v>10199.85552</v>
      </c>
      <c r="K15" s="225">
        <f t="shared" si="1"/>
        <v>6479.430937</v>
      </c>
      <c r="L15" s="225">
        <f t="shared" si="1"/>
        <v>26760.92238</v>
      </c>
      <c r="M15" s="225">
        <f t="shared" si="1"/>
        <v>6351.545048</v>
      </c>
      <c r="N15" s="225">
        <f t="shared" si="1"/>
        <v>8124.803545</v>
      </c>
      <c r="O15" s="225">
        <f t="shared" si="1"/>
        <v>8188.965181</v>
      </c>
      <c r="P15" s="225">
        <f t="shared" si="1"/>
        <v>15058.85551</v>
      </c>
      <c r="Q15" s="225">
        <f t="shared" si="1"/>
        <v>16091.93892</v>
      </c>
      <c r="R15" s="225">
        <f t="shared" si="1"/>
        <v>2021.822332</v>
      </c>
      <c r="S15" s="225">
        <f t="shared" si="1"/>
        <v>476.6028934</v>
      </c>
      <c r="T15" s="225">
        <f t="shared" si="1"/>
        <v>1048.251607</v>
      </c>
      <c r="U15" s="225">
        <f t="shared" si="1"/>
        <v>4026.204323</v>
      </c>
      <c r="V15" s="225">
        <f t="shared" si="1"/>
        <v>1130.648023</v>
      </c>
      <c r="W15" s="225">
        <f t="shared" si="1"/>
        <v>1158.103904</v>
      </c>
      <c r="X15" s="225">
        <f t="shared" si="1"/>
        <v>745.2479137</v>
      </c>
      <c r="Y15" s="225">
        <f t="shared" si="1"/>
        <v>364.7316692</v>
      </c>
      <c r="Z15" s="225">
        <f t="shared" si="1"/>
        <v>1539.151172</v>
      </c>
      <c r="AA15" s="225">
        <f t="shared" si="1"/>
        <v>477.9246877</v>
      </c>
      <c r="AB15" s="225">
        <f t="shared" si="1"/>
        <v>1986.196513</v>
      </c>
      <c r="AC15" s="225">
        <f t="shared" si="1"/>
        <v>2892.31979</v>
      </c>
      <c r="AD15" s="225">
        <f t="shared" si="1"/>
        <v>563.8787013</v>
      </c>
      <c r="AE15" s="225">
        <f t="shared" si="1"/>
        <v>978.6692401</v>
      </c>
      <c r="AF15" s="225">
        <f t="shared" si="1"/>
        <v>5180.140408</v>
      </c>
      <c r="AG15" s="225">
        <f t="shared" si="1"/>
        <v>9080.709727</v>
      </c>
      <c r="AH15" s="225">
        <f t="shared" si="1"/>
        <v>14515.8749</v>
      </c>
      <c r="AI15" s="225">
        <f t="shared" si="1"/>
        <v>1953.856824</v>
      </c>
      <c r="AJ15" s="225">
        <f t="shared" si="1"/>
        <v>13320.95595</v>
      </c>
      <c r="AK15" s="226"/>
    </row>
    <row r="16">
      <c r="A16" s="101"/>
      <c r="B16" s="102"/>
      <c r="C16" s="109"/>
      <c r="D16" s="102"/>
      <c r="E16" s="144" t="s">
        <v>166</v>
      </c>
      <c r="F16" s="145" t="s">
        <v>101</v>
      </c>
      <c r="G16" s="145" t="s">
        <v>164</v>
      </c>
      <c r="H16" s="223" t="s">
        <v>165</v>
      </c>
      <c r="I16" s="225">
        <f t="shared" ref="I16:AJ16" si="2">I8-SUM(I9:I10,I15)</f>
        <v>55675.08561</v>
      </c>
      <c r="J16" s="225">
        <f t="shared" si="2"/>
        <v>32099.53363</v>
      </c>
      <c r="K16" s="225">
        <f t="shared" si="2"/>
        <v>27922.71235</v>
      </c>
      <c r="L16" s="225">
        <f t="shared" si="2"/>
        <v>77051.37004</v>
      </c>
      <c r="M16" s="225">
        <f t="shared" si="2"/>
        <v>24418.11168</v>
      </c>
      <c r="N16" s="225">
        <f t="shared" si="2"/>
        <v>19571.67883</v>
      </c>
      <c r="O16" s="225">
        <f t="shared" si="2"/>
        <v>20147.32874</v>
      </c>
      <c r="P16" s="225">
        <f t="shared" si="2"/>
        <v>56546.9829</v>
      </c>
      <c r="Q16" s="225">
        <f t="shared" si="2"/>
        <v>73558.75196</v>
      </c>
      <c r="R16" s="225">
        <f t="shared" si="2"/>
        <v>7100.560343</v>
      </c>
      <c r="S16" s="225">
        <f t="shared" si="2"/>
        <v>1427.143455</v>
      </c>
      <c r="T16" s="225">
        <f t="shared" si="2"/>
        <v>2803.469832</v>
      </c>
      <c r="U16" s="225">
        <f t="shared" si="2"/>
        <v>11950.05806</v>
      </c>
      <c r="V16" s="225">
        <f t="shared" si="2"/>
        <v>3385.821759</v>
      </c>
      <c r="W16" s="225">
        <f t="shared" si="2"/>
        <v>3565.593546</v>
      </c>
      <c r="X16" s="225">
        <f t="shared" si="2"/>
        <v>2132.709734</v>
      </c>
      <c r="Y16" s="225">
        <f t="shared" si="2"/>
        <v>1107.794252</v>
      </c>
      <c r="Z16" s="225">
        <f t="shared" si="2"/>
        <v>3961.586308</v>
      </c>
      <c r="AA16" s="225">
        <f t="shared" si="2"/>
        <v>1438.580512</v>
      </c>
      <c r="AB16" s="225">
        <f t="shared" si="2"/>
        <v>5929.299402</v>
      </c>
      <c r="AC16" s="225">
        <f t="shared" si="2"/>
        <v>7872.921309</v>
      </c>
      <c r="AD16" s="225">
        <f t="shared" si="2"/>
        <v>1569.419843</v>
      </c>
      <c r="AE16" s="225">
        <f t="shared" si="2"/>
        <v>2966.728892</v>
      </c>
      <c r="AF16" s="225">
        <f t="shared" si="2"/>
        <v>17156.61137</v>
      </c>
      <c r="AG16" s="225">
        <f t="shared" si="2"/>
        <v>25713.81574</v>
      </c>
      <c r="AH16" s="225">
        <f t="shared" si="2"/>
        <v>45653.18917</v>
      </c>
      <c r="AI16" s="225">
        <f t="shared" si="2"/>
        <v>7129.721192</v>
      </c>
      <c r="AJ16" s="225">
        <f t="shared" si="2"/>
        <v>37603.28873</v>
      </c>
      <c r="AK16" s="226"/>
    </row>
    <row r="17">
      <c r="A17" s="101"/>
      <c r="B17" s="102"/>
      <c r="C17" s="102"/>
      <c r="D17" s="102"/>
      <c r="E17" s="190" t="s">
        <v>169</v>
      </c>
      <c r="F17" s="176" t="s">
        <v>112</v>
      </c>
      <c r="G17" s="234" t="s">
        <v>164</v>
      </c>
      <c r="H17" s="235" t="s">
        <v>165</v>
      </c>
      <c r="I17" s="236">
        <f t="shared" ref="I17:AJ17" si="3">I16/I8</f>
        <v>0.563632012</v>
      </c>
      <c r="J17" s="236">
        <f t="shared" si="3"/>
        <v>0.501281017</v>
      </c>
      <c r="K17" s="236">
        <f t="shared" si="3"/>
        <v>0.4307956695</v>
      </c>
      <c r="L17" s="236">
        <f t="shared" si="3"/>
        <v>0.4573637942</v>
      </c>
      <c r="M17" s="236">
        <f t="shared" si="3"/>
        <v>0.5377707292</v>
      </c>
      <c r="N17" s="236">
        <f t="shared" si="3"/>
        <v>0.3668907163</v>
      </c>
      <c r="O17" s="236">
        <f t="shared" si="3"/>
        <v>0.4183753873</v>
      </c>
      <c r="P17" s="236">
        <f t="shared" si="3"/>
        <v>0.5157390585</v>
      </c>
      <c r="Q17" s="236">
        <f t="shared" si="3"/>
        <v>0.6118845183</v>
      </c>
      <c r="R17" s="236">
        <f t="shared" si="3"/>
        <v>0.5105474356</v>
      </c>
      <c r="S17" s="236">
        <f t="shared" si="3"/>
        <v>0.4122041137</v>
      </c>
      <c r="T17" s="236">
        <f t="shared" si="3"/>
        <v>0.3561430975</v>
      </c>
      <c r="U17" s="236">
        <f t="shared" si="3"/>
        <v>0.444491476</v>
      </c>
      <c r="V17" s="236">
        <f t="shared" si="3"/>
        <v>0.4306995917</v>
      </c>
      <c r="W17" s="236">
        <f t="shared" si="3"/>
        <v>0.449146874</v>
      </c>
      <c r="X17" s="236">
        <f t="shared" si="3"/>
        <v>0.394333288</v>
      </c>
      <c r="Y17" s="236">
        <f t="shared" si="3"/>
        <v>0.4209504728</v>
      </c>
      <c r="Z17" s="236">
        <f t="shared" si="3"/>
        <v>0.3480939798</v>
      </c>
      <c r="AA17" s="236">
        <f t="shared" si="3"/>
        <v>0.3927816908</v>
      </c>
      <c r="AB17" s="236">
        <f t="shared" si="3"/>
        <v>0.4446934424</v>
      </c>
      <c r="AC17" s="236">
        <f t="shared" si="3"/>
        <v>0.3850213536</v>
      </c>
      <c r="AD17" s="236">
        <f t="shared" si="3"/>
        <v>0.3470451875</v>
      </c>
      <c r="AE17" s="236">
        <f t="shared" si="3"/>
        <v>0.4423174178</v>
      </c>
      <c r="AF17" s="236">
        <f t="shared" si="3"/>
        <v>0.5017441036</v>
      </c>
      <c r="AG17" s="236">
        <f t="shared" si="3"/>
        <v>0.4375722296</v>
      </c>
      <c r="AH17" s="236">
        <f t="shared" si="3"/>
        <v>0.5334866928</v>
      </c>
      <c r="AI17" s="236">
        <f t="shared" si="3"/>
        <v>0.4749845131</v>
      </c>
      <c r="AJ17" s="236">
        <f t="shared" si="3"/>
        <v>0.4100577778</v>
      </c>
      <c r="AK17" s="237"/>
    </row>
    <row r="18">
      <c r="A18" s="101"/>
      <c r="B18" s="102"/>
      <c r="C18" s="102"/>
      <c r="D18" s="102"/>
      <c r="E18" s="131"/>
      <c r="F18" s="132"/>
      <c r="G18" s="238"/>
      <c r="H18" s="240"/>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7"/>
    </row>
    <row r="19">
      <c r="A19" s="101"/>
      <c r="B19" s="102"/>
      <c r="C19" s="109" t="s">
        <v>170</v>
      </c>
      <c r="F19" s="132"/>
      <c r="G19" s="133"/>
      <c r="H19" s="243"/>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5"/>
    </row>
    <row r="20">
      <c r="A20" s="101"/>
      <c r="B20" s="102"/>
      <c r="C20" s="102"/>
      <c r="D20" s="208"/>
      <c r="E20" s="112" t="s">
        <v>172</v>
      </c>
      <c r="F20" s="114" t="str">
        <f>Inputs!F33</f>
        <v>per 100k</v>
      </c>
      <c r="G20" s="148" t="str">
        <f>Inputs!G33</f>
        <v>input</v>
      </c>
      <c r="H20" s="247" t="str">
        <f>Inputs!H33</f>
        <v>-</v>
      </c>
      <c r="I20" s="212">
        <f>Inputs!I33</f>
        <v>2442.031714</v>
      </c>
      <c r="J20" s="212">
        <f>Inputs!J33</f>
        <v>1522.066664</v>
      </c>
      <c r="K20" s="212">
        <f>Inputs!K33</f>
        <v>1615.568992</v>
      </c>
      <c r="L20" s="212">
        <f>Inputs!L33</f>
        <v>1236.060618</v>
      </c>
      <c r="M20" s="212">
        <f>Inputs!M33</f>
        <v>2118.423217</v>
      </c>
      <c r="N20" s="212">
        <f>Inputs!N33</f>
        <v>831.4269669</v>
      </c>
      <c r="O20" s="212">
        <f>Inputs!O33</f>
        <v>1222.490103</v>
      </c>
      <c r="P20" s="212">
        <f>Inputs!P33</f>
        <v>2697.678735</v>
      </c>
      <c r="Q20" s="212">
        <f>Inputs!Q33</f>
        <v>2477.232682</v>
      </c>
      <c r="R20" s="212">
        <f>Inputs!R33</f>
        <v>2457.694788</v>
      </c>
      <c r="S20" s="212">
        <f>Inputs!S33</f>
        <v>1223.997163</v>
      </c>
      <c r="T20" s="212">
        <f>Inputs!T33</f>
        <v>1006.968781</v>
      </c>
      <c r="U20" s="212">
        <f>Inputs!U33</f>
        <v>1771.778908</v>
      </c>
      <c r="V20" s="212">
        <f>Inputs!V33</f>
        <v>1546.205875</v>
      </c>
      <c r="W20" s="212">
        <f>Inputs!W33</f>
        <v>1814.277484</v>
      </c>
      <c r="X20" s="212">
        <f>Inputs!X33</f>
        <v>1286.059774</v>
      </c>
      <c r="Y20" s="212">
        <f>Inputs!Y33</f>
        <v>1405.186606</v>
      </c>
      <c r="Z20" s="212">
        <f>Inputs!Z33</f>
        <v>1006.944899</v>
      </c>
      <c r="AA20" s="212">
        <f>Inputs!AA33</f>
        <v>1097.602879</v>
      </c>
      <c r="AB20" s="212">
        <f>Inputs!AB33</f>
        <v>1763.388791</v>
      </c>
      <c r="AC20" s="212">
        <f>Inputs!AC33</f>
        <v>1354.029628</v>
      </c>
      <c r="AD20" s="212">
        <f>Inputs!AD33</f>
        <v>929.9922997</v>
      </c>
      <c r="AE20" s="212">
        <f>Inputs!AE33</f>
        <v>1560.88469</v>
      </c>
      <c r="AF20" s="212">
        <f>Inputs!AF33</f>
        <v>2711.975471</v>
      </c>
      <c r="AG20" s="212">
        <f>Inputs!AG33</f>
        <v>1141.694553</v>
      </c>
      <c r="AH20" s="212">
        <f>Inputs!AH33</f>
        <v>2567.767314</v>
      </c>
      <c r="AI20" s="212">
        <f>Inputs!AI33</f>
        <v>1346.401636</v>
      </c>
      <c r="AJ20" s="212">
        <f>Inputs!AJ33</f>
        <v>1293.450656</v>
      </c>
      <c r="AK20" s="221"/>
    </row>
    <row r="21">
      <c r="A21" s="101"/>
      <c r="B21" s="102"/>
      <c r="C21" s="102"/>
      <c r="D21" s="102"/>
      <c r="E21" s="112" t="s">
        <v>175</v>
      </c>
      <c r="F21" s="114" t="s">
        <v>101</v>
      </c>
      <c r="G21" s="148" t="s">
        <v>164</v>
      </c>
      <c r="H21" s="253" t="s">
        <v>165</v>
      </c>
      <c r="I21" s="212">
        <f t="shared" ref="I21:AJ21" si="4">I8/I20*100000</f>
        <v>4044957.31</v>
      </c>
      <c r="J21" s="212">
        <f t="shared" si="4"/>
        <v>4207109.249</v>
      </c>
      <c r="K21" s="212">
        <f t="shared" si="4"/>
        <v>4011998.523</v>
      </c>
      <c r="L21" s="212">
        <f t="shared" si="4"/>
        <v>13629465.15</v>
      </c>
      <c r="M21" s="212">
        <f t="shared" si="4"/>
        <v>2143394.877</v>
      </c>
      <c r="N21" s="212">
        <f t="shared" si="4"/>
        <v>6416042.782</v>
      </c>
      <c r="O21" s="212">
        <f t="shared" si="4"/>
        <v>3939181.517</v>
      </c>
      <c r="P21" s="212">
        <f t="shared" si="4"/>
        <v>4064332.09</v>
      </c>
      <c r="Q21" s="212">
        <f t="shared" si="4"/>
        <v>4852863.616</v>
      </c>
      <c r="R21" s="212">
        <f t="shared" si="4"/>
        <v>565885.5118</v>
      </c>
      <c r="S21" s="212">
        <f t="shared" si="4"/>
        <v>282862.1886</v>
      </c>
      <c r="T21" s="212">
        <f t="shared" si="4"/>
        <v>781727.4263</v>
      </c>
      <c r="U21" s="212">
        <f t="shared" si="4"/>
        <v>1517389.418</v>
      </c>
      <c r="V21" s="212">
        <f t="shared" si="4"/>
        <v>508419.6327</v>
      </c>
      <c r="W21" s="212">
        <f t="shared" si="4"/>
        <v>437562.1451</v>
      </c>
      <c r="X21" s="212">
        <f t="shared" si="4"/>
        <v>420539.8512</v>
      </c>
      <c r="Y21" s="212">
        <f t="shared" si="4"/>
        <v>187281.1659</v>
      </c>
      <c r="Z21" s="212">
        <f t="shared" si="4"/>
        <v>1130230.189</v>
      </c>
      <c r="AA21" s="212">
        <f t="shared" si="4"/>
        <v>333685.7803</v>
      </c>
      <c r="AB21" s="212">
        <f t="shared" si="4"/>
        <v>756126.71</v>
      </c>
      <c r="AC21" s="212">
        <f t="shared" si="4"/>
        <v>1510159.874</v>
      </c>
      <c r="AD21" s="212">
        <f t="shared" si="4"/>
        <v>486265.8385</v>
      </c>
      <c r="AE21" s="212">
        <f t="shared" si="4"/>
        <v>429707.5642</v>
      </c>
      <c r="AF21" s="212">
        <f t="shared" si="4"/>
        <v>1260850.163</v>
      </c>
      <c r="AG21" s="212">
        <f t="shared" si="4"/>
        <v>5147150.259</v>
      </c>
      <c r="AH21" s="212">
        <f t="shared" si="4"/>
        <v>3332666.561</v>
      </c>
      <c r="AI21" s="212">
        <f t="shared" si="4"/>
        <v>1114855.207</v>
      </c>
      <c r="AJ21" s="212">
        <f t="shared" si="4"/>
        <v>7089749.818</v>
      </c>
      <c r="AK21" s="221"/>
    </row>
    <row r="22">
      <c r="A22" s="101"/>
      <c r="B22" s="102"/>
      <c r="C22" s="102"/>
      <c r="D22" s="102"/>
      <c r="E22" s="112" t="s">
        <v>179</v>
      </c>
      <c r="F22" s="114" t="str">
        <f>Inputs!F34</f>
        <v>%</v>
      </c>
      <c r="G22" s="148" t="str">
        <f>Inputs!G34</f>
        <v>input</v>
      </c>
      <c r="H22" s="253" t="str">
        <f>Inputs!H34</f>
        <v>-</v>
      </c>
      <c r="I22" s="161">
        <f>Inputs!I34</f>
        <v>0.9152542373</v>
      </c>
      <c r="J22" s="161">
        <f>Inputs!J34</f>
        <v>0.9152542373</v>
      </c>
      <c r="K22" s="161">
        <f>Inputs!K34</f>
        <v>0.9152542373</v>
      </c>
      <c r="L22" s="161">
        <f>Inputs!L34</f>
        <v>0.9152542373</v>
      </c>
      <c r="M22" s="161">
        <f>Inputs!M34</f>
        <v>0.9152542373</v>
      </c>
      <c r="N22" s="161">
        <f>Inputs!N34</f>
        <v>0.9152542373</v>
      </c>
      <c r="O22" s="161">
        <f>Inputs!O34</f>
        <v>0.9152542373</v>
      </c>
      <c r="P22" s="161">
        <f>Inputs!P34</f>
        <v>0.9152542373</v>
      </c>
      <c r="Q22" s="161">
        <f>Inputs!Q34</f>
        <v>0.9152542373</v>
      </c>
      <c r="R22" s="161">
        <f>Inputs!R34</f>
        <v>0.9152542373</v>
      </c>
      <c r="S22" s="161">
        <f>Inputs!S34</f>
        <v>0.9152542373</v>
      </c>
      <c r="T22" s="161">
        <f>Inputs!T34</f>
        <v>0.9152542373</v>
      </c>
      <c r="U22" s="161">
        <f>Inputs!U34</f>
        <v>0.9152542373</v>
      </c>
      <c r="V22" s="161">
        <f>Inputs!V34</f>
        <v>0.9152542373</v>
      </c>
      <c r="W22" s="161">
        <f>Inputs!W34</f>
        <v>0.9152542373</v>
      </c>
      <c r="X22" s="161">
        <f>Inputs!X34</f>
        <v>0.9152542373</v>
      </c>
      <c r="Y22" s="161">
        <f>Inputs!Y34</f>
        <v>0.9152542373</v>
      </c>
      <c r="Z22" s="161">
        <f>Inputs!Z34</f>
        <v>0.9152542373</v>
      </c>
      <c r="AA22" s="161">
        <f>Inputs!AA34</f>
        <v>0.9152542373</v>
      </c>
      <c r="AB22" s="161">
        <f>Inputs!AB34</f>
        <v>0.9152542373</v>
      </c>
      <c r="AC22" s="161">
        <f>Inputs!AC34</f>
        <v>0.9152542373</v>
      </c>
      <c r="AD22" s="161">
        <f>Inputs!AD34</f>
        <v>0.9152542373</v>
      </c>
      <c r="AE22" s="161">
        <f>Inputs!AE34</f>
        <v>0.9152542373</v>
      </c>
      <c r="AF22" s="161">
        <f>Inputs!AF34</f>
        <v>0.9152542373</v>
      </c>
      <c r="AG22" s="161">
        <f>Inputs!AG34</f>
        <v>0.9152542373</v>
      </c>
      <c r="AH22" s="161">
        <f>Inputs!AH34</f>
        <v>0.9152542373</v>
      </c>
      <c r="AI22" s="161">
        <f>Inputs!AI34</f>
        <v>0.9152542373</v>
      </c>
      <c r="AJ22" s="161">
        <f>Inputs!AJ34</f>
        <v>0.9152542373</v>
      </c>
      <c r="AK22" s="264"/>
    </row>
    <row r="23">
      <c r="A23" s="101"/>
      <c r="B23" s="102"/>
      <c r="C23" s="102"/>
      <c r="D23" s="102"/>
      <c r="E23" s="144" t="s">
        <v>185</v>
      </c>
      <c r="F23" s="145" t="s">
        <v>101</v>
      </c>
      <c r="G23" s="217" t="s">
        <v>164</v>
      </c>
      <c r="H23" s="267" t="s">
        <v>165</v>
      </c>
      <c r="I23" s="225">
        <f t="shared" ref="I23:AJ23" si="5">I21*I22</f>
        <v>3702164.318</v>
      </c>
      <c r="J23" s="225">
        <f t="shared" si="5"/>
        <v>3850574.566</v>
      </c>
      <c r="K23" s="225">
        <f t="shared" si="5"/>
        <v>3671998.648</v>
      </c>
      <c r="L23" s="225">
        <f t="shared" si="5"/>
        <v>12474425.73</v>
      </c>
      <c r="M23" s="225">
        <f t="shared" si="5"/>
        <v>1961751.244</v>
      </c>
      <c r="N23" s="225">
        <f t="shared" si="5"/>
        <v>5872310.343</v>
      </c>
      <c r="O23" s="225">
        <f t="shared" si="5"/>
        <v>3605352.575</v>
      </c>
      <c r="P23" s="225">
        <f t="shared" si="5"/>
        <v>3719897.167</v>
      </c>
      <c r="Q23" s="225">
        <f t="shared" si="5"/>
        <v>4441603.987</v>
      </c>
      <c r="R23" s="225">
        <f t="shared" si="5"/>
        <v>517929.1125</v>
      </c>
      <c r="S23" s="225">
        <f t="shared" si="5"/>
        <v>258890.8167</v>
      </c>
      <c r="T23" s="225">
        <f t="shared" si="5"/>
        <v>715479.3393</v>
      </c>
      <c r="U23" s="225">
        <f t="shared" si="5"/>
        <v>1388797.094</v>
      </c>
      <c r="V23" s="225">
        <f t="shared" si="5"/>
        <v>465333.2231</v>
      </c>
      <c r="W23" s="225">
        <f t="shared" si="5"/>
        <v>400480.6074</v>
      </c>
      <c r="X23" s="225">
        <f t="shared" si="5"/>
        <v>384900.8808</v>
      </c>
      <c r="Y23" s="225">
        <f t="shared" si="5"/>
        <v>171409.8807</v>
      </c>
      <c r="Z23" s="225">
        <f t="shared" si="5"/>
        <v>1034447.97</v>
      </c>
      <c r="AA23" s="225">
        <f t="shared" si="5"/>
        <v>305407.3243</v>
      </c>
      <c r="AB23" s="225">
        <f t="shared" si="5"/>
        <v>692048.1753</v>
      </c>
      <c r="AC23" s="225">
        <f t="shared" si="5"/>
        <v>1382180.224</v>
      </c>
      <c r="AD23" s="225">
        <f t="shared" si="5"/>
        <v>445056.8691</v>
      </c>
      <c r="AE23" s="225">
        <f t="shared" si="5"/>
        <v>393291.6689</v>
      </c>
      <c r="AF23" s="225">
        <f t="shared" si="5"/>
        <v>1153998.455</v>
      </c>
      <c r="AG23" s="225">
        <f t="shared" si="5"/>
        <v>4710951.084</v>
      </c>
      <c r="AH23" s="225">
        <f t="shared" si="5"/>
        <v>3050237.192</v>
      </c>
      <c r="AI23" s="225">
        <f t="shared" si="5"/>
        <v>1020375.952</v>
      </c>
      <c r="AJ23" s="225">
        <f t="shared" si="5"/>
        <v>6488923.562</v>
      </c>
      <c r="AK23" s="226"/>
    </row>
    <row r="24">
      <c r="A24" s="101"/>
      <c r="B24" s="102"/>
      <c r="C24" s="102"/>
      <c r="D24" s="102"/>
      <c r="E24" s="144" t="s">
        <v>187</v>
      </c>
      <c r="F24" s="145" t="s">
        <v>112</v>
      </c>
      <c r="G24" s="217" t="s">
        <v>164</v>
      </c>
      <c r="H24" s="267" t="s">
        <v>165</v>
      </c>
      <c r="I24" s="220">
        <f t="shared" ref="I24:AJ24" si="6">I16/I23</f>
        <v>0.01503852364</v>
      </c>
      <c r="J24" s="220">
        <f t="shared" si="6"/>
        <v>0.00833629711</v>
      </c>
      <c r="K24" s="220">
        <f t="shared" si="6"/>
        <v>0.007604227297</v>
      </c>
      <c r="L24" s="220">
        <f t="shared" si="6"/>
        <v>0.006176746865</v>
      </c>
      <c r="M24" s="220">
        <f t="shared" si="6"/>
        <v>0.01244709887</v>
      </c>
      <c r="N24" s="220">
        <f t="shared" si="6"/>
        <v>0.003332875424</v>
      </c>
      <c r="O24" s="220">
        <f t="shared" si="6"/>
        <v>0.005588171565</v>
      </c>
      <c r="P24" s="220">
        <f t="shared" si="6"/>
        <v>0.01520122207</v>
      </c>
      <c r="Q24" s="220">
        <f t="shared" si="6"/>
        <v>0.01656130357</v>
      </c>
      <c r="R24" s="220">
        <f t="shared" si="6"/>
        <v>0.01370952158</v>
      </c>
      <c r="S24" s="220">
        <f t="shared" si="6"/>
        <v>0.005512530237</v>
      </c>
      <c r="T24" s="220">
        <f t="shared" si="6"/>
        <v>0.003918309975</v>
      </c>
      <c r="U24" s="220">
        <f t="shared" si="6"/>
        <v>0.008604610499</v>
      </c>
      <c r="V24" s="220">
        <f t="shared" si="6"/>
        <v>0.007276122982</v>
      </c>
      <c r="W24" s="220">
        <f t="shared" si="6"/>
        <v>0.008903286401</v>
      </c>
      <c r="X24" s="220">
        <f t="shared" si="6"/>
        <v>0.005540932329</v>
      </c>
      <c r="Y24" s="220">
        <f t="shared" si="6"/>
        <v>0.006462837779</v>
      </c>
      <c r="Z24" s="220">
        <f t="shared" si="6"/>
        <v>0.003829662218</v>
      </c>
      <c r="AA24" s="220">
        <f t="shared" si="6"/>
        <v>0.004710366771</v>
      </c>
      <c r="AB24" s="220">
        <f t="shared" si="6"/>
        <v>0.008567755272</v>
      </c>
      <c r="AC24" s="220">
        <f t="shared" si="6"/>
        <v>0.005696016461</v>
      </c>
      <c r="AD24" s="220">
        <f t="shared" si="6"/>
        <v>0.003526335513</v>
      </c>
      <c r="AE24" s="220">
        <f t="shared" si="6"/>
        <v>0.00754333012</v>
      </c>
      <c r="AF24" s="220">
        <f t="shared" si="6"/>
        <v>0.01486710081</v>
      </c>
      <c r="AG24" s="220">
        <f t="shared" si="6"/>
        <v>0.005458306673</v>
      </c>
      <c r="AH24" s="220">
        <f t="shared" si="6"/>
        <v>0.01496709479</v>
      </c>
      <c r="AI24" s="220">
        <f t="shared" si="6"/>
        <v>0.006987347335</v>
      </c>
      <c r="AJ24" s="220">
        <f t="shared" si="6"/>
        <v>0.005794996407</v>
      </c>
      <c r="AK24" s="273"/>
    </row>
    <row r="25">
      <c r="A25" s="101"/>
      <c r="B25" s="102"/>
      <c r="C25" s="102"/>
      <c r="D25" s="102"/>
      <c r="E25" s="144" t="s">
        <v>191</v>
      </c>
      <c r="F25" s="145" t="str">
        <f>Inputs!F37</f>
        <v>%</v>
      </c>
      <c r="G25" s="217" t="str">
        <f>Inputs!G37</f>
        <v>input</v>
      </c>
      <c r="H25" s="267" t="str">
        <f>Inputs!H37</f>
        <v>-</v>
      </c>
      <c r="I25" s="222" t="str">
        <f>Inputs!I37</f>
        <v>-</v>
      </c>
      <c r="J25" s="222">
        <f>Inputs!J37</f>
        <v>-0.1408628</v>
      </c>
      <c r="K25" s="220" t="str">
        <f>Inputs!K37</f>
        <v>-</v>
      </c>
      <c r="L25" s="220" t="str">
        <f>Inputs!L37</f>
        <v>-</v>
      </c>
      <c r="M25" s="220" t="str">
        <f>Inputs!M37</f>
        <v>-</v>
      </c>
      <c r="N25" s="220" t="str">
        <f>Inputs!N37</f>
        <v>-</v>
      </c>
      <c r="O25" s="222">
        <f>Inputs!O37</f>
        <v>0.17</v>
      </c>
      <c r="P25" s="220" t="str">
        <f>Inputs!P37</f>
        <v>-</v>
      </c>
      <c r="Q25" s="220" t="str">
        <f>Inputs!Q37</f>
        <v>-</v>
      </c>
      <c r="R25" s="220" t="str">
        <f>Inputs!R37</f>
        <v>-</v>
      </c>
      <c r="S25" s="220" t="str">
        <f>Inputs!S37</f>
        <v>-</v>
      </c>
      <c r="T25" s="220" t="str">
        <f>Inputs!T37</f>
        <v>-</v>
      </c>
      <c r="U25" s="220" t="str">
        <f>Inputs!U37</f>
        <v>-</v>
      </c>
      <c r="V25" s="220" t="str">
        <f>Inputs!V37</f>
        <v>-</v>
      </c>
      <c r="W25" s="220" t="str">
        <f>Inputs!W37</f>
        <v>-</v>
      </c>
      <c r="X25" s="220" t="str">
        <f>Inputs!X37</f>
        <v>-</v>
      </c>
      <c r="Y25" s="220" t="str">
        <f>Inputs!Y37</f>
        <v>-</v>
      </c>
      <c r="Z25" s="220" t="str">
        <f>Inputs!Z37</f>
        <v>-</v>
      </c>
      <c r="AA25" s="220" t="str">
        <f>Inputs!AA37</f>
        <v>-</v>
      </c>
      <c r="AB25" s="220" t="str">
        <f>Inputs!AB37</f>
        <v>-</v>
      </c>
      <c r="AC25" s="220" t="str">
        <f>Inputs!AC37</f>
        <v>-</v>
      </c>
      <c r="AD25" s="220" t="str">
        <f>Inputs!AD37</f>
        <v>-</v>
      </c>
      <c r="AE25" s="220" t="str">
        <f>Inputs!AE37</f>
        <v>-</v>
      </c>
      <c r="AF25" s="220" t="str">
        <f>Inputs!AF37</f>
        <v>-</v>
      </c>
      <c r="AG25" s="220" t="str">
        <f>Inputs!AG37</f>
        <v>-</v>
      </c>
      <c r="AH25" s="220" t="str">
        <f>Inputs!AH37</f>
        <v>-</v>
      </c>
      <c r="AI25" s="220" t="str">
        <f>Inputs!AI37</f>
        <v>-</v>
      </c>
      <c r="AJ25" s="220" t="str">
        <f>Inputs!AJ37</f>
        <v>-</v>
      </c>
      <c r="AK25" s="273"/>
    </row>
    <row r="26">
      <c r="A26" s="101"/>
      <c r="B26" s="102"/>
      <c r="C26" s="102"/>
      <c r="D26" s="102"/>
      <c r="E26" s="190" t="s">
        <v>193</v>
      </c>
      <c r="F26" s="176" t="s">
        <v>112</v>
      </c>
      <c r="G26" s="177" t="s">
        <v>164</v>
      </c>
      <c r="H26" s="276" t="s">
        <v>165</v>
      </c>
      <c r="I26" s="181">
        <f t="shared" ref="I26:AJ26" si="7">IF(I25&lt;&gt;"-",I24*(1+I25),I24)</f>
        <v>0.01503852364</v>
      </c>
      <c r="J26" s="181">
        <f t="shared" si="7"/>
        <v>0.007162022958</v>
      </c>
      <c r="K26" s="181">
        <f t="shared" si="7"/>
        <v>0.007604227297</v>
      </c>
      <c r="L26" s="181">
        <f t="shared" si="7"/>
        <v>0.006176746865</v>
      </c>
      <c r="M26" s="181">
        <f t="shared" si="7"/>
        <v>0.01244709887</v>
      </c>
      <c r="N26" s="181">
        <f t="shared" si="7"/>
        <v>0.003332875424</v>
      </c>
      <c r="O26" s="181">
        <f t="shared" si="7"/>
        <v>0.006538160731</v>
      </c>
      <c r="P26" s="181">
        <f t="shared" si="7"/>
        <v>0.01520122207</v>
      </c>
      <c r="Q26" s="181">
        <f t="shared" si="7"/>
        <v>0.01656130357</v>
      </c>
      <c r="R26" s="181">
        <f t="shared" si="7"/>
        <v>0.01370952158</v>
      </c>
      <c r="S26" s="181">
        <f t="shared" si="7"/>
        <v>0.005512530237</v>
      </c>
      <c r="T26" s="181">
        <f t="shared" si="7"/>
        <v>0.003918309975</v>
      </c>
      <c r="U26" s="181">
        <f t="shared" si="7"/>
        <v>0.008604610499</v>
      </c>
      <c r="V26" s="181">
        <f t="shared" si="7"/>
        <v>0.007276122982</v>
      </c>
      <c r="W26" s="181">
        <f t="shared" si="7"/>
        <v>0.008903286401</v>
      </c>
      <c r="X26" s="181">
        <f t="shared" si="7"/>
        <v>0.005540932329</v>
      </c>
      <c r="Y26" s="181">
        <f t="shared" si="7"/>
        <v>0.006462837779</v>
      </c>
      <c r="Z26" s="181">
        <f t="shared" si="7"/>
        <v>0.003829662218</v>
      </c>
      <c r="AA26" s="181">
        <f t="shared" si="7"/>
        <v>0.004710366771</v>
      </c>
      <c r="AB26" s="181">
        <f t="shared" si="7"/>
        <v>0.008567755272</v>
      </c>
      <c r="AC26" s="181">
        <f t="shared" si="7"/>
        <v>0.005696016461</v>
      </c>
      <c r="AD26" s="181">
        <f t="shared" si="7"/>
        <v>0.003526335513</v>
      </c>
      <c r="AE26" s="181">
        <f t="shared" si="7"/>
        <v>0.00754333012</v>
      </c>
      <c r="AF26" s="181">
        <f t="shared" si="7"/>
        <v>0.01486710081</v>
      </c>
      <c r="AG26" s="181">
        <f t="shared" si="7"/>
        <v>0.005458306673</v>
      </c>
      <c r="AH26" s="181">
        <f t="shared" si="7"/>
        <v>0.01496709479</v>
      </c>
      <c r="AI26" s="181">
        <f t="shared" si="7"/>
        <v>0.006987347335</v>
      </c>
      <c r="AJ26" s="181">
        <f t="shared" si="7"/>
        <v>0.005794996407</v>
      </c>
      <c r="AK26" s="285"/>
    </row>
    <row r="27">
      <c r="A27" s="206"/>
      <c r="B27" s="93"/>
      <c r="C27" s="93"/>
      <c r="D27" s="93"/>
      <c r="E27" s="287"/>
      <c r="F27" s="93"/>
      <c r="G27" s="93"/>
      <c r="H27" s="288"/>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92"/>
    </row>
  </sheetData>
  <mergeCells count="9">
    <mergeCell ref="C13:E13"/>
    <mergeCell ref="C19:E19"/>
    <mergeCell ref="I1:P1"/>
    <mergeCell ref="Q1:X1"/>
    <mergeCell ref="Y1:AF1"/>
    <mergeCell ref="AG1:AJ1"/>
    <mergeCell ref="A3:E3"/>
    <mergeCell ref="A5:G5"/>
    <mergeCell ref="C7:E7"/>
  </mergeCells>
  <hyperlinks>
    <hyperlink display="Total mortalities per year among people under age 5" location="Inputs!E24" ref="E8"/>
    <hyperlink display="Total early neonatal mortalities per year (babies under 7 days old)" location="Inputs!E25" ref="E9"/>
    <hyperlink display="Total late neonatal mortalities per year (babies between 7 and 27 days old)" location="Inputs!E26" ref="E10"/>
    <hyperlink display="Total post-neonatal mortalities per year (babies between 28 and 364 days old)" location="Inputs!E27" ref="E11"/>
    <hyperlink display="All-cause mortality rate among people under age 5" location="Inputs!E33" ref="E20"/>
    <hyperlink display="Estimated proportion of people under age 5 who are 6-59-month-olds" location="Inputs!E34" ref="E22"/>
    <hyperlink display="Adjustment for differences between the national mortality rate and mortality rates in the subnational areas targeted for VAS" location="Inputs!E37" ref="E25"/>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6" width="12.13"/>
    <col customWidth="1" min="37" max="37" width="3.63"/>
  </cols>
  <sheetData>
    <row r="1">
      <c r="A1" s="1"/>
      <c r="B1" s="4"/>
      <c r="C1" s="4"/>
      <c r="D1" s="4"/>
      <c r="E1" s="6"/>
      <c r="F1" s="7"/>
      <c r="G1" s="7"/>
      <c r="H1" s="8"/>
      <c r="I1" s="10" t="s">
        <v>1</v>
      </c>
      <c r="Q1" s="13" t="s">
        <v>1</v>
      </c>
      <c r="R1" s="3"/>
      <c r="S1" s="3"/>
      <c r="T1" s="3"/>
      <c r="U1" s="3"/>
      <c r="V1" s="3"/>
      <c r="W1" s="3"/>
      <c r="X1" s="3"/>
      <c r="Y1" s="13" t="s">
        <v>1</v>
      </c>
      <c r="Z1" s="3"/>
      <c r="AA1" s="3"/>
      <c r="AB1" s="3"/>
      <c r="AC1" s="3"/>
      <c r="AD1" s="3"/>
      <c r="AE1" s="3"/>
      <c r="AF1" s="17"/>
      <c r="AG1" s="20" t="s">
        <v>3</v>
      </c>
      <c r="AH1" s="12"/>
      <c r="AI1" s="12"/>
      <c r="AJ1" s="30"/>
      <c r="AK1" s="43"/>
    </row>
    <row r="2">
      <c r="A2" s="23"/>
      <c r="B2" s="24"/>
      <c r="C2" s="24"/>
      <c r="D2" s="24"/>
      <c r="E2" s="26"/>
      <c r="F2" s="27"/>
      <c r="G2" s="27"/>
      <c r="H2" s="28"/>
      <c r="I2" s="29" t="s">
        <v>5</v>
      </c>
      <c r="J2" s="29" t="s">
        <v>6</v>
      </c>
      <c r="K2" s="29" t="s">
        <v>7</v>
      </c>
      <c r="L2" s="29" t="s">
        <v>8</v>
      </c>
      <c r="M2" s="29" t="s">
        <v>9</v>
      </c>
      <c r="N2" s="29" t="s">
        <v>10</v>
      </c>
      <c r="O2" s="29" t="s">
        <v>11</v>
      </c>
      <c r="P2" s="29" t="s">
        <v>12</v>
      </c>
      <c r="Q2" s="13" t="s">
        <v>13</v>
      </c>
      <c r="R2" s="29" t="s">
        <v>14</v>
      </c>
      <c r="S2" s="29" t="s">
        <v>14</v>
      </c>
      <c r="T2" s="29" t="s">
        <v>14</v>
      </c>
      <c r="U2" s="29" t="s">
        <v>14</v>
      </c>
      <c r="V2" s="29" t="s">
        <v>14</v>
      </c>
      <c r="W2" s="29" t="s">
        <v>14</v>
      </c>
      <c r="X2" s="29" t="s">
        <v>14</v>
      </c>
      <c r="Y2" s="13" t="s">
        <v>14</v>
      </c>
      <c r="Z2" s="29" t="s">
        <v>14</v>
      </c>
      <c r="AA2" s="29" t="s">
        <v>14</v>
      </c>
      <c r="AB2" s="29" t="s">
        <v>14</v>
      </c>
      <c r="AC2" s="29" t="s">
        <v>14</v>
      </c>
      <c r="AD2" s="29" t="s">
        <v>14</v>
      </c>
      <c r="AE2" s="29" t="s">
        <v>14</v>
      </c>
      <c r="AF2" s="52" t="s">
        <v>14</v>
      </c>
      <c r="AG2" s="39" t="s">
        <v>17</v>
      </c>
      <c r="AH2" s="41" t="s">
        <v>19</v>
      </c>
      <c r="AI2" s="41" t="s">
        <v>20</v>
      </c>
      <c r="AJ2" s="63" t="s">
        <v>21</v>
      </c>
      <c r="AK2" s="66"/>
    </row>
    <row r="3">
      <c r="A3" s="46"/>
      <c r="B3" s="47"/>
      <c r="C3" s="47"/>
      <c r="D3" s="47"/>
      <c r="E3" s="47"/>
      <c r="F3" s="48"/>
      <c r="G3" s="48"/>
      <c r="H3" s="49" t="s">
        <v>25</v>
      </c>
      <c r="I3" s="50"/>
      <c r="J3" s="50"/>
      <c r="K3" s="50"/>
      <c r="L3" s="50"/>
      <c r="M3" s="50"/>
      <c r="N3" s="50"/>
      <c r="O3" s="50"/>
      <c r="P3" s="50"/>
      <c r="Q3" s="51"/>
      <c r="R3" s="50" t="s">
        <v>27</v>
      </c>
      <c r="S3" s="50" t="s">
        <v>28</v>
      </c>
      <c r="T3" s="50" t="s">
        <v>30</v>
      </c>
      <c r="U3" s="50" t="s">
        <v>31</v>
      </c>
      <c r="V3" s="50" t="s">
        <v>32</v>
      </c>
      <c r="W3" s="50" t="s">
        <v>33</v>
      </c>
      <c r="X3" s="50" t="s">
        <v>34</v>
      </c>
      <c r="Y3" s="51" t="s">
        <v>35</v>
      </c>
      <c r="Z3" s="50" t="s">
        <v>36</v>
      </c>
      <c r="AA3" s="50" t="s">
        <v>37</v>
      </c>
      <c r="AB3" s="50" t="s">
        <v>38</v>
      </c>
      <c r="AC3" s="50" t="s">
        <v>40</v>
      </c>
      <c r="AD3" s="50" t="s">
        <v>41</v>
      </c>
      <c r="AE3" s="50" t="s">
        <v>42</v>
      </c>
      <c r="AF3" s="70" t="s">
        <v>43</v>
      </c>
      <c r="AG3" s="53"/>
      <c r="AH3" s="50"/>
      <c r="AI3" s="50"/>
      <c r="AJ3" s="70"/>
      <c r="AK3" s="79"/>
    </row>
    <row r="4">
      <c r="A4" s="56"/>
      <c r="B4" s="57"/>
      <c r="C4" s="57"/>
      <c r="D4" s="57"/>
      <c r="E4" s="58" t="s">
        <v>48</v>
      </c>
      <c r="F4" s="67" t="str">
        <f>'Main CEA'!F149</f>
        <v>xbenchmark</v>
      </c>
      <c r="G4" s="67" t="s">
        <v>55</v>
      </c>
      <c r="H4" s="71" t="str">
        <f>'Main CEA'!H149</f>
        <v>-</v>
      </c>
      <c r="I4" s="76">
        <f>'Main CEA'!I149</f>
        <v>22.60415752</v>
      </c>
      <c r="J4" s="76">
        <f>'Main CEA'!J149</f>
        <v>15.90795125</v>
      </c>
      <c r="K4" s="76">
        <f>'Main CEA'!K149</f>
        <v>8.539170255</v>
      </c>
      <c r="L4" s="76">
        <f>'Main CEA'!L149</f>
        <v>16.91453322</v>
      </c>
      <c r="M4" s="76">
        <f>'Main CEA'!M149</f>
        <v>10.93220737</v>
      </c>
      <c r="N4" s="76">
        <f>'Main CEA'!N149</f>
        <v>4.797449632</v>
      </c>
      <c r="O4" s="76">
        <f>'Main CEA'!O149</f>
        <v>15.91291055</v>
      </c>
      <c r="P4" s="76">
        <f>'Main CEA'!P149</f>
        <v>32.8307888</v>
      </c>
      <c r="Q4" s="76">
        <f>'Main CEA'!Q149</f>
        <v>59.34334121</v>
      </c>
      <c r="R4" s="76">
        <f>'Main CEA'!R149</f>
        <v>21.47896702</v>
      </c>
      <c r="S4" s="76">
        <f>'Main CEA'!S149</f>
        <v>4.41378032</v>
      </c>
      <c r="T4" s="76">
        <f>'Main CEA'!T149</f>
        <v>2.306263162</v>
      </c>
      <c r="U4" s="76">
        <f>'Main CEA'!U149</f>
        <v>9.528711546</v>
      </c>
      <c r="V4" s="76">
        <f>'Main CEA'!V149</f>
        <v>5.198055163</v>
      </c>
      <c r="W4" s="76">
        <f>'Main CEA'!W149</f>
        <v>13.5193518</v>
      </c>
      <c r="X4" s="76">
        <f>'Main CEA'!X149</f>
        <v>3.812617409</v>
      </c>
      <c r="Y4" s="76">
        <f>'Main CEA'!Y149</f>
        <v>5.895050222</v>
      </c>
      <c r="Z4" s="76">
        <f>'Main CEA'!Z149</f>
        <v>3.155973833</v>
      </c>
      <c r="AA4" s="76">
        <f>'Main CEA'!AA149</f>
        <v>4.188151971</v>
      </c>
      <c r="AB4" s="76">
        <f>'Main CEA'!AB149</f>
        <v>11.97636056</v>
      </c>
      <c r="AC4" s="76">
        <f>'Main CEA'!AC149</f>
        <v>4.828298764</v>
      </c>
      <c r="AD4" s="76">
        <f>'Main CEA'!AD149</f>
        <v>2.328547655</v>
      </c>
      <c r="AE4" s="76">
        <f>'Main CEA'!AE149</f>
        <v>7.686300139</v>
      </c>
      <c r="AF4" s="76">
        <f>'Main CEA'!AF149</f>
        <v>28.9613448</v>
      </c>
      <c r="AG4" s="119">
        <f>'Main CEA'!AG149</f>
        <v>5.627604036</v>
      </c>
      <c r="AH4" s="76">
        <f>'Main CEA'!AH149</f>
        <v>20.12427722</v>
      </c>
      <c r="AI4" s="76">
        <f>'Main CEA'!AI149</f>
        <v>14.89433335</v>
      </c>
      <c r="AJ4" s="76">
        <f>'Main CEA'!AJ149</f>
        <v>6.31059923</v>
      </c>
      <c r="AK4" s="94"/>
    </row>
    <row r="5">
      <c r="A5" s="99" t="s">
        <v>102</v>
      </c>
      <c r="B5" s="12"/>
      <c r="C5" s="12"/>
      <c r="D5" s="12"/>
      <c r="E5" s="12"/>
      <c r="F5" s="12"/>
      <c r="G5" s="12"/>
      <c r="H5" s="97"/>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100"/>
    </row>
    <row r="6">
      <c r="A6" s="101"/>
      <c r="B6" s="102"/>
      <c r="C6" s="130"/>
      <c r="D6" s="130"/>
      <c r="E6" s="131"/>
      <c r="F6" s="132"/>
      <c r="G6" s="133"/>
      <c r="H6" s="135"/>
      <c r="I6" s="137"/>
      <c r="J6" s="137"/>
      <c r="K6" s="137"/>
      <c r="L6" s="137"/>
      <c r="M6" s="137"/>
      <c r="N6" s="137"/>
      <c r="O6" s="137"/>
      <c r="P6" s="137"/>
      <c r="Q6" s="137"/>
      <c r="R6" s="137"/>
      <c r="S6" s="137"/>
      <c r="T6" s="137"/>
      <c r="U6" s="137"/>
      <c r="V6" s="137"/>
      <c r="W6" s="137"/>
      <c r="X6" s="137"/>
      <c r="Y6" s="137"/>
      <c r="Z6" s="137"/>
      <c r="AA6" s="137"/>
      <c r="AB6" s="137"/>
      <c r="AC6" s="137"/>
      <c r="AD6" s="137"/>
      <c r="AE6" s="140"/>
      <c r="AF6" s="140"/>
      <c r="AG6" s="140"/>
      <c r="AH6" s="140"/>
      <c r="AI6" s="140"/>
      <c r="AJ6" s="140"/>
      <c r="AK6" s="141"/>
    </row>
    <row r="7">
      <c r="A7" s="101"/>
      <c r="B7" s="102"/>
      <c r="C7" s="130" t="s">
        <v>121</v>
      </c>
      <c r="F7" s="132"/>
      <c r="G7" s="133"/>
      <c r="H7" s="135"/>
      <c r="I7" s="137"/>
      <c r="J7" s="137"/>
      <c r="K7" s="137"/>
      <c r="L7" s="137"/>
      <c r="M7" s="137"/>
      <c r="N7" s="137"/>
      <c r="O7" s="137"/>
      <c r="P7" s="137"/>
      <c r="Q7" s="137"/>
      <c r="R7" s="137"/>
      <c r="S7" s="137"/>
      <c r="T7" s="137"/>
      <c r="U7" s="137"/>
      <c r="V7" s="137"/>
      <c r="W7" s="137"/>
      <c r="X7" s="137"/>
      <c r="Y7" s="137"/>
      <c r="Z7" s="137"/>
      <c r="AA7" s="137"/>
      <c r="AB7" s="137"/>
      <c r="AC7" s="137"/>
      <c r="AD7" s="137"/>
      <c r="AE7" s="140"/>
      <c r="AF7" s="140"/>
      <c r="AG7" s="140"/>
      <c r="AH7" s="140"/>
      <c r="AI7" s="140"/>
      <c r="AJ7" s="140"/>
      <c r="AK7" s="141"/>
    </row>
    <row r="8">
      <c r="A8" s="101"/>
      <c r="B8" s="102"/>
      <c r="C8" s="130"/>
      <c r="D8" s="130"/>
      <c r="E8" s="143" t="s">
        <v>121</v>
      </c>
      <c r="F8" s="114" t="str">
        <f>Inputs!F42</f>
        <v>%</v>
      </c>
      <c r="G8" s="148" t="str">
        <f>Inputs!G42</f>
        <v>input</v>
      </c>
      <c r="H8" s="151" t="str">
        <f>Inputs!H42</f>
        <v>-</v>
      </c>
      <c r="I8" s="154" t="str">
        <f>Inputs!I42</f>
        <v>-</v>
      </c>
      <c r="J8" s="154" t="str">
        <f>Inputs!J42</f>
        <v>-</v>
      </c>
      <c r="K8" s="154" t="str">
        <f>Inputs!K42</f>
        <v>-</v>
      </c>
      <c r="L8" s="154" t="str">
        <f>Inputs!L42</f>
        <v>-</v>
      </c>
      <c r="M8" s="154" t="str">
        <f>Inputs!M42</f>
        <v>-</v>
      </c>
      <c r="N8" s="154" t="str">
        <f>Inputs!N42</f>
        <v>-</v>
      </c>
      <c r="O8" s="154" t="str">
        <f>Inputs!O42</f>
        <v>-</v>
      </c>
      <c r="P8" s="154" t="str">
        <f>Inputs!P42</f>
        <v>-</v>
      </c>
      <c r="Q8" s="154" t="str">
        <f>Inputs!Q42</f>
        <v>-</v>
      </c>
      <c r="R8" s="161">
        <f>Inputs!R42</f>
        <v>0.295</v>
      </c>
      <c r="S8" s="161">
        <f>Inputs!S42</f>
        <v>0.295</v>
      </c>
      <c r="T8" s="161">
        <f>Inputs!T42</f>
        <v>0.295</v>
      </c>
      <c r="U8" s="161">
        <f>Inputs!U42</f>
        <v>0.295</v>
      </c>
      <c r="V8" s="161">
        <f>Inputs!V42</f>
        <v>0.295</v>
      </c>
      <c r="W8" s="161">
        <f>Inputs!W42</f>
        <v>0.295</v>
      </c>
      <c r="X8" s="161">
        <f>Inputs!X42</f>
        <v>0.295</v>
      </c>
      <c r="Y8" s="161">
        <f>Inputs!Y42</f>
        <v>0.295</v>
      </c>
      <c r="Z8" s="161">
        <f>Inputs!Z42</f>
        <v>0.295</v>
      </c>
      <c r="AA8" s="161">
        <f>Inputs!AA42</f>
        <v>0.295</v>
      </c>
      <c r="AB8" s="161">
        <f>Inputs!AB42</f>
        <v>0.295</v>
      </c>
      <c r="AC8" s="161">
        <f>Inputs!AC42</f>
        <v>0.295</v>
      </c>
      <c r="AD8" s="161">
        <f>Inputs!AD42</f>
        <v>0.295</v>
      </c>
      <c r="AE8" s="161">
        <f>Inputs!AE42</f>
        <v>0.295</v>
      </c>
      <c r="AF8" s="161">
        <f>Inputs!AF42</f>
        <v>0.295</v>
      </c>
      <c r="AG8" s="169" t="str">
        <f>Inputs!AG42</f>
        <v>-</v>
      </c>
      <c r="AH8" s="169" t="str">
        <f>Inputs!AH42</f>
        <v>-</v>
      </c>
      <c r="AI8" s="169" t="str">
        <f>Inputs!AI42</f>
        <v>-</v>
      </c>
      <c r="AJ8" s="169" t="str">
        <f>Inputs!AJ42</f>
        <v>-</v>
      </c>
      <c r="AK8" s="173"/>
    </row>
    <row r="9">
      <c r="A9" s="101"/>
      <c r="B9" s="102"/>
      <c r="C9" s="130"/>
      <c r="D9" s="130"/>
      <c r="E9" s="175" t="s">
        <v>144</v>
      </c>
      <c r="F9" s="176" t="str">
        <f>Inputs!F43</f>
        <v>year</v>
      </c>
      <c r="G9" s="177" t="str">
        <f>Inputs!G43</f>
        <v>input</v>
      </c>
      <c r="H9" s="179" t="str">
        <f>Inputs!H43</f>
        <v>-</v>
      </c>
      <c r="I9" s="181" t="str">
        <f>Inputs!I43</f>
        <v>-</v>
      </c>
      <c r="J9" s="181" t="str">
        <f>Inputs!J43</f>
        <v>-</v>
      </c>
      <c r="K9" s="181" t="str">
        <f>Inputs!K43</f>
        <v>-</v>
      </c>
      <c r="L9" s="181" t="str">
        <f>Inputs!L43</f>
        <v>-</v>
      </c>
      <c r="M9" s="181" t="str">
        <f>Inputs!M43</f>
        <v>-</v>
      </c>
      <c r="N9" s="181" t="str">
        <f>Inputs!N43</f>
        <v>-</v>
      </c>
      <c r="O9" s="181" t="str">
        <f>Inputs!O43</f>
        <v>-</v>
      </c>
      <c r="P9" s="181" t="str">
        <f>Inputs!P43</f>
        <v>-</v>
      </c>
      <c r="Q9" s="181" t="str">
        <f>Inputs!Q43</f>
        <v>-</v>
      </c>
      <c r="R9" s="181" t="str">
        <f>Inputs!R43</f>
        <v>2001</v>
      </c>
      <c r="S9" s="181" t="str">
        <f>Inputs!S43</f>
        <v>2001</v>
      </c>
      <c r="T9" s="181" t="str">
        <f>Inputs!T43</f>
        <v>2001</v>
      </c>
      <c r="U9" s="181" t="str">
        <f>Inputs!U43</f>
        <v>2001</v>
      </c>
      <c r="V9" s="181" t="str">
        <f>Inputs!V43</f>
        <v>2001</v>
      </c>
      <c r="W9" s="181" t="str">
        <f>Inputs!W43</f>
        <v>2001</v>
      </c>
      <c r="X9" s="181" t="str">
        <f>Inputs!X43</f>
        <v>2001</v>
      </c>
      <c r="Y9" s="181" t="str">
        <f>Inputs!Y43</f>
        <v>2001</v>
      </c>
      <c r="Z9" s="181" t="str">
        <f>Inputs!Z43</f>
        <v>2001</v>
      </c>
      <c r="AA9" s="181" t="str">
        <f>Inputs!AA43</f>
        <v>2001</v>
      </c>
      <c r="AB9" s="181" t="str">
        <f>Inputs!AB43</f>
        <v>2001</v>
      </c>
      <c r="AC9" s="181" t="str">
        <f>Inputs!AC43</f>
        <v>2001</v>
      </c>
      <c r="AD9" s="181" t="str">
        <f>Inputs!AD43</f>
        <v>2001</v>
      </c>
      <c r="AE9" s="194" t="str">
        <f>Inputs!AE43</f>
        <v>2001</v>
      </c>
      <c r="AF9" s="194" t="str">
        <f>Inputs!AF43</f>
        <v>2001</v>
      </c>
      <c r="AG9" s="194" t="str">
        <f>Inputs!AG43</f>
        <v>-</v>
      </c>
      <c r="AH9" s="194" t="str">
        <f>Inputs!AH43</f>
        <v>-</v>
      </c>
      <c r="AI9" s="194" t="str">
        <f>Inputs!AI43</f>
        <v>-</v>
      </c>
      <c r="AJ9" s="194" t="str">
        <f>Inputs!AJ43</f>
        <v>-</v>
      </c>
      <c r="AK9" s="201"/>
    </row>
    <row r="10">
      <c r="A10" s="101"/>
      <c r="B10" s="102"/>
      <c r="C10" s="130"/>
      <c r="D10" s="130"/>
      <c r="E10" s="203"/>
      <c r="F10" s="132"/>
      <c r="G10" s="133"/>
      <c r="H10" s="135"/>
      <c r="I10" s="137"/>
      <c r="J10" s="137"/>
      <c r="K10" s="137"/>
      <c r="L10" s="137"/>
      <c r="M10" s="137"/>
      <c r="N10" s="137"/>
      <c r="O10" s="137"/>
      <c r="P10" s="137"/>
      <c r="Q10" s="137"/>
      <c r="R10" s="137"/>
      <c r="S10" s="137"/>
      <c r="T10" s="137"/>
      <c r="U10" s="137"/>
      <c r="V10" s="137"/>
      <c r="W10" s="137"/>
      <c r="X10" s="137"/>
      <c r="Y10" s="137"/>
      <c r="Z10" s="137"/>
      <c r="AA10" s="137"/>
      <c r="AB10" s="137"/>
      <c r="AC10" s="137"/>
      <c r="AD10" s="137"/>
      <c r="AE10" s="140"/>
      <c r="AF10" s="140"/>
      <c r="AG10" s="140"/>
      <c r="AH10" s="140"/>
      <c r="AI10" s="140"/>
      <c r="AJ10" s="140"/>
      <c r="AK10" s="141"/>
    </row>
    <row r="11">
      <c r="A11" s="101"/>
      <c r="B11" s="102"/>
      <c r="C11" s="130" t="s">
        <v>155</v>
      </c>
      <c r="F11" s="132"/>
      <c r="G11" s="133"/>
      <c r="H11" s="135"/>
      <c r="I11" s="137"/>
      <c r="J11" s="137"/>
      <c r="K11" s="137"/>
      <c r="L11" s="137"/>
      <c r="M11" s="137"/>
      <c r="N11" s="137"/>
      <c r="O11" s="137"/>
      <c r="P11" s="137"/>
      <c r="Q11" s="137"/>
      <c r="R11" s="137"/>
      <c r="S11" s="137"/>
      <c r="T11" s="137"/>
      <c r="U11" s="137"/>
      <c r="V11" s="137"/>
      <c r="W11" s="137"/>
      <c r="X11" s="137"/>
      <c r="Y11" s="137"/>
      <c r="Z11" s="137"/>
      <c r="AA11" s="137"/>
      <c r="AB11" s="137"/>
      <c r="AC11" s="137"/>
      <c r="AD11" s="137"/>
      <c r="AE11" s="140"/>
      <c r="AF11" s="140"/>
      <c r="AG11" s="140"/>
      <c r="AH11" s="140"/>
      <c r="AI11" s="140"/>
      <c r="AJ11" s="140"/>
      <c r="AK11" s="141"/>
    </row>
    <row r="12">
      <c r="A12" s="101"/>
      <c r="B12" s="102"/>
      <c r="C12" s="130"/>
      <c r="D12" s="130"/>
      <c r="E12" s="112" t="s">
        <v>157</v>
      </c>
      <c r="F12" s="114" t="str">
        <f>Inputs!F46</f>
        <v>%</v>
      </c>
      <c r="G12" s="148" t="str">
        <f>Inputs!G46</f>
        <v>input</v>
      </c>
      <c r="H12" s="151" t="str">
        <f>Inputs!H46</f>
        <v>-</v>
      </c>
      <c r="I12" s="154" t="str">
        <f>Inputs!I46</f>
        <v>-</v>
      </c>
      <c r="J12" s="154" t="str">
        <f>Inputs!J46</f>
        <v>-</v>
      </c>
      <c r="K12" s="154" t="str">
        <f>Inputs!K46</f>
        <v>-</v>
      </c>
      <c r="L12" s="154" t="str">
        <f>Inputs!L46</f>
        <v>-</v>
      </c>
      <c r="M12" s="154" t="str">
        <f>Inputs!M46</f>
        <v>-</v>
      </c>
      <c r="N12" s="154" t="str">
        <f>Inputs!N46</f>
        <v>-</v>
      </c>
      <c r="O12" s="154" t="str">
        <f>Inputs!O46</f>
        <v>-</v>
      </c>
      <c r="P12" s="154" t="str">
        <f>Inputs!P46</f>
        <v>-</v>
      </c>
      <c r="Q12" s="154" t="str">
        <f>Inputs!Q46</f>
        <v>-</v>
      </c>
      <c r="R12" s="161">
        <f>Inputs!R46</f>
        <v>0.383</v>
      </c>
      <c r="S12" s="161">
        <f>Inputs!S46</f>
        <v>0.383</v>
      </c>
      <c r="T12" s="161">
        <f>Inputs!T46</f>
        <v>0.383</v>
      </c>
      <c r="U12" s="161">
        <f>Inputs!U46</f>
        <v>0.383</v>
      </c>
      <c r="V12" s="161">
        <f>Inputs!V46</f>
        <v>0.383</v>
      </c>
      <c r="W12" s="161">
        <f>Inputs!W46</f>
        <v>0.383</v>
      </c>
      <c r="X12" s="161">
        <f>Inputs!X46</f>
        <v>0.383</v>
      </c>
      <c r="Y12" s="161">
        <f>Inputs!Y46</f>
        <v>0.383</v>
      </c>
      <c r="Z12" s="161">
        <f>Inputs!Z46</f>
        <v>0.383</v>
      </c>
      <c r="AA12" s="161">
        <f>Inputs!AA46</f>
        <v>0.383</v>
      </c>
      <c r="AB12" s="161">
        <f>Inputs!AB46</f>
        <v>0.383</v>
      </c>
      <c r="AC12" s="161">
        <f>Inputs!AC46</f>
        <v>0.383</v>
      </c>
      <c r="AD12" s="161">
        <f>Inputs!AD46</f>
        <v>0.383</v>
      </c>
      <c r="AE12" s="161">
        <f>Inputs!AE46</f>
        <v>0.383</v>
      </c>
      <c r="AF12" s="161">
        <f>Inputs!AF46</f>
        <v>0.383</v>
      </c>
      <c r="AG12" s="169" t="str">
        <f>Inputs!AG46</f>
        <v>-</v>
      </c>
      <c r="AH12" s="169" t="str">
        <f>Inputs!AH46</f>
        <v>-</v>
      </c>
      <c r="AI12" s="169" t="str">
        <f>Inputs!AI46</f>
        <v>-</v>
      </c>
      <c r="AJ12" s="169" t="str">
        <f>Inputs!AJ46</f>
        <v>-</v>
      </c>
      <c r="AK12" s="173"/>
    </row>
    <row r="13">
      <c r="A13" s="101"/>
      <c r="B13" s="102"/>
      <c r="C13" s="130"/>
      <c r="D13" s="130"/>
      <c r="E13" s="144" t="s">
        <v>161</v>
      </c>
      <c r="F13" s="145" t="str">
        <f>Inputs!F47</f>
        <v>%</v>
      </c>
      <c r="G13" s="217" t="str">
        <f>Inputs!G47</f>
        <v>input</v>
      </c>
      <c r="H13" s="219" t="str">
        <f>Inputs!H47</f>
        <v>-</v>
      </c>
      <c r="I13" s="220" t="str">
        <f>Inputs!I47</f>
        <v>-</v>
      </c>
      <c r="J13" s="220" t="str">
        <f>Inputs!J47</f>
        <v>-</v>
      </c>
      <c r="K13" s="220" t="str">
        <f>Inputs!K47</f>
        <v>-</v>
      </c>
      <c r="L13" s="220" t="str">
        <f>Inputs!L47</f>
        <v>-</v>
      </c>
      <c r="M13" s="220" t="str">
        <f>Inputs!M47</f>
        <v>-</v>
      </c>
      <c r="N13" s="220" t="str">
        <f>Inputs!N47</f>
        <v>-</v>
      </c>
      <c r="O13" s="220" t="str">
        <f>Inputs!O47</f>
        <v>-</v>
      </c>
      <c r="P13" s="220" t="str">
        <f>Inputs!P47</f>
        <v>-</v>
      </c>
      <c r="Q13" s="220" t="str">
        <f>Inputs!Q47</f>
        <v>-</v>
      </c>
      <c r="R13" s="222">
        <f>Inputs!R47</f>
        <v>0.092</v>
      </c>
      <c r="S13" s="222">
        <f>Inputs!S47</f>
        <v>0.092</v>
      </c>
      <c r="T13" s="222">
        <f>Inputs!T47</f>
        <v>0.092</v>
      </c>
      <c r="U13" s="222">
        <f>Inputs!U47</f>
        <v>0.092</v>
      </c>
      <c r="V13" s="222">
        <f>Inputs!V47</f>
        <v>0.092</v>
      </c>
      <c r="W13" s="222">
        <f>Inputs!W47</f>
        <v>0.092</v>
      </c>
      <c r="X13" s="222">
        <f>Inputs!X47</f>
        <v>0.092</v>
      </c>
      <c r="Y13" s="222">
        <f>Inputs!Y47</f>
        <v>0.092</v>
      </c>
      <c r="Z13" s="222">
        <f>Inputs!Z47</f>
        <v>0.092</v>
      </c>
      <c r="AA13" s="222">
        <f>Inputs!AA47</f>
        <v>0.092</v>
      </c>
      <c r="AB13" s="222">
        <f>Inputs!AB47</f>
        <v>0.092</v>
      </c>
      <c r="AC13" s="222">
        <f>Inputs!AC47</f>
        <v>0.092</v>
      </c>
      <c r="AD13" s="222">
        <f>Inputs!AD47</f>
        <v>0.092</v>
      </c>
      <c r="AE13" s="222">
        <f>Inputs!AE47</f>
        <v>0.092</v>
      </c>
      <c r="AF13" s="222">
        <f>Inputs!AF47</f>
        <v>0.092</v>
      </c>
      <c r="AG13" s="228" t="str">
        <f>Inputs!AG47</f>
        <v>-</v>
      </c>
      <c r="AH13" s="228" t="str">
        <f>Inputs!AH47</f>
        <v>-</v>
      </c>
      <c r="AI13" s="228" t="str">
        <f>Inputs!AI47</f>
        <v>-</v>
      </c>
      <c r="AJ13" s="228" t="str">
        <f>Inputs!AJ47</f>
        <v>-</v>
      </c>
      <c r="AK13" s="232"/>
    </row>
    <row r="14">
      <c r="A14" s="101"/>
      <c r="B14" s="102"/>
      <c r="C14" s="130"/>
      <c r="D14" s="130"/>
      <c r="E14" s="144" t="s">
        <v>168</v>
      </c>
      <c r="F14" s="145" t="str">
        <f>Inputs!F48</f>
        <v>%</v>
      </c>
      <c r="G14" s="217" t="str">
        <f>Inputs!G48</f>
        <v>input</v>
      </c>
      <c r="H14" s="219" t="str">
        <f>Inputs!H48</f>
        <v>-</v>
      </c>
      <c r="I14" s="220" t="str">
        <f>Inputs!I48</f>
        <v>-</v>
      </c>
      <c r="J14" s="220" t="str">
        <f>Inputs!J48</f>
        <v>-</v>
      </c>
      <c r="K14" s="220" t="str">
        <f>Inputs!K48</f>
        <v>-</v>
      </c>
      <c r="L14" s="220" t="str">
        <f>Inputs!L48</f>
        <v>-</v>
      </c>
      <c r="M14" s="220" t="str">
        <f>Inputs!M48</f>
        <v>-</v>
      </c>
      <c r="N14" s="220" t="str">
        <f>Inputs!N48</f>
        <v>-</v>
      </c>
      <c r="O14" s="220" t="str">
        <f>Inputs!O48</f>
        <v>-</v>
      </c>
      <c r="P14" s="220" t="str">
        <f>Inputs!P48</f>
        <v>-</v>
      </c>
      <c r="Q14" s="220" t="str">
        <f>Inputs!Q48</f>
        <v>-</v>
      </c>
      <c r="R14" s="222">
        <f>Inputs!R48</f>
        <v>0.368</v>
      </c>
      <c r="S14" s="222">
        <f>Inputs!S48</f>
        <v>0.368</v>
      </c>
      <c r="T14" s="222">
        <f>Inputs!T48</f>
        <v>0.368</v>
      </c>
      <c r="U14" s="222">
        <f>Inputs!U48</f>
        <v>0.368</v>
      </c>
      <c r="V14" s="222">
        <f>Inputs!V48</f>
        <v>0.368</v>
      </c>
      <c r="W14" s="222">
        <f>Inputs!W48</f>
        <v>0.368</v>
      </c>
      <c r="X14" s="222">
        <f>Inputs!X48</f>
        <v>0.368</v>
      </c>
      <c r="Y14" s="222">
        <f>Inputs!Y48</f>
        <v>0.368</v>
      </c>
      <c r="Z14" s="222">
        <f>Inputs!Z48</f>
        <v>0.368</v>
      </c>
      <c r="AA14" s="222">
        <f>Inputs!AA48</f>
        <v>0.368</v>
      </c>
      <c r="AB14" s="222">
        <f>Inputs!AB48</f>
        <v>0.368</v>
      </c>
      <c r="AC14" s="222">
        <f>Inputs!AC48</f>
        <v>0.368</v>
      </c>
      <c r="AD14" s="222">
        <f>Inputs!AD48</f>
        <v>0.368</v>
      </c>
      <c r="AE14" s="222">
        <f>Inputs!AE48</f>
        <v>0.368</v>
      </c>
      <c r="AF14" s="222">
        <f>Inputs!AF48</f>
        <v>0.368</v>
      </c>
      <c r="AG14" s="228" t="str">
        <f>Inputs!AG48</f>
        <v>-</v>
      </c>
      <c r="AH14" s="228" t="str">
        <f>Inputs!AH48</f>
        <v>-</v>
      </c>
      <c r="AI14" s="228" t="str">
        <f>Inputs!AI48</f>
        <v>-</v>
      </c>
      <c r="AJ14" s="228" t="str">
        <f>Inputs!AJ48</f>
        <v>-</v>
      </c>
      <c r="AK14" s="232"/>
    </row>
    <row r="15">
      <c r="A15" s="101"/>
      <c r="B15" s="102"/>
      <c r="C15" s="130"/>
      <c r="D15" s="130"/>
      <c r="E15" s="144" t="s">
        <v>173</v>
      </c>
      <c r="F15" s="145" t="str">
        <f>Inputs!F49</f>
        <v>%</v>
      </c>
      <c r="G15" s="217" t="str">
        <f>Inputs!G49</f>
        <v>input</v>
      </c>
      <c r="H15" s="219" t="str">
        <f>Inputs!H49</f>
        <v>-</v>
      </c>
      <c r="I15" s="220" t="str">
        <f>Inputs!I49</f>
        <v>-</v>
      </c>
      <c r="J15" s="220" t="str">
        <f>Inputs!J49</f>
        <v>-</v>
      </c>
      <c r="K15" s="220" t="str">
        <f>Inputs!K49</f>
        <v>-</v>
      </c>
      <c r="L15" s="220" t="str">
        <f>Inputs!L49</f>
        <v>-</v>
      </c>
      <c r="M15" s="220" t="str">
        <f>Inputs!M49</f>
        <v>-</v>
      </c>
      <c r="N15" s="220" t="str">
        <f>Inputs!N49</f>
        <v>-</v>
      </c>
      <c r="O15" s="220" t="str">
        <f>Inputs!O49</f>
        <v>-</v>
      </c>
      <c r="P15" s="220" t="str">
        <f>Inputs!P49</f>
        <v>-</v>
      </c>
      <c r="Q15" s="220" t="str">
        <f>Inputs!Q49</f>
        <v>-</v>
      </c>
      <c r="R15" s="222">
        <f>Inputs!R49</f>
        <v>0.068</v>
      </c>
      <c r="S15" s="222">
        <f>Inputs!S49</f>
        <v>0.068</v>
      </c>
      <c r="T15" s="222">
        <f>Inputs!T49</f>
        <v>0.068</v>
      </c>
      <c r="U15" s="222">
        <f>Inputs!U49</f>
        <v>0.068</v>
      </c>
      <c r="V15" s="222">
        <f>Inputs!V49</f>
        <v>0.068</v>
      </c>
      <c r="W15" s="222">
        <f>Inputs!W49</f>
        <v>0.068</v>
      </c>
      <c r="X15" s="222">
        <f>Inputs!X49</f>
        <v>0.068</v>
      </c>
      <c r="Y15" s="222">
        <f>Inputs!Y49</f>
        <v>0.068</v>
      </c>
      <c r="Z15" s="222">
        <f>Inputs!Z49</f>
        <v>0.068</v>
      </c>
      <c r="AA15" s="222">
        <f>Inputs!AA49</f>
        <v>0.068</v>
      </c>
      <c r="AB15" s="222">
        <f>Inputs!AB49</f>
        <v>0.068</v>
      </c>
      <c r="AC15" s="222">
        <f>Inputs!AC49</f>
        <v>0.068</v>
      </c>
      <c r="AD15" s="222">
        <f>Inputs!AD49</f>
        <v>0.068</v>
      </c>
      <c r="AE15" s="222">
        <f>Inputs!AE49</f>
        <v>0.068</v>
      </c>
      <c r="AF15" s="222">
        <f>Inputs!AF49</f>
        <v>0.068</v>
      </c>
      <c r="AG15" s="228" t="str">
        <f>Inputs!AG49</f>
        <v>-</v>
      </c>
      <c r="AH15" s="228" t="str">
        <f>Inputs!AH49</f>
        <v>-</v>
      </c>
      <c r="AI15" s="228" t="str">
        <f>Inputs!AI49</f>
        <v>-</v>
      </c>
      <c r="AJ15" s="228" t="str">
        <f>Inputs!AJ49</f>
        <v>-</v>
      </c>
      <c r="AK15" s="232"/>
    </row>
    <row r="16">
      <c r="A16" s="101"/>
      <c r="B16" s="102"/>
      <c r="C16" s="130"/>
      <c r="D16" s="130"/>
      <c r="E16" s="190" t="s">
        <v>176</v>
      </c>
      <c r="F16" s="176" t="str">
        <f>Inputs!F50</f>
        <v>%</v>
      </c>
      <c r="G16" s="177" t="str">
        <f>Inputs!G50</f>
        <v>input</v>
      </c>
      <c r="H16" s="179" t="str">
        <f>Inputs!H50</f>
        <v>-</v>
      </c>
      <c r="I16" s="181" t="str">
        <f>Inputs!I50</f>
        <v>-</v>
      </c>
      <c r="J16" s="181" t="str">
        <f>Inputs!J50</f>
        <v>-</v>
      </c>
      <c r="K16" s="181" t="str">
        <f>Inputs!K50</f>
        <v>-</v>
      </c>
      <c r="L16" s="181" t="str">
        <f>Inputs!L50</f>
        <v>-</v>
      </c>
      <c r="M16" s="181" t="str">
        <f>Inputs!M50</f>
        <v>-</v>
      </c>
      <c r="N16" s="181" t="str">
        <f>Inputs!N50</f>
        <v>-</v>
      </c>
      <c r="O16" s="181" t="str">
        <f>Inputs!O50</f>
        <v>-</v>
      </c>
      <c r="P16" s="181" t="str">
        <f>Inputs!P50</f>
        <v>-</v>
      </c>
      <c r="Q16" s="181" t="str">
        <f>Inputs!Q50</f>
        <v>-</v>
      </c>
      <c r="R16" s="236">
        <f>Inputs!R50</f>
        <v>0.679</v>
      </c>
      <c r="S16" s="236">
        <f>Inputs!S50</f>
        <v>0.679</v>
      </c>
      <c r="T16" s="236">
        <f>Inputs!T50</f>
        <v>0.679</v>
      </c>
      <c r="U16" s="236">
        <f>Inputs!U50</f>
        <v>0.679</v>
      </c>
      <c r="V16" s="236">
        <f>Inputs!V50</f>
        <v>0.679</v>
      </c>
      <c r="W16" s="236">
        <f>Inputs!W50</f>
        <v>0.679</v>
      </c>
      <c r="X16" s="236">
        <f>Inputs!X50</f>
        <v>0.679</v>
      </c>
      <c r="Y16" s="236">
        <f>Inputs!Y50</f>
        <v>0.679</v>
      </c>
      <c r="Z16" s="236">
        <f>Inputs!Z50</f>
        <v>0.679</v>
      </c>
      <c r="AA16" s="236">
        <f>Inputs!AA50</f>
        <v>0.679</v>
      </c>
      <c r="AB16" s="236">
        <f>Inputs!AB50</f>
        <v>0.679</v>
      </c>
      <c r="AC16" s="236">
        <f>Inputs!AC50</f>
        <v>0.679</v>
      </c>
      <c r="AD16" s="236">
        <f>Inputs!AD50</f>
        <v>0.679</v>
      </c>
      <c r="AE16" s="236">
        <f>Inputs!AE50</f>
        <v>0.679</v>
      </c>
      <c r="AF16" s="236">
        <f>Inputs!AF50</f>
        <v>0.679</v>
      </c>
      <c r="AG16" s="194" t="str">
        <f>Inputs!AG50</f>
        <v>-</v>
      </c>
      <c r="AH16" s="194" t="str">
        <f>Inputs!AH50</f>
        <v>-</v>
      </c>
      <c r="AI16" s="194" t="str">
        <f>Inputs!AI50</f>
        <v>-</v>
      </c>
      <c r="AJ16" s="194" t="str">
        <f>Inputs!AJ50</f>
        <v>-</v>
      </c>
      <c r="AK16" s="201"/>
    </row>
    <row r="17">
      <c r="A17" s="101"/>
      <c r="B17" s="102"/>
      <c r="C17" s="130"/>
      <c r="D17" s="130"/>
      <c r="E17" s="131"/>
      <c r="F17" s="132"/>
      <c r="G17" s="133"/>
      <c r="H17" s="135"/>
      <c r="I17" s="140"/>
      <c r="J17" s="140"/>
      <c r="K17" s="140"/>
      <c r="L17" s="140"/>
      <c r="M17" s="140"/>
      <c r="N17" s="140"/>
      <c r="O17" s="140"/>
      <c r="P17" s="140"/>
      <c r="Q17" s="140"/>
      <c r="R17" s="244"/>
      <c r="S17" s="244"/>
      <c r="T17" s="244"/>
      <c r="U17" s="244"/>
      <c r="V17" s="244"/>
      <c r="W17" s="244"/>
      <c r="X17" s="244"/>
      <c r="Y17" s="244"/>
      <c r="Z17" s="244"/>
      <c r="AA17" s="244"/>
      <c r="AB17" s="244"/>
      <c r="AC17" s="244"/>
      <c r="AD17" s="244"/>
      <c r="AE17" s="244"/>
      <c r="AF17" s="244"/>
      <c r="AG17" s="140"/>
      <c r="AH17" s="140"/>
      <c r="AI17" s="140"/>
      <c r="AJ17" s="140"/>
      <c r="AK17" s="141"/>
    </row>
    <row r="18">
      <c r="A18" s="101"/>
      <c r="B18" s="102"/>
      <c r="C18" s="130" t="s">
        <v>182</v>
      </c>
      <c r="F18" s="132"/>
      <c r="G18" s="133"/>
      <c r="H18" s="135"/>
      <c r="I18" s="140"/>
      <c r="J18" s="140"/>
      <c r="K18" s="140"/>
      <c r="L18" s="140"/>
      <c r="M18" s="140"/>
      <c r="N18" s="140"/>
      <c r="O18" s="140"/>
      <c r="P18" s="140"/>
      <c r="Q18" s="140"/>
      <c r="R18" s="244"/>
      <c r="S18" s="244"/>
      <c r="T18" s="244"/>
      <c r="U18" s="244"/>
      <c r="V18" s="244"/>
      <c r="W18" s="244"/>
      <c r="X18" s="244"/>
      <c r="Y18" s="244"/>
      <c r="Z18" s="244"/>
      <c r="AA18" s="244"/>
      <c r="AB18" s="244"/>
      <c r="AC18" s="244"/>
      <c r="AD18" s="244"/>
      <c r="AE18" s="244"/>
      <c r="AF18" s="244"/>
      <c r="AG18" s="140"/>
      <c r="AH18" s="140"/>
      <c r="AI18" s="140"/>
      <c r="AJ18" s="140"/>
      <c r="AK18" s="141"/>
    </row>
    <row r="19">
      <c r="A19" s="101"/>
      <c r="B19" s="102"/>
      <c r="C19" s="130"/>
      <c r="D19" s="130"/>
      <c r="E19" s="112" t="s">
        <v>183</v>
      </c>
      <c r="F19" s="114" t="str">
        <f>Inputs!F53</f>
        <v>%</v>
      </c>
      <c r="G19" s="148" t="str">
        <f>Inputs!G53</f>
        <v>input</v>
      </c>
      <c r="H19" s="151" t="str">
        <f>Inputs!H53</f>
        <v>-</v>
      </c>
      <c r="I19" s="169" t="str">
        <f>Inputs!I53</f>
        <v>-</v>
      </c>
      <c r="J19" s="169" t="str">
        <f>Inputs!J53</f>
        <v>-</v>
      </c>
      <c r="K19" s="169" t="str">
        <f>Inputs!K53</f>
        <v>-</v>
      </c>
      <c r="L19" s="169" t="str">
        <f>Inputs!L53</f>
        <v>-</v>
      </c>
      <c r="M19" s="169" t="str">
        <f>Inputs!M53</f>
        <v>-</v>
      </c>
      <c r="N19" s="169" t="str">
        <f>Inputs!N53</f>
        <v>-</v>
      </c>
      <c r="O19" s="169" t="str">
        <f>Inputs!O53</f>
        <v>-</v>
      </c>
      <c r="P19" s="169" t="str">
        <f>Inputs!P53</f>
        <v>-</v>
      </c>
      <c r="Q19" s="169" t="str">
        <f>Inputs!Q53</f>
        <v>-</v>
      </c>
      <c r="R19" s="161">
        <f>Inputs!R53</f>
        <v>0.559</v>
      </c>
      <c r="S19" s="161">
        <f>Inputs!S53</f>
        <v>0.559</v>
      </c>
      <c r="T19" s="161">
        <f>Inputs!T53</f>
        <v>0.559</v>
      </c>
      <c r="U19" s="161">
        <f>Inputs!U53</f>
        <v>0.559</v>
      </c>
      <c r="V19" s="161">
        <f>Inputs!V53</f>
        <v>0.559</v>
      </c>
      <c r="W19" s="161">
        <f>Inputs!W53</f>
        <v>0.559</v>
      </c>
      <c r="X19" s="161">
        <f>Inputs!X53</f>
        <v>0.559</v>
      </c>
      <c r="Y19" s="161">
        <f>Inputs!Y53</f>
        <v>0.559</v>
      </c>
      <c r="Z19" s="161">
        <f>Inputs!Z53</f>
        <v>0.559</v>
      </c>
      <c r="AA19" s="161">
        <f>Inputs!AA53</f>
        <v>0.559</v>
      </c>
      <c r="AB19" s="161">
        <f>Inputs!AB53</f>
        <v>0.559</v>
      </c>
      <c r="AC19" s="161">
        <f>Inputs!AC53</f>
        <v>0.559</v>
      </c>
      <c r="AD19" s="161">
        <f>Inputs!AD53</f>
        <v>0.559</v>
      </c>
      <c r="AE19" s="161">
        <f>Inputs!AE53</f>
        <v>0.559</v>
      </c>
      <c r="AF19" s="161">
        <f>Inputs!AF53</f>
        <v>0.559</v>
      </c>
      <c r="AG19" s="169" t="str">
        <f>Inputs!AG53</f>
        <v>-</v>
      </c>
      <c r="AH19" s="169" t="str">
        <f>Inputs!AH53</f>
        <v>-</v>
      </c>
      <c r="AI19" s="169" t="str">
        <f>Inputs!AI53</f>
        <v>-</v>
      </c>
      <c r="AJ19" s="169" t="str">
        <f>Inputs!AJ53</f>
        <v>-</v>
      </c>
      <c r="AK19" s="173"/>
    </row>
    <row r="20">
      <c r="A20" s="101"/>
      <c r="B20" s="102"/>
      <c r="C20" s="130"/>
      <c r="D20" s="130"/>
      <c r="E20" s="190" t="s">
        <v>189</v>
      </c>
      <c r="F20" s="176" t="str">
        <f>Inputs!F54</f>
        <v>%</v>
      </c>
      <c r="G20" s="177" t="str">
        <f>Inputs!G54</f>
        <v>input</v>
      </c>
      <c r="H20" s="179" t="str">
        <f>Inputs!H54</f>
        <v>-</v>
      </c>
      <c r="I20" s="194" t="str">
        <f>Inputs!I54</f>
        <v>-</v>
      </c>
      <c r="J20" s="194" t="str">
        <f>Inputs!J54</f>
        <v>-</v>
      </c>
      <c r="K20" s="194" t="str">
        <f>Inputs!K54</f>
        <v>-</v>
      </c>
      <c r="L20" s="194" t="str">
        <f>Inputs!L54</f>
        <v>-</v>
      </c>
      <c r="M20" s="194" t="str">
        <f>Inputs!M54</f>
        <v>-</v>
      </c>
      <c r="N20" s="194" t="str">
        <f>Inputs!N54</f>
        <v>-</v>
      </c>
      <c r="O20" s="194" t="str">
        <f>Inputs!O54</f>
        <v>-</v>
      </c>
      <c r="P20" s="194" t="str">
        <f>Inputs!P54</f>
        <v>-</v>
      </c>
      <c r="Q20" s="194" t="str">
        <f>Inputs!Q54</f>
        <v>-</v>
      </c>
      <c r="R20" s="236">
        <f>Inputs!R54</f>
        <v>0.391</v>
      </c>
      <c r="S20" s="236">
        <f>Inputs!S54</f>
        <v>0.391</v>
      </c>
      <c r="T20" s="236">
        <f>Inputs!T54</f>
        <v>0.391</v>
      </c>
      <c r="U20" s="236">
        <f>Inputs!U54</f>
        <v>0.391</v>
      </c>
      <c r="V20" s="236">
        <f>Inputs!V54</f>
        <v>0.391</v>
      </c>
      <c r="W20" s="236">
        <f>Inputs!W54</f>
        <v>0.391</v>
      </c>
      <c r="X20" s="236">
        <f>Inputs!X54</f>
        <v>0.391</v>
      </c>
      <c r="Y20" s="236">
        <f>Inputs!Y54</f>
        <v>0.391</v>
      </c>
      <c r="Z20" s="236">
        <f>Inputs!Z54</f>
        <v>0.391</v>
      </c>
      <c r="AA20" s="236">
        <f>Inputs!AA54</f>
        <v>0.391</v>
      </c>
      <c r="AB20" s="236">
        <f>Inputs!AB54</f>
        <v>0.391</v>
      </c>
      <c r="AC20" s="236">
        <f>Inputs!AC54</f>
        <v>0.391</v>
      </c>
      <c r="AD20" s="236">
        <f>Inputs!AD54</f>
        <v>0.391</v>
      </c>
      <c r="AE20" s="236">
        <f>Inputs!AE54</f>
        <v>0.391</v>
      </c>
      <c r="AF20" s="236">
        <f>Inputs!AF54</f>
        <v>0.391</v>
      </c>
      <c r="AG20" s="194" t="str">
        <f>Inputs!AG54</f>
        <v>-</v>
      </c>
      <c r="AH20" s="194" t="str">
        <f>Inputs!AH54</f>
        <v>-</v>
      </c>
      <c r="AI20" s="194" t="str">
        <f>Inputs!AI54</f>
        <v>-</v>
      </c>
      <c r="AJ20" s="194" t="str">
        <f>Inputs!AJ54</f>
        <v>-</v>
      </c>
      <c r="AK20" s="201"/>
    </row>
    <row r="21">
      <c r="A21" s="101"/>
      <c r="B21" s="102"/>
      <c r="C21" s="130"/>
      <c r="D21" s="130"/>
      <c r="E21" s="131"/>
      <c r="F21" s="132"/>
      <c r="G21" s="133"/>
      <c r="H21" s="135"/>
      <c r="I21" s="140"/>
      <c r="J21" s="140"/>
      <c r="K21" s="140"/>
      <c r="L21" s="140"/>
      <c r="M21" s="140"/>
      <c r="N21" s="140"/>
      <c r="O21" s="140"/>
      <c r="P21" s="140"/>
      <c r="Q21" s="140"/>
      <c r="R21" s="244"/>
      <c r="S21" s="244"/>
      <c r="T21" s="244"/>
      <c r="U21" s="244"/>
      <c r="V21" s="244"/>
      <c r="W21" s="244"/>
      <c r="X21" s="244"/>
      <c r="Y21" s="244"/>
      <c r="Z21" s="244"/>
      <c r="AA21" s="244"/>
      <c r="AB21" s="244"/>
      <c r="AC21" s="244"/>
      <c r="AD21" s="244"/>
      <c r="AE21" s="244"/>
      <c r="AF21" s="244"/>
      <c r="AG21" s="140"/>
      <c r="AH21" s="140"/>
      <c r="AI21" s="140"/>
      <c r="AJ21" s="140"/>
      <c r="AK21" s="141"/>
    </row>
    <row r="22">
      <c r="A22" s="101"/>
      <c r="B22" s="102"/>
      <c r="C22" s="130" t="s">
        <v>194</v>
      </c>
      <c r="F22" s="132"/>
      <c r="G22" s="133"/>
      <c r="H22" s="135"/>
      <c r="I22" s="140"/>
      <c r="J22" s="140"/>
      <c r="K22" s="140"/>
      <c r="L22" s="140"/>
      <c r="M22" s="140"/>
      <c r="N22" s="140"/>
      <c r="O22" s="140"/>
      <c r="P22" s="140"/>
      <c r="Q22" s="140"/>
      <c r="R22" s="244"/>
      <c r="S22" s="244"/>
      <c r="T22" s="244"/>
      <c r="U22" s="244"/>
      <c r="V22" s="244"/>
      <c r="W22" s="244"/>
      <c r="X22" s="244"/>
      <c r="Y22" s="244"/>
      <c r="Z22" s="244"/>
      <c r="AA22" s="244"/>
      <c r="AB22" s="244"/>
      <c r="AC22" s="244"/>
      <c r="AD22" s="244"/>
      <c r="AE22" s="244"/>
      <c r="AF22" s="244"/>
      <c r="AG22" s="140"/>
      <c r="AH22" s="140"/>
      <c r="AI22" s="140"/>
      <c r="AJ22" s="140"/>
      <c r="AK22" s="141"/>
    </row>
    <row r="23">
      <c r="A23" s="101"/>
      <c r="B23" s="102"/>
      <c r="C23" s="130"/>
      <c r="D23" s="130"/>
      <c r="E23" s="246" t="s">
        <v>195</v>
      </c>
      <c r="F23" s="121" t="str">
        <f>Inputs!F57</f>
        <v>%</v>
      </c>
      <c r="G23" s="280" t="str">
        <f>Inputs!G57</f>
        <v>input</v>
      </c>
      <c r="H23" s="281" t="str">
        <f>Inputs!H57</f>
        <v>-</v>
      </c>
      <c r="I23" s="282" t="str">
        <f>Inputs!I57</f>
        <v>-</v>
      </c>
      <c r="J23" s="282" t="str">
        <f>Inputs!J57</f>
        <v>-</v>
      </c>
      <c r="K23" s="282" t="str">
        <f>Inputs!K57</f>
        <v>-</v>
      </c>
      <c r="L23" s="282" t="str">
        <f>Inputs!L57</f>
        <v>-</v>
      </c>
      <c r="M23" s="282" t="str">
        <f>Inputs!M57</f>
        <v>-</v>
      </c>
      <c r="N23" s="282" t="str">
        <f>Inputs!N57</f>
        <v>-</v>
      </c>
      <c r="O23" s="282" t="str">
        <f>Inputs!O57</f>
        <v>-</v>
      </c>
      <c r="P23" s="282" t="str">
        <f>Inputs!P57</f>
        <v>-</v>
      </c>
      <c r="Q23" s="282" t="str">
        <f>Inputs!Q57</f>
        <v>-</v>
      </c>
      <c r="R23" s="290">
        <f>Inputs!R57</f>
        <v>0.4009</v>
      </c>
      <c r="S23" s="290">
        <f>Inputs!S57</f>
        <v>0.4009</v>
      </c>
      <c r="T23" s="290">
        <f>Inputs!T57</f>
        <v>0.4009</v>
      </c>
      <c r="U23" s="290">
        <f>Inputs!U57</f>
        <v>0.4009</v>
      </c>
      <c r="V23" s="290">
        <f>Inputs!V57</f>
        <v>0.4009</v>
      </c>
      <c r="W23" s="290">
        <f>Inputs!W57</f>
        <v>0.4009</v>
      </c>
      <c r="X23" s="290">
        <f>Inputs!X57</f>
        <v>0.4009</v>
      </c>
      <c r="Y23" s="290">
        <f>Inputs!Y57</f>
        <v>0.4009</v>
      </c>
      <c r="Z23" s="290">
        <f>Inputs!Z57</f>
        <v>0.4009</v>
      </c>
      <c r="AA23" s="290">
        <f>Inputs!AA57</f>
        <v>0.4009</v>
      </c>
      <c r="AB23" s="290">
        <f>Inputs!AB57</f>
        <v>0.4009</v>
      </c>
      <c r="AC23" s="290">
        <f>Inputs!AC57</f>
        <v>0.4009</v>
      </c>
      <c r="AD23" s="290">
        <f>Inputs!AD57</f>
        <v>0.4009</v>
      </c>
      <c r="AE23" s="290">
        <f>Inputs!AE57</f>
        <v>0.4009</v>
      </c>
      <c r="AF23" s="290">
        <f>Inputs!AF57</f>
        <v>0.4009</v>
      </c>
      <c r="AG23" s="282" t="str">
        <f>Inputs!AG57</f>
        <v>-</v>
      </c>
      <c r="AH23" s="282" t="str">
        <f>Inputs!AH57</f>
        <v>-</v>
      </c>
      <c r="AI23" s="282" t="str">
        <f>Inputs!AI57</f>
        <v>-</v>
      </c>
      <c r="AJ23" s="282" t="str">
        <f>Inputs!AJ57</f>
        <v>-</v>
      </c>
      <c r="AK23" s="294"/>
    </row>
    <row r="24">
      <c r="A24" s="101"/>
      <c r="B24" s="102"/>
      <c r="C24" s="130"/>
      <c r="D24" s="130"/>
      <c r="E24" s="131"/>
      <c r="F24" s="132"/>
      <c r="G24" s="133"/>
      <c r="H24" s="135"/>
      <c r="I24" s="140"/>
      <c r="J24" s="140"/>
      <c r="K24" s="140"/>
      <c r="L24" s="140"/>
      <c r="M24" s="140"/>
      <c r="N24" s="140"/>
      <c r="O24" s="140"/>
      <c r="P24" s="140"/>
      <c r="Q24" s="140"/>
      <c r="R24" s="244"/>
      <c r="S24" s="244"/>
      <c r="T24" s="244"/>
      <c r="U24" s="244"/>
      <c r="V24" s="244"/>
      <c r="W24" s="244"/>
      <c r="X24" s="244"/>
      <c r="Y24" s="244"/>
      <c r="Z24" s="244"/>
      <c r="AA24" s="244"/>
      <c r="AB24" s="244"/>
      <c r="AC24" s="244"/>
      <c r="AD24" s="244"/>
      <c r="AE24" s="244"/>
      <c r="AF24" s="244"/>
      <c r="AG24" s="140"/>
      <c r="AH24" s="140"/>
      <c r="AI24" s="140"/>
      <c r="AJ24" s="140"/>
      <c r="AK24" s="141"/>
    </row>
    <row r="25">
      <c r="A25" s="101"/>
      <c r="B25" s="102"/>
      <c r="C25" s="130" t="s">
        <v>198</v>
      </c>
      <c r="F25" s="132"/>
      <c r="G25" s="133"/>
      <c r="H25" s="135"/>
      <c r="I25" s="140"/>
      <c r="J25" s="140"/>
      <c r="K25" s="140"/>
      <c r="L25" s="140"/>
      <c r="M25" s="140"/>
      <c r="N25" s="140"/>
      <c r="O25" s="140"/>
      <c r="P25" s="140"/>
      <c r="Q25" s="140"/>
      <c r="R25" s="244"/>
      <c r="S25" s="244"/>
      <c r="T25" s="244"/>
      <c r="U25" s="244"/>
      <c r="V25" s="244"/>
      <c r="W25" s="244"/>
      <c r="X25" s="244"/>
      <c r="Y25" s="244"/>
      <c r="Z25" s="244"/>
      <c r="AA25" s="244"/>
      <c r="AB25" s="244"/>
      <c r="AC25" s="244"/>
      <c r="AD25" s="244"/>
      <c r="AE25" s="244"/>
      <c r="AF25" s="244"/>
      <c r="AG25" s="140"/>
      <c r="AH25" s="140"/>
      <c r="AI25" s="140"/>
      <c r="AJ25" s="140"/>
      <c r="AK25" s="141"/>
    </row>
    <row r="26">
      <c r="A26" s="101"/>
      <c r="B26" s="102"/>
      <c r="C26" s="130"/>
      <c r="D26" s="130"/>
      <c r="E26" s="112" t="s">
        <v>200</v>
      </c>
      <c r="F26" s="114" t="s">
        <v>112</v>
      </c>
      <c r="G26" s="148" t="s">
        <v>164</v>
      </c>
      <c r="H26" s="151" t="s">
        <v>165</v>
      </c>
      <c r="I26" s="169" t="s">
        <v>165</v>
      </c>
      <c r="J26" s="169" t="s">
        <v>165</v>
      </c>
      <c r="K26" s="169" t="s">
        <v>165</v>
      </c>
      <c r="L26" s="169" t="s">
        <v>165</v>
      </c>
      <c r="M26" s="169" t="s">
        <v>165</v>
      </c>
      <c r="N26" s="169" t="s">
        <v>165</v>
      </c>
      <c r="O26" s="169" t="s">
        <v>165</v>
      </c>
      <c r="P26" s="169" t="s">
        <v>165</v>
      </c>
      <c r="Q26" s="169" t="s">
        <v>165</v>
      </c>
      <c r="R26" s="161">
        <f t="shared" ref="R26:AF26" si="1">(R14-R12)/R12</f>
        <v>-0.03916449086</v>
      </c>
      <c r="S26" s="161">
        <f t="shared" si="1"/>
        <v>-0.03916449086</v>
      </c>
      <c r="T26" s="161">
        <f t="shared" si="1"/>
        <v>-0.03916449086</v>
      </c>
      <c r="U26" s="161">
        <f t="shared" si="1"/>
        <v>-0.03916449086</v>
      </c>
      <c r="V26" s="161">
        <f t="shared" si="1"/>
        <v>-0.03916449086</v>
      </c>
      <c r="W26" s="161">
        <f t="shared" si="1"/>
        <v>-0.03916449086</v>
      </c>
      <c r="X26" s="161">
        <f t="shared" si="1"/>
        <v>-0.03916449086</v>
      </c>
      <c r="Y26" s="161">
        <f t="shared" si="1"/>
        <v>-0.03916449086</v>
      </c>
      <c r="Z26" s="161">
        <f t="shared" si="1"/>
        <v>-0.03916449086</v>
      </c>
      <c r="AA26" s="161">
        <f t="shared" si="1"/>
        <v>-0.03916449086</v>
      </c>
      <c r="AB26" s="161">
        <f t="shared" si="1"/>
        <v>-0.03916449086</v>
      </c>
      <c r="AC26" s="161">
        <f t="shared" si="1"/>
        <v>-0.03916449086</v>
      </c>
      <c r="AD26" s="161">
        <f t="shared" si="1"/>
        <v>-0.03916449086</v>
      </c>
      <c r="AE26" s="161">
        <f t="shared" si="1"/>
        <v>-0.03916449086</v>
      </c>
      <c r="AF26" s="161">
        <f t="shared" si="1"/>
        <v>-0.03916449086</v>
      </c>
      <c r="AG26" s="169" t="s">
        <v>165</v>
      </c>
      <c r="AH26" s="169" t="s">
        <v>165</v>
      </c>
      <c r="AI26" s="169" t="s">
        <v>165</v>
      </c>
      <c r="AJ26" s="169" t="s">
        <v>165</v>
      </c>
      <c r="AK26" s="173"/>
    </row>
    <row r="27">
      <c r="A27" s="101"/>
      <c r="B27" s="102"/>
      <c r="C27" s="130"/>
      <c r="D27" s="130"/>
      <c r="E27" s="144" t="s">
        <v>201</v>
      </c>
      <c r="F27" s="145" t="s">
        <v>112</v>
      </c>
      <c r="G27" s="217" t="s">
        <v>164</v>
      </c>
      <c r="H27" s="219" t="s">
        <v>165</v>
      </c>
      <c r="I27" s="228" t="s">
        <v>165</v>
      </c>
      <c r="J27" s="228" t="s">
        <v>165</v>
      </c>
      <c r="K27" s="228" t="s">
        <v>165</v>
      </c>
      <c r="L27" s="228" t="s">
        <v>165</v>
      </c>
      <c r="M27" s="228" t="s">
        <v>165</v>
      </c>
      <c r="N27" s="228" t="s">
        <v>165</v>
      </c>
      <c r="O27" s="228" t="s">
        <v>165</v>
      </c>
      <c r="P27" s="228" t="s">
        <v>165</v>
      </c>
      <c r="Q27" s="228" t="s">
        <v>165</v>
      </c>
      <c r="R27" s="222">
        <f t="shared" ref="R27:AF27" si="2">(R15-R13)/R13</f>
        <v>-0.2608695652</v>
      </c>
      <c r="S27" s="222">
        <f t="shared" si="2"/>
        <v>-0.2608695652</v>
      </c>
      <c r="T27" s="222">
        <f t="shared" si="2"/>
        <v>-0.2608695652</v>
      </c>
      <c r="U27" s="222">
        <f t="shared" si="2"/>
        <v>-0.2608695652</v>
      </c>
      <c r="V27" s="222">
        <f t="shared" si="2"/>
        <v>-0.2608695652</v>
      </c>
      <c r="W27" s="222">
        <f t="shared" si="2"/>
        <v>-0.2608695652</v>
      </c>
      <c r="X27" s="222">
        <f t="shared" si="2"/>
        <v>-0.2608695652</v>
      </c>
      <c r="Y27" s="222">
        <f t="shared" si="2"/>
        <v>-0.2608695652</v>
      </c>
      <c r="Z27" s="222">
        <f t="shared" si="2"/>
        <v>-0.2608695652</v>
      </c>
      <c r="AA27" s="222">
        <f t="shared" si="2"/>
        <v>-0.2608695652</v>
      </c>
      <c r="AB27" s="222">
        <f t="shared" si="2"/>
        <v>-0.2608695652</v>
      </c>
      <c r="AC27" s="222">
        <f t="shared" si="2"/>
        <v>-0.2608695652</v>
      </c>
      <c r="AD27" s="222">
        <f t="shared" si="2"/>
        <v>-0.2608695652</v>
      </c>
      <c r="AE27" s="222">
        <f t="shared" si="2"/>
        <v>-0.2608695652</v>
      </c>
      <c r="AF27" s="222">
        <f t="shared" si="2"/>
        <v>-0.2608695652</v>
      </c>
      <c r="AG27" s="228" t="s">
        <v>165</v>
      </c>
      <c r="AH27" s="228" t="s">
        <v>165</v>
      </c>
      <c r="AI27" s="228" t="s">
        <v>165</v>
      </c>
      <c r="AJ27" s="228" t="s">
        <v>165</v>
      </c>
      <c r="AK27" s="232"/>
    </row>
    <row r="28">
      <c r="A28" s="101"/>
      <c r="B28" s="102"/>
      <c r="C28" s="130"/>
      <c r="D28" s="130"/>
      <c r="E28" s="144" t="s">
        <v>203</v>
      </c>
      <c r="F28" s="145" t="s">
        <v>112</v>
      </c>
      <c r="G28" s="217" t="s">
        <v>164</v>
      </c>
      <c r="H28" s="219" t="s">
        <v>165</v>
      </c>
      <c r="I28" s="228" t="s">
        <v>165</v>
      </c>
      <c r="J28" s="228" t="s">
        <v>165</v>
      </c>
      <c r="K28" s="228" t="s">
        <v>165</v>
      </c>
      <c r="L28" s="228" t="s">
        <v>165</v>
      </c>
      <c r="M28" s="228" t="s">
        <v>165</v>
      </c>
      <c r="N28" s="228" t="s">
        <v>165</v>
      </c>
      <c r="O28" s="228" t="s">
        <v>165</v>
      </c>
      <c r="P28" s="228" t="s">
        <v>165</v>
      </c>
      <c r="Q28" s="228" t="s">
        <v>165</v>
      </c>
      <c r="R28" s="222">
        <f t="shared" ref="R28:AF28" si="3">(R20-R19)/R19</f>
        <v>-0.3005366726</v>
      </c>
      <c r="S28" s="222">
        <f t="shared" si="3"/>
        <v>-0.3005366726</v>
      </c>
      <c r="T28" s="222">
        <f t="shared" si="3"/>
        <v>-0.3005366726</v>
      </c>
      <c r="U28" s="222">
        <f t="shared" si="3"/>
        <v>-0.3005366726</v>
      </c>
      <c r="V28" s="222">
        <f t="shared" si="3"/>
        <v>-0.3005366726</v>
      </c>
      <c r="W28" s="222">
        <f t="shared" si="3"/>
        <v>-0.3005366726</v>
      </c>
      <c r="X28" s="222">
        <f t="shared" si="3"/>
        <v>-0.3005366726</v>
      </c>
      <c r="Y28" s="222">
        <f t="shared" si="3"/>
        <v>-0.3005366726</v>
      </c>
      <c r="Z28" s="222">
        <f t="shared" si="3"/>
        <v>-0.3005366726</v>
      </c>
      <c r="AA28" s="222">
        <f t="shared" si="3"/>
        <v>-0.3005366726</v>
      </c>
      <c r="AB28" s="222">
        <f t="shared" si="3"/>
        <v>-0.3005366726</v>
      </c>
      <c r="AC28" s="222">
        <f t="shared" si="3"/>
        <v>-0.3005366726</v>
      </c>
      <c r="AD28" s="222">
        <f t="shared" si="3"/>
        <v>-0.3005366726</v>
      </c>
      <c r="AE28" s="222">
        <f t="shared" si="3"/>
        <v>-0.3005366726</v>
      </c>
      <c r="AF28" s="222">
        <f t="shared" si="3"/>
        <v>-0.3005366726</v>
      </c>
      <c r="AG28" s="228" t="s">
        <v>165</v>
      </c>
      <c r="AH28" s="228" t="s">
        <v>165</v>
      </c>
      <c r="AI28" s="228" t="s">
        <v>165</v>
      </c>
      <c r="AJ28" s="228" t="s">
        <v>165</v>
      </c>
      <c r="AK28" s="232"/>
    </row>
    <row r="29">
      <c r="A29" s="101"/>
      <c r="B29" s="102"/>
      <c r="C29" s="130"/>
      <c r="D29" s="130"/>
      <c r="E29" s="144" t="s">
        <v>207</v>
      </c>
      <c r="F29" s="145" t="str">
        <f>Inputs!F60</f>
        <v>%</v>
      </c>
      <c r="G29" s="217" t="str">
        <f>Inputs!G60</f>
        <v>input</v>
      </c>
      <c r="H29" s="316">
        <f>Inputs!H60</f>
        <v>0.3333333333</v>
      </c>
      <c r="I29" s="220" t="str">
        <f>Inputs!I60</f>
        <v>-</v>
      </c>
      <c r="J29" s="220" t="str">
        <f>Inputs!J60</f>
        <v>-</v>
      </c>
      <c r="K29" s="220" t="str">
        <f>Inputs!K60</f>
        <v>-</v>
      </c>
      <c r="L29" s="220" t="str">
        <f>Inputs!L60</f>
        <v>-</v>
      </c>
      <c r="M29" s="220" t="str">
        <f>Inputs!M60</f>
        <v>-</v>
      </c>
      <c r="N29" s="220" t="str">
        <f>Inputs!N60</f>
        <v>-</v>
      </c>
      <c r="O29" s="220" t="str">
        <f>Inputs!O60</f>
        <v>-</v>
      </c>
      <c r="P29" s="220" t="str">
        <f>Inputs!P60</f>
        <v>-</v>
      </c>
      <c r="Q29" s="220" t="str">
        <f>Inputs!Q60</f>
        <v>-</v>
      </c>
      <c r="R29" s="220" t="str">
        <f>Inputs!R60</f>
        <v>-</v>
      </c>
      <c r="S29" s="220" t="str">
        <f>Inputs!S60</f>
        <v>-</v>
      </c>
      <c r="T29" s="220" t="str">
        <f>Inputs!T60</f>
        <v>-</v>
      </c>
      <c r="U29" s="220" t="str">
        <f>Inputs!U60</f>
        <v>-</v>
      </c>
      <c r="V29" s="220" t="str">
        <f>Inputs!V60</f>
        <v>-</v>
      </c>
      <c r="W29" s="220" t="str">
        <f>Inputs!W60</f>
        <v>-</v>
      </c>
      <c r="X29" s="220" t="str">
        <f>Inputs!X60</f>
        <v>-</v>
      </c>
      <c r="Y29" s="220" t="str">
        <f>Inputs!Y60</f>
        <v>-</v>
      </c>
      <c r="Z29" s="220" t="str">
        <f>Inputs!Z60</f>
        <v>-</v>
      </c>
      <c r="AA29" s="220" t="str">
        <f>Inputs!AA60</f>
        <v>-</v>
      </c>
      <c r="AB29" s="220" t="str">
        <f>Inputs!AB60</f>
        <v>-</v>
      </c>
      <c r="AC29" s="220" t="str">
        <f>Inputs!AC60</f>
        <v>-</v>
      </c>
      <c r="AD29" s="220" t="str">
        <f>Inputs!AD60</f>
        <v>-</v>
      </c>
      <c r="AE29" s="228" t="str">
        <f>Inputs!AE60</f>
        <v>-</v>
      </c>
      <c r="AF29" s="228" t="str">
        <f>Inputs!AF60</f>
        <v>-</v>
      </c>
      <c r="AG29" s="228" t="str">
        <f>Inputs!AG60</f>
        <v>-</v>
      </c>
      <c r="AH29" s="228" t="str">
        <f>Inputs!AH60</f>
        <v>-</v>
      </c>
      <c r="AI29" s="228" t="str">
        <f>Inputs!AI60</f>
        <v>-</v>
      </c>
      <c r="AJ29" s="228" t="str">
        <f>Inputs!AJ60</f>
        <v>-</v>
      </c>
      <c r="AK29" s="232" t="str">
        <f>Inputs!AK60</f>
        <v/>
      </c>
    </row>
    <row r="30">
      <c r="A30" s="101"/>
      <c r="B30" s="102"/>
      <c r="C30" s="130"/>
      <c r="D30" s="130"/>
      <c r="E30" s="144" t="s">
        <v>211</v>
      </c>
      <c r="F30" s="145" t="str">
        <f>Inputs!F61</f>
        <v>%</v>
      </c>
      <c r="G30" s="217" t="str">
        <f>Inputs!G61</f>
        <v>input</v>
      </c>
      <c r="H30" s="316">
        <f>Inputs!H61</f>
        <v>0.3333333333</v>
      </c>
      <c r="I30" s="220" t="str">
        <f>Inputs!I61</f>
        <v>-</v>
      </c>
      <c r="J30" s="220" t="str">
        <f>Inputs!J61</f>
        <v>-</v>
      </c>
      <c r="K30" s="220" t="str">
        <f>Inputs!K61</f>
        <v>-</v>
      </c>
      <c r="L30" s="220" t="str">
        <f>Inputs!L61</f>
        <v>-</v>
      </c>
      <c r="M30" s="220" t="str">
        <f>Inputs!M61</f>
        <v>-</v>
      </c>
      <c r="N30" s="220" t="str">
        <f>Inputs!N61</f>
        <v>-</v>
      </c>
      <c r="O30" s="220" t="str">
        <f>Inputs!O61</f>
        <v>-</v>
      </c>
      <c r="P30" s="220" t="str">
        <f>Inputs!P61</f>
        <v>-</v>
      </c>
      <c r="Q30" s="220" t="str">
        <f>Inputs!Q61</f>
        <v>-</v>
      </c>
      <c r="R30" s="220" t="str">
        <f>Inputs!R61</f>
        <v>-</v>
      </c>
      <c r="S30" s="220" t="str">
        <f>Inputs!S61</f>
        <v>-</v>
      </c>
      <c r="T30" s="220" t="str">
        <f>Inputs!T61</f>
        <v>-</v>
      </c>
      <c r="U30" s="220" t="str">
        <f>Inputs!U61</f>
        <v>-</v>
      </c>
      <c r="V30" s="220" t="str">
        <f>Inputs!V61</f>
        <v>-</v>
      </c>
      <c r="W30" s="220" t="str">
        <f>Inputs!W61</f>
        <v>-</v>
      </c>
      <c r="X30" s="220" t="str">
        <f>Inputs!X61</f>
        <v>-</v>
      </c>
      <c r="Y30" s="220" t="str">
        <f>Inputs!Y61</f>
        <v>-</v>
      </c>
      <c r="Z30" s="220" t="str">
        <f>Inputs!Z61</f>
        <v>-</v>
      </c>
      <c r="AA30" s="220" t="str">
        <f>Inputs!AA61</f>
        <v>-</v>
      </c>
      <c r="AB30" s="220" t="str">
        <f>Inputs!AB61</f>
        <v>-</v>
      </c>
      <c r="AC30" s="220" t="str">
        <f>Inputs!AC61</f>
        <v>-</v>
      </c>
      <c r="AD30" s="220" t="str">
        <f>Inputs!AD61</f>
        <v>-</v>
      </c>
      <c r="AE30" s="228" t="str">
        <f>Inputs!AE61</f>
        <v>-</v>
      </c>
      <c r="AF30" s="228" t="str">
        <f>Inputs!AF61</f>
        <v>-</v>
      </c>
      <c r="AG30" s="228" t="str">
        <f>Inputs!AG61</f>
        <v>-</v>
      </c>
      <c r="AH30" s="228" t="str">
        <f>Inputs!AH61</f>
        <v>-</v>
      </c>
      <c r="AI30" s="228" t="str">
        <f>Inputs!AI61</f>
        <v>-</v>
      </c>
      <c r="AJ30" s="228" t="str">
        <f>Inputs!AJ61</f>
        <v>-</v>
      </c>
      <c r="AK30" s="232" t="str">
        <f>Inputs!AK61</f>
        <v/>
      </c>
    </row>
    <row r="31">
      <c r="A31" s="101"/>
      <c r="B31" s="102"/>
      <c r="C31" s="130"/>
      <c r="D31" s="130"/>
      <c r="E31" s="190" t="s">
        <v>215</v>
      </c>
      <c r="F31" s="176" t="str">
        <f>Inputs!F62</f>
        <v>%</v>
      </c>
      <c r="G31" s="177" t="str">
        <f>Inputs!G62</f>
        <v>input</v>
      </c>
      <c r="H31" s="356">
        <f>Inputs!H62</f>
        <v>0.3333333333</v>
      </c>
      <c r="I31" s="181" t="str">
        <f>Inputs!I62</f>
        <v>-</v>
      </c>
      <c r="J31" s="181" t="str">
        <f>Inputs!J62</f>
        <v>-</v>
      </c>
      <c r="K31" s="181" t="str">
        <f>Inputs!K62</f>
        <v>-</v>
      </c>
      <c r="L31" s="181" t="str">
        <f>Inputs!L62</f>
        <v>-</v>
      </c>
      <c r="M31" s="181" t="str">
        <f>Inputs!M62</f>
        <v>-</v>
      </c>
      <c r="N31" s="181" t="str">
        <f>Inputs!N62</f>
        <v>-</v>
      </c>
      <c r="O31" s="181" t="str">
        <f>Inputs!O62</f>
        <v>-</v>
      </c>
      <c r="P31" s="181" t="str">
        <f>Inputs!P62</f>
        <v>-</v>
      </c>
      <c r="Q31" s="181" t="str">
        <f>Inputs!Q62</f>
        <v>-</v>
      </c>
      <c r="R31" s="181" t="str">
        <f>Inputs!R62</f>
        <v>-</v>
      </c>
      <c r="S31" s="181" t="str">
        <f>Inputs!S62</f>
        <v>-</v>
      </c>
      <c r="T31" s="181" t="str">
        <f>Inputs!T62</f>
        <v>-</v>
      </c>
      <c r="U31" s="181" t="str">
        <f>Inputs!U62</f>
        <v>-</v>
      </c>
      <c r="V31" s="181" t="str">
        <f>Inputs!V62</f>
        <v>-</v>
      </c>
      <c r="W31" s="181" t="str">
        <f>Inputs!W62</f>
        <v>-</v>
      </c>
      <c r="X31" s="181" t="str">
        <f>Inputs!X62</f>
        <v>-</v>
      </c>
      <c r="Y31" s="181" t="str">
        <f>Inputs!Y62</f>
        <v>-</v>
      </c>
      <c r="Z31" s="181" t="str">
        <f>Inputs!Z62</f>
        <v>-</v>
      </c>
      <c r="AA31" s="181" t="str">
        <f>Inputs!AA62</f>
        <v>-</v>
      </c>
      <c r="AB31" s="181" t="str">
        <f>Inputs!AB62</f>
        <v>-</v>
      </c>
      <c r="AC31" s="181" t="str">
        <f>Inputs!AC62</f>
        <v>-</v>
      </c>
      <c r="AD31" s="181" t="str">
        <f>Inputs!AD62</f>
        <v>-</v>
      </c>
      <c r="AE31" s="194" t="str">
        <f>Inputs!AE62</f>
        <v>-</v>
      </c>
      <c r="AF31" s="194" t="str">
        <f>Inputs!AF62</f>
        <v>-</v>
      </c>
      <c r="AG31" s="194" t="str">
        <f>Inputs!AG62</f>
        <v>-</v>
      </c>
      <c r="AH31" s="194" t="str">
        <f>Inputs!AH62</f>
        <v>-</v>
      </c>
      <c r="AI31" s="194" t="str">
        <f>Inputs!AI62</f>
        <v>-</v>
      </c>
      <c r="AJ31" s="194" t="str">
        <f>Inputs!AJ62</f>
        <v>-</v>
      </c>
      <c r="AK31" s="201" t="str">
        <f>Inputs!AK62</f>
        <v/>
      </c>
    </row>
    <row r="32">
      <c r="A32" s="101"/>
      <c r="B32" s="102"/>
      <c r="C32" s="130"/>
      <c r="D32" s="130"/>
      <c r="E32" s="131"/>
      <c r="F32" s="132"/>
      <c r="G32" s="133"/>
      <c r="H32" s="378"/>
      <c r="I32" s="137"/>
      <c r="J32" s="137"/>
      <c r="K32" s="137"/>
      <c r="L32" s="137"/>
      <c r="M32" s="137"/>
      <c r="N32" s="137"/>
      <c r="O32" s="137"/>
      <c r="P32" s="137"/>
      <c r="Q32" s="137"/>
      <c r="R32" s="244"/>
      <c r="S32" s="244"/>
      <c r="T32" s="244"/>
      <c r="U32" s="244"/>
      <c r="V32" s="244"/>
      <c r="W32" s="244"/>
      <c r="X32" s="244"/>
      <c r="Y32" s="244"/>
      <c r="Z32" s="244"/>
      <c r="AA32" s="244"/>
      <c r="AB32" s="244"/>
      <c r="AC32" s="244"/>
      <c r="AD32" s="244"/>
      <c r="AE32" s="244"/>
      <c r="AF32" s="244"/>
      <c r="AG32" s="140"/>
      <c r="AH32" s="140"/>
      <c r="AI32" s="140"/>
      <c r="AJ32" s="140"/>
      <c r="AK32" s="141"/>
    </row>
    <row r="33">
      <c r="A33" s="101"/>
      <c r="B33" s="102"/>
      <c r="C33" s="130" t="s">
        <v>221</v>
      </c>
      <c r="F33" s="132"/>
      <c r="G33" s="133"/>
      <c r="H33" s="378"/>
      <c r="I33" s="137"/>
      <c r="J33" s="137"/>
      <c r="K33" s="137"/>
      <c r="L33" s="137"/>
      <c r="M33" s="137"/>
      <c r="N33" s="137"/>
      <c r="O33" s="137"/>
      <c r="P33" s="137"/>
      <c r="Q33" s="137"/>
      <c r="R33" s="244"/>
      <c r="S33" s="244"/>
      <c r="T33" s="244"/>
      <c r="U33" s="244"/>
      <c r="V33" s="244"/>
      <c r="W33" s="244"/>
      <c r="X33" s="244"/>
      <c r="Y33" s="244"/>
      <c r="Z33" s="244"/>
      <c r="AA33" s="244"/>
      <c r="AB33" s="244"/>
      <c r="AC33" s="244"/>
      <c r="AD33" s="244"/>
      <c r="AE33" s="244"/>
      <c r="AF33" s="244"/>
      <c r="AG33" s="140"/>
      <c r="AH33" s="140"/>
      <c r="AI33" s="140"/>
      <c r="AJ33" s="140"/>
      <c r="AK33" s="141"/>
    </row>
    <row r="34">
      <c r="A34" s="101"/>
      <c r="B34" s="102"/>
      <c r="C34" s="130"/>
      <c r="D34" s="130"/>
      <c r="E34" s="112" t="s">
        <v>222</v>
      </c>
      <c r="F34" s="114" t="s">
        <v>112</v>
      </c>
      <c r="G34" s="148" t="s">
        <v>164</v>
      </c>
      <c r="H34" s="256" t="s">
        <v>165</v>
      </c>
      <c r="I34" s="386" t="s">
        <v>165</v>
      </c>
      <c r="J34" s="386" t="s">
        <v>165</v>
      </c>
      <c r="K34" s="386" t="s">
        <v>165</v>
      </c>
      <c r="L34" s="386" t="s">
        <v>165</v>
      </c>
      <c r="M34" s="386" t="s">
        <v>165</v>
      </c>
      <c r="N34" s="386" t="s">
        <v>165</v>
      </c>
      <c r="O34" s="386" t="s">
        <v>165</v>
      </c>
      <c r="P34" s="386" t="s">
        <v>165</v>
      </c>
      <c r="Q34" s="386" t="s">
        <v>165</v>
      </c>
      <c r="R34" s="161">
        <f t="shared" ref="R34:AF34" si="4">SUMPRODUCT(R26:R28,$H29:$H31)</f>
        <v>-0.2001902429</v>
      </c>
      <c r="S34" s="161">
        <f t="shared" si="4"/>
        <v>-0.2001902429</v>
      </c>
      <c r="T34" s="161">
        <f t="shared" si="4"/>
        <v>-0.2001902429</v>
      </c>
      <c r="U34" s="161">
        <f t="shared" si="4"/>
        <v>-0.2001902429</v>
      </c>
      <c r="V34" s="161">
        <f t="shared" si="4"/>
        <v>-0.2001902429</v>
      </c>
      <c r="W34" s="161">
        <f t="shared" si="4"/>
        <v>-0.2001902429</v>
      </c>
      <c r="X34" s="161">
        <f t="shared" si="4"/>
        <v>-0.2001902429</v>
      </c>
      <c r="Y34" s="161">
        <f t="shared" si="4"/>
        <v>-0.2001902429</v>
      </c>
      <c r="Z34" s="161">
        <f t="shared" si="4"/>
        <v>-0.2001902429</v>
      </c>
      <c r="AA34" s="161">
        <f t="shared" si="4"/>
        <v>-0.2001902429</v>
      </c>
      <c r="AB34" s="161">
        <f t="shared" si="4"/>
        <v>-0.2001902429</v>
      </c>
      <c r="AC34" s="161">
        <f t="shared" si="4"/>
        <v>-0.2001902429</v>
      </c>
      <c r="AD34" s="161">
        <f t="shared" si="4"/>
        <v>-0.2001902429</v>
      </c>
      <c r="AE34" s="161">
        <f t="shared" si="4"/>
        <v>-0.2001902429</v>
      </c>
      <c r="AF34" s="161">
        <f t="shared" si="4"/>
        <v>-0.2001902429</v>
      </c>
      <c r="AG34" s="386" t="s">
        <v>165</v>
      </c>
      <c r="AH34" s="386" t="s">
        <v>165</v>
      </c>
      <c r="AI34" s="386" t="s">
        <v>165</v>
      </c>
      <c r="AJ34" s="386" t="s">
        <v>165</v>
      </c>
      <c r="AK34" s="397"/>
    </row>
    <row r="35">
      <c r="A35" s="101"/>
      <c r="B35" s="102"/>
      <c r="C35" s="130"/>
      <c r="D35" s="130"/>
      <c r="E35" s="144" t="s">
        <v>223</v>
      </c>
      <c r="F35" s="145" t="str">
        <f>Inputs!F65</f>
        <v>year</v>
      </c>
      <c r="G35" s="217" t="str">
        <f>Inputs!G65</f>
        <v>input</v>
      </c>
      <c r="H35" s="219" t="str">
        <f>Inputs!H65</f>
        <v>-</v>
      </c>
      <c r="I35" s="228" t="str">
        <f>Inputs!I65</f>
        <v>-</v>
      </c>
      <c r="J35" s="228" t="str">
        <f>Inputs!J65</f>
        <v>-</v>
      </c>
      <c r="K35" s="228" t="str">
        <f>Inputs!K65</f>
        <v>-</v>
      </c>
      <c r="L35" s="228" t="str">
        <f>Inputs!L65</f>
        <v>-</v>
      </c>
      <c r="M35" s="228" t="str">
        <f>Inputs!M65</f>
        <v>-</v>
      </c>
      <c r="N35" s="228" t="str">
        <f>Inputs!N65</f>
        <v>-</v>
      </c>
      <c r="O35" s="228" t="str">
        <f>Inputs!O65</f>
        <v>-</v>
      </c>
      <c r="P35" s="228" t="str">
        <f>Inputs!P65</f>
        <v>-</v>
      </c>
      <c r="Q35" s="228" t="str">
        <f>Inputs!Q65</f>
        <v>-</v>
      </c>
      <c r="R35" s="228" t="str">
        <f>Inputs!R65</f>
        <v>2003</v>
      </c>
      <c r="S35" s="228" t="str">
        <f>Inputs!S65</f>
        <v>2003</v>
      </c>
      <c r="T35" s="228" t="str">
        <f>Inputs!T65</f>
        <v>2003</v>
      </c>
      <c r="U35" s="228" t="str">
        <f>Inputs!U65</f>
        <v>2003</v>
      </c>
      <c r="V35" s="228" t="str">
        <f>Inputs!V65</f>
        <v>2003</v>
      </c>
      <c r="W35" s="228" t="str">
        <f>Inputs!W65</f>
        <v>2003</v>
      </c>
      <c r="X35" s="228" t="str">
        <f>Inputs!X65</f>
        <v>2003</v>
      </c>
      <c r="Y35" s="228" t="str">
        <f>Inputs!Y65</f>
        <v>2003</v>
      </c>
      <c r="Z35" s="228" t="str">
        <f>Inputs!Z65</f>
        <v>2003</v>
      </c>
      <c r="AA35" s="228" t="str">
        <f>Inputs!AA65</f>
        <v>2003</v>
      </c>
      <c r="AB35" s="228" t="str">
        <f>Inputs!AB65</f>
        <v>2003</v>
      </c>
      <c r="AC35" s="228" t="str">
        <f>Inputs!AC65</f>
        <v>2003</v>
      </c>
      <c r="AD35" s="228" t="str">
        <f>Inputs!AD65</f>
        <v>2003</v>
      </c>
      <c r="AE35" s="228" t="str">
        <f>Inputs!AE65</f>
        <v>2003</v>
      </c>
      <c r="AF35" s="228" t="str">
        <f>Inputs!AF65</f>
        <v>2003</v>
      </c>
      <c r="AG35" s="228" t="str">
        <f>Inputs!AG65</f>
        <v>-</v>
      </c>
      <c r="AH35" s="228" t="str">
        <f>Inputs!AH65</f>
        <v>-</v>
      </c>
      <c r="AI35" s="228" t="str">
        <f>Inputs!AI65</f>
        <v>-</v>
      </c>
      <c r="AJ35" s="228" t="str">
        <f>Inputs!AJ65</f>
        <v>-</v>
      </c>
      <c r="AK35" s="232"/>
    </row>
    <row r="36">
      <c r="A36" s="101"/>
      <c r="B36" s="102"/>
      <c r="C36" s="130"/>
      <c r="D36" s="130"/>
      <c r="E36" s="144" t="s">
        <v>226</v>
      </c>
      <c r="F36" s="145" t="str">
        <f>Inputs!F66</f>
        <v>year</v>
      </c>
      <c r="G36" s="217" t="str">
        <f>Inputs!G66</f>
        <v>input</v>
      </c>
      <c r="H36" s="219" t="str">
        <f>Inputs!H66</f>
        <v>-</v>
      </c>
      <c r="I36" s="228" t="str">
        <f>Inputs!I66</f>
        <v>-</v>
      </c>
      <c r="J36" s="228" t="str">
        <f>Inputs!J66</f>
        <v>-</v>
      </c>
      <c r="K36" s="228" t="str">
        <f>Inputs!K66</f>
        <v>-</v>
      </c>
      <c r="L36" s="228" t="str">
        <f>Inputs!L66</f>
        <v>-</v>
      </c>
      <c r="M36" s="228" t="str">
        <f>Inputs!M66</f>
        <v>-</v>
      </c>
      <c r="N36" s="228" t="str">
        <f>Inputs!N66</f>
        <v>-</v>
      </c>
      <c r="O36" s="228" t="str">
        <f>Inputs!O66</f>
        <v>-</v>
      </c>
      <c r="P36" s="228" t="str">
        <f>Inputs!P66</f>
        <v>-</v>
      </c>
      <c r="Q36" s="228" t="str">
        <f>Inputs!Q66</f>
        <v>-</v>
      </c>
      <c r="R36" s="228" t="str">
        <f>Inputs!R66</f>
        <v>2018</v>
      </c>
      <c r="S36" s="228" t="str">
        <f>Inputs!S66</f>
        <v>2018</v>
      </c>
      <c r="T36" s="228" t="str">
        <f>Inputs!T66</f>
        <v>2018</v>
      </c>
      <c r="U36" s="228" t="str">
        <f>Inputs!U66</f>
        <v>2018</v>
      </c>
      <c r="V36" s="228" t="str">
        <f>Inputs!V66</f>
        <v>2018</v>
      </c>
      <c r="W36" s="228" t="str">
        <f>Inputs!W66</f>
        <v>2018</v>
      </c>
      <c r="X36" s="228" t="str">
        <f>Inputs!X66</f>
        <v>2018</v>
      </c>
      <c r="Y36" s="228" t="str">
        <f>Inputs!Y66</f>
        <v>2018</v>
      </c>
      <c r="Z36" s="228" t="str">
        <f>Inputs!Z66</f>
        <v>2018</v>
      </c>
      <c r="AA36" s="228" t="str">
        <f>Inputs!AA66</f>
        <v>2018</v>
      </c>
      <c r="AB36" s="228" t="str">
        <f>Inputs!AB66</f>
        <v>2018</v>
      </c>
      <c r="AC36" s="228" t="str">
        <f>Inputs!AC66</f>
        <v>2018</v>
      </c>
      <c r="AD36" s="228" t="str">
        <f>Inputs!AD66</f>
        <v>2018</v>
      </c>
      <c r="AE36" s="228" t="str">
        <f>Inputs!AE66</f>
        <v>2018</v>
      </c>
      <c r="AF36" s="228" t="str">
        <f>Inputs!AF66</f>
        <v>2018</v>
      </c>
      <c r="AG36" s="228" t="str">
        <f>Inputs!AG66</f>
        <v>-</v>
      </c>
      <c r="AH36" s="228" t="str">
        <f>Inputs!AH66</f>
        <v>-</v>
      </c>
      <c r="AI36" s="228" t="str">
        <f>Inputs!AI66</f>
        <v>-</v>
      </c>
      <c r="AJ36" s="228" t="str">
        <f>Inputs!AJ66</f>
        <v>-</v>
      </c>
      <c r="AK36" s="232"/>
    </row>
    <row r="37">
      <c r="A37" s="101"/>
      <c r="B37" s="102"/>
      <c r="C37" s="130"/>
      <c r="D37" s="130"/>
      <c r="E37" s="144" t="s">
        <v>229</v>
      </c>
      <c r="F37" s="145" t="s">
        <v>101</v>
      </c>
      <c r="G37" s="217" t="s">
        <v>164</v>
      </c>
      <c r="H37" s="219" t="s">
        <v>165</v>
      </c>
      <c r="I37" s="228" t="s">
        <v>165</v>
      </c>
      <c r="J37" s="228" t="s">
        <v>165</v>
      </c>
      <c r="K37" s="228" t="s">
        <v>165</v>
      </c>
      <c r="L37" s="228" t="s">
        <v>165</v>
      </c>
      <c r="M37" s="228" t="s">
        <v>165</v>
      </c>
      <c r="N37" s="228" t="s">
        <v>165</v>
      </c>
      <c r="O37" s="228" t="s">
        <v>165</v>
      </c>
      <c r="P37" s="228" t="s">
        <v>165</v>
      </c>
      <c r="Q37" s="228" t="s">
        <v>165</v>
      </c>
      <c r="R37" s="225">
        <f t="shared" ref="R37:AF37" si="5">R36-R35</f>
        <v>15</v>
      </c>
      <c r="S37" s="225">
        <f t="shared" si="5"/>
        <v>15</v>
      </c>
      <c r="T37" s="225">
        <f t="shared" si="5"/>
        <v>15</v>
      </c>
      <c r="U37" s="225">
        <f t="shared" si="5"/>
        <v>15</v>
      </c>
      <c r="V37" s="225">
        <f t="shared" si="5"/>
        <v>15</v>
      </c>
      <c r="W37" s="225">
        <f t="shared" si="5"/>
        <v>15</v>
      </c>
      <c r="X37" s="225">
        <f t="shared" si="5"/>
        <v>15</v>
      </c>
      <c r="Y37" s="225">
        <f t="shared" si="5"/>
        <v>15</v>
      </c>
      <c r="Z37" s="225">
        <f t="shared" si="5"/>
        <v>15</v>
      </c>
      <c r="AA37" s="225">
        <f t="shared" si="5"/>
        <v>15</v>
      </c>
      <c r="AB37" s="225">
        <f t="shared" si="5"/>
        <v>15</v>
      </c>
      <c r="AC37" s="225">
        <f t="shared" si="5"/>
        <v>15</v>
      </c>
      <c r="AD37" s="225">
        <f t="shared" si="5"/>
        <v>15</v>
      </c>
      <c r="AE37" s="225">
        <f t="shared" si="5"/>
        <v>15</v>
      </c>
      <c r="AF37" s="225">
        <f t="shared" si="5"/>
        <v>15</v>
      </c>
      <c r="AG37" s="228" t="s">
        <v>165</v>
      </c>
      <c r="AH37" s="228" t="s">
        <v>165</v>
      </c>
      <c r="AI37" s="228" t="s">
        <v>165</v>
      </c>
      <c r="AJ37" s="228" t="s">
        <v>165</v>
      </c>
      <c r="AK37" s="232"/>
    </row>
    <row r="38">
      <c r="A38" s="101"/>
      <c r="B38" s="102"/>
      <c r="C38" s="130"/>
      <c r="D38" s="130"/>
      <c r="E38" s="144" t="s">
        <v>231</v>
      </c>
      <c r="F38" s="145" t="s">
        <v>114</v>
      </c>
      <c r="G38" s="217" t="s">
        <v>164</v>
      </c>
      <c r="H38" s="219" t="s">
        <v>165</v>
      </c>
      <c r="I38" s="228" t="s">
        <v>165</v>
      </c>
      <c r="J38" s="228" t="s">
        <v>165</v>
      </c>
      <c r="K38" s="228" t="s">
        <v>165</v>
      </c>
      <c r="L38" s="228" t="s">
        <v>165</v>
      </c>
      <c r="M38" s="228" t="s">
        <v>165</v>
      </c>
      <c r="N38" s="228" t="s">
        <v>165</v>
      </c>
      <c r="O38" s="228" t="s">
        <v>165</v>
      </c>
      <c r="P38" s="228" t="s">
        <v>165</v>
      </c>
      <c r="Q38" s="228" t="s">
        <v>165</v>
      </c>
      <c r="R38" s="220">
        <f t="shared" ref="R38:AF38" si="6">R34/R37</f>
        <v>-0.01334601619</v>
      </c>
      <c r="S38" s="220">
        <f t="shared" si="6"/>
        <v>-0.01334601619</v>
      </c>
      <c r="T38" s="220">
        <f t="shared" si="6"/>
        <v>-0.01334601619</v>
      </c>
      <c r="U38" s="220">
        <f t="shared" si="6"/>
        <v>-0.01334601619</v>
      </c>
      <c r="V38" s="220">
        <f t="shared" si="6"/>
        <v>-0.01334601619</v>
      </c>
      <c r="W38" s="220">
        <f t="shared" si="6"/>
        <v>-0.01334601619</v>
      </c>
      <c r="X38" s="220">
        <f t="shared" si="6"/>
        <v>-0.01334601619</v>
      </c>
      <c r="Y38" s="220">
        <f t="shared" si="6"/>
        <v>-0.01334601619</v>
      </c>
      <c r="Z38" s="220">
        <f t="shared" si="6"/>
        <v>-0.01334601619</v>
      </c>
      <c r="AA38" s="220">
        <f t="shared" si="6"/>
        <v>-0.01334601619</v>
      </c>
      <c r="AB38" s="220">
        <f t="shared" si="6"/>
        <v>-0.01334601619</v>
      </c>
      <c r="AC38" s="220">
        <f t="shared" si="6"/>
        <v>-0.01334601619</v>
      </c>
      <c r="AD38" s="220">
        <f t="shared" si="6"/>
        <v>-0.01334601619</v>
      </c>
      <c r="AE38" s="220">
        <f t="shared" si="6"/>
        <v>-0.01334601619</v>
      </c>
      <c r="AF38" s="220">
        <f t="shared" si="6"/>
        <v>-0.01334601619</v>
      </c>
      <c r="AG38" s="228" t="s">
        <v>165</v>
      </c>
      <c r="AH38" s="228" t="s">
        <v>165</v>
      </c>
      <c r="AI38" s="228" t="s">
        <v>165</v>
      </c>
      <c r="AJ38" s="228" t="s">
        <v>165</v>
      </c>
      <c r="AK38" s="232"/>
    </row>
    <row r="39">
      <c r="A39" s="101"/>
      <c r="B39" s="102"/>
      <c r="C39" s="130"/>
      <c r="D39" s="130"/>
      <c r="E39" s="144" t="s">
        <v>234</v>
      </c>
      <c r="F39" s="145" t="str">
        <f>Inputs!F67</f>
        <v>year</v>
      </c>
      <c r="G39" s="217" t="str">
        <f>Inputs!G67</f>
        <v>input</v>
      </c>
      <c r="H39" s="219" t="str">
        <f>Inputs!H67</f>
        <v>-</v>
      </c>
      <c r="I39" s="220" t="str">
        <f>Inputs!I67</f>
        <v>2022</v>
      </c>
      <c r="J39" s="220" t="str">
        <f>Inputs!J67</f>
        <v>2022</v>
      </c>
      <c r="K39" s="220" t="str">
        <f>Inputs!K67</f>
        <v>2022</v>
      </c>
      <c r="L39" s="220" t="str">
        <f>Inputs!L67</f>
        <v>2022</v>
      </c>
      <c r="M39" s="220" t="str">
        <f>Inputs!M67</f>
        <v>-</v>
      </c>
      <c r="N39" s="220" t="str">
        <f>Inputs!N67</f>
        <v>2022</v>
      </c>
      <c r="O39" s="220" t="str">
        <f>Inputs!O67</f>
        <v>2022</v>
      </c>
      <c r="P39" s="220" t="str">
        <f>Inputs!P67</f>
        <v>2022</v>
      </c>
      <c r="Q39" s="220" t="str">
        <f>Inputs!Q67</f>
        <v>-</v>
      </c>
      <c r="R39" s="220" t="str">
        <f>Inputs!R67</f>
        <v>2022</v>
      </c>
      <c r="S39" s="220" t="str">
        <f>Inputs!S67</f>
        <v>2022</v>
      </c>
      <c r="T39" s="220" t="str">
        <f>Inputs!T67</f>
        <v>2022</v>
      </c>
      <c r="U39" s="220" t="str">
        <f>Inputs!U67</f>
        <v>2022</v>
      </c>
      <c r="V39" s="220" t="str">
        <f>Inputs!V67</f>
        <v>2022</v>
      </c>
      <c r="W39" s="220" t="str">
        <f>Inputs!W67</f>
        <v>2022</v>
      </c>
      <c r="X39" s="220" t="str">
        <f>Inputs!X67</f>
        <v>2022</v>
      </c>
      <c r="Y39" s="220" t="str">
        <f>Inputs!Y67</f>
        <v>2022</v>
      </c>
      <c r="Z39" s="220" t="str">
        <f>Inputs!Z67</f>
        <v>2022</v>
      </c>
      <c r="AA39" s="220" t="str">
        <f>Inputs!AA67</f>
        <v>2022</v>
      </c>
      <c r="AB39" s="220" t="str">
        <f>Inputs!AB67</f>
        <v>2022</v>
      </c>
      <c r="AC39" s="220" t="str">
        <f>Inputs!AC67</f>
        <v>2022</v>
      </c>
      <c r="AD39" s="220" t="str">
        <f>Inputs!AD67</f>
        <v>2022</v>
      </c>
      <c r="AE39" s="228" t="str">
        <f>Inputs!AE67</f>
        <v>2022</v>
      </c>
      <c r="AF39" s="228" t="str">
        <f>Inputs!AF67</f>
        <v>2022</v>
      </c>
      <c r="AG39" s="228" t="str">
        <f>Inputs!AG67</f>
        <v>2022</v>
      </c>
      <c r="AH39" s="228" t="str">
        <f>Inputs!AH67</f>
        <v>2022</v>
      </c>
      <c r="AI39" s="228" t="str">
        <f>Inputs!AI67</f>
        <v>2022</v>
      </c>
      <c r="AJ39" s="228" t="str">
        <f>Inputs!AJ67</f>
        <v>2022</v>
      </c>
      <c r="AK39" s="232"/>
    </row>
    <row r="40">
      <c r="A40" s="101"/>
      <c r="B40" s="102"/>
      <c r="C40" s="130"/>
      <c r="D40" s="130"/>
      <c r="E40" s="144" t="s">
        <v>236</v>
      </c>
      <c r="F40" s="145" t="s">
        <v>101</v>
      </c>
      <c r="G40" s="217" t="s">
        <v>164</v>
      </c>
      <c r="H40" s="219" t="s">
        <v>165</v>
      </c>
      <c r="I40" s="228" t="s">
        <v>165</v>
      </c>
      <c r="J40" s="228" t="s">
        <v>165</v>
      </c>
      <c r="K40" s="228" t="s">
        <v>165</v>
      </c>
      <c r="L40" s="228" t="s">
        <v>165</v>
      </c>
      <c r="M40" s="228" t="s">
        <v>165</v>
      </c>
      <c r="N40" s="228" t="s">
        <v>165</v>
      </c>
      <c r="O40" s="228" t="s">
        <v>165</v>
      </c>
      <c r="P40" s="228" t="s">
        <v>165</v>
      </c>
      <c r="Q40" s="228" t="s">
        <v>165</v>
      </c>
      <c r="R40" s="225">
        <f t="shared" ref="R40:AF40" si="7">R39-R9</f>
        <v>21</v>
      </c>
      <c r="S40" s="225">
        <f t="shared" si="7"/>
        <v>21</v>
      </c>
      <c r="T40" s="225">
        <f t="shared" si="7"/>
        <v>21</v>
      </c>
      <c r="U40" s="225">
        <f t="shared" si="7"/>
        <v>21</v>
      </c>
      <c r="V40" s="225">
        <f t="shared" si="7"/>
        <v>21</v>
      </c>
      <c r="W40" s="225">
        <f t="shared" si="7"/>
        <v>21</v>
      </c>
      <c r="X40" s="225">
        <f t="shared" si="7"/>
        <v>21</v>
      </c>
      <c r="Y40" s="225">
        <f t="shared" si="7"/>
        <v>21</v>
      </c>
      <c r="Z40" s="225">
        <f t="shared" si="7"/>
        <v>21</v>
      </c>
      <c r="AA40" s="225">
        <f t="shared" si="7"/>
        <v>21</v>
      </c>
      <c r="AB40" s="225">
        <f t="shared" si="7"/>
        <v>21</v>
      </c>
      <c r="AC40" s="225">
        <f t="shared" si="7"/>
        <v>21</v>
      </c>
      <c r="AD40" s="225">
        <f t="shared" si="7"/>
        <v>21</v>
      </c>
      <c r="AE40" s="225">
        <f t="shared" si="7"/>
        <v>21</v>
      </c>
      <c r="AF40" s="225">
        <f t="shared" si="7"/>
        <v>21</v>
      </c>
      <c r="AG40" s="228" t="s">
        <v>165</v>
      </c>
      <c r="AH40" s="228" t="s">
        <v>165</v>
      </c>
      <c r="AI40" s="228" t="s">
        <v>165</v>
      </c>
      <c r="AJ40" s="228" t="s">
        <v>165</v>
      </c>
      <c r="AK40" s="232"/>
    </row>
    <row r="41">
      <c r="A41" s="101"/>
      <c r="B41" s="102"/>
      <c r="C41" s="130"/>
      <c r="D41" s="130"/>
      <c r="E41" s="190" t="s">
        <v>239</v>
      </c>
      <c r="F41" s="176" t="s">
        <v>112</v>
      </c>
      <c r="G41" s="177" t="s">
        <v>164</v>
      </c>
      <c r="H41" s="179" t="s">
        <v>165</v>
      </c>
      <c r="I41" s="194" t="s">
        <v>165</v>
      </c>
      <c r="J41" s="194" t="s">
        <v>165</v>
      </c>
      <c r="K41" s="194" t="s">
        <v>165</v>
      </c>
      <c r="L41" s="194" t="s">
        <v>165</v>
      </c>
      <c r="M41" s="194" t="s">
        <v>165</v>
      </c>
      <c r="N41" s="194" t="s">
        <v>165</v>
      </c>
      <c r="O41" s="194" t="s">
        <v>165</v>
      </c>
      <c r="P41" s="194" t="s">
        <v>165</v>
      </c>
      <c r="Q41" s="194" t="s">
        <v>165</v>
      </c>
      <c r="R41" s="236">
        <f t="shared" ref="R41:AF41" si="8">R38*R40</f>
        <v>-0.2802663401</v>
      </c>
      <c r="S41" s="236">
        <f t="shared" si="8"/>
        <v>-0.2802663401</v>
      </c>
      <c r="T41" s="236">
        <f t="shared" si="8"/>
        <v>-0.2802663401</v>
      </c>
      <c r="U41" s="236">
        <f t="shared" si="8"/>
        <v>-0.2802663401</v>
      </c>
      <c r="V41" s="236">
        <f t="shared" si="8"/>
        <v>-0.2802663401</v>
      </c>
      <c r="W41" s="236">
        <f t="shared" si="8"/>
        <v>-0.2802663401</v>
      </c>
      <c r="X41" s="236">
        <f t="shared" si="8"/>
        <v>-0.2802663401</v>
      </c>
      <c r="Y41" s="236">
        <f t="shared" si="8"/>
        <v>-0.2802663401</v>
      </c>
      <c r="Z41" s="236">
        <f t="shared" si="8"/>
        <v>-0.2802663401</v>
      </c>
      <c r="AA41" s="236">
        <f t="shared" si="8"/>
        <v>-0.2802663401</v>
      </c>
      <c r="AB41" s="236">
        <f t="shared" si="8"/>
        <v>-0.2802663401</v>
      </c>
      <c r="AC41" s="236">
        <f t="shared" si="8"/>
        <v>-0.2802663401</v>
      </c>
      <c r="AD41" s="236">
        <f t="shared" si="8"/>
        <v>-0.2802663401</v>
      </c>
      <c r="AE41" s="236">
        <f t="shared" si="8"/>
        <v>-0.2802663401</v>
      </c>
      <c r="AF41" s="236">
        <f t="shared" si="8"/>
        <v>-0.2802663401</v>
      </c>
      <c r="AG41" s="194" t="s">
        <v>165</v>
      </c>
      <c r="AH41" s="194" t="s">
        <v>165</v>
      </c>
      <c r="AI41" s="194" t="s">
        <v>165</v>
      </c>
      <c r="AJ41" s="194" t="s">
        <v>165</v>
      </c>
      <c r="AK41" s="201"/>
    </row>
    <row r="42">
      <c r="A42" s="101"/>
      <c r="B42" s="102"/>
      <c r="C42" s="130"/>
      <c r="D42" s="130"/>
      <c r="E42" s="131"/>
      <c r="F42" s="132"/>
      <c r="G42" s="133"/>
      <c r="H42" s="135"/>
      <c r="I42" s="137"/>
      <c r="J42" s="137"/>
      <c r="K42" s="137"/>
      <c r="L42" s="137"/>
      <c r="M42" s="137"/>
      <c r="N42" s="137"/>
      <c r="O42" s="137"/>
      <c r="P42" s="137"/>
      <c r="Q42" s="137"/>
      <c r="R42" s="137"/>
      <c r="S42" s="137"/>
      <c r="T42" s="137"/>
      <c r="U42" s="137"/>
      <c r="V42" s="137"/>
      <c r="W42" s="137"/>
      <c r="X42" s="137"/>
      <c r="Y42" s="137"/>
      <c r="Z42" s="137"/>
      <c r="AA42" s="137"/>
      <c r="AB42" s="137"/>
      <c r="AC42" s="137"/>
      <c r="AD42" s="137"/>
      <c r="AE42" s="140"/>
      <c r="AF42" s="140"/>
      <c r="AG42" s="140"/>
      <c r="AH42" s="140"/>
      <c r="AI42" s="140"/>
      <c r="AJ42" s="140"/>
      <c r="AK42" s="141"/>
    </row>
    <row r="43">
      <c r="A43" s="101"/>
      <c r="B43" s="102"/>
      <c r="C43" s="130" t="s">
        <v>241</v>
      </c>
      <c r="F43" s="132"/>
      <c r="G43" s="133"/>
      <c r="H43" s="135"/>
      <c r="I43" s="137"/>
      <c r="J43" s="137"/>
      <c r="K43" s="137"/>
      <c r="L43" s="137"/>
      <c r="M43" s="137"/>
      <c r="N43" s="137"/>
      <c r="O43" s="137"/>
      <c r="P43" s="137"/>
      <c r="Q43" s="137"/>
      <c r="R43" s="137"/>
      <c r="S43" s="137"/>
      <c r="T43" s="137"/>
      <c r="U43" s="137"/>
      <c r="V43" s="137"/>
      <c r="W43" s="137"/>
      <c r="X43" s="137"/>
      <c r="Y43" s="137"/>
      <c r="Z43" s="137"/>
      <c r="AA43" s="137"/>
      <c r="AB43" s="137"/>
      <c r="AC43" s="137"/>
      <c r="AD43" s="137"/>
      <c r="AE43" s="140"/>
      <c r="AF43" s="140"/>
      <c r="AG43" s="140"/>
      <c r="AH43" s="140"/>
      <c r="AI43" s="140"/>
      <c r="AJ43" s="140"/>
      <c r="AK43" s="141"/>
    </row>
    <row r="44">
      <c r="A44" s="101"/>
      <c r="B44" s="102"/>
      <c r="C44" s="130"/>
      <c r="D44" s="130"/>
      <c r="E44" s="246" t="s">
        <v>242</v>
      </c>
      <c r="F44" s="121" t="s">
        <v>112</v>
      </c>
      <c r="G44" s="280" t="s">
        <v>164</v>
      </c>
      <c r="H44" s="281" t="s">
        <v>165</v>
      </c>
      <c r="I44" s="282" t="s">
        <v>165</v>
      </c>
      <c r="J44" s="282" t="s">
        <v>165</v>
      </c>
      <c r="K44" s="282" t="s">
        <v>165</v>
      </c>
      <c r="L44" s="282" t="s">
        <v>165</v>
      </c>
      <c r="M44" s="282" t="s">
        <v>165</v>
      </c>
      <c r="N44" s="282" t="s">
        <v>165</v>
      </c>
      <c r="O44" s="282" t="s">
        <v>165</v>
      </c>
      <c r="P44" s="282" t="s">
        <v>165</v>
      </c>
      <c r="Q44" s="282" t="s">
        <v>165</v>
      </c>
      <c r="R44" s="290">
        <f t="shared" ref="R44:AF44" si="9">R8*(1+R41)</f>
        <v>0.2123214297</v>
      </c>
      <c r="S44" s="290">
        <f t="shared" si="9"/>
        <v>0.2123214297</v>
      </c>
      <c r="T44" s="290">
        <f t="shared" si="9"/>
        <v>0.2123214297</v>
      </c>
      <c r="U44" s="290">
        <f t="shared" si="9"/>
        <v>0.2123214297</v>
      </c>
      <c r="V44" s="290">
        <f t="shared" si="9"/>
        <v>0.2123214297</v>
      </c>
      <c r="W44" s="290">
        <f t="shared" si="9"/>
        <v>0.2123214297</v>
      </c>
      <c r="X44" s="290">
        <f t="shared" si="9"/>
        <v>0.2123214297</v>
      </c>
      <c r="Y44" s="290">
        <f t="shared" si="9"/>
        <v>0.2123214297</v>
      </c>
      <c r="Z44" s="290">
        <f t="shared" si="9"/>
        <v>0.2123214297</v>
      </c>
      <c r="AA44" s="290">
        <f t="shared" si="9"/>
        <v>0.2123214297</v>
      </c>
      <c r="AB44" s="290">
        <f t="shared" si="9"/>
        <v>0.2123214297</v>
      </c>
      <c r="AC44" s="290">
        <f t="shared" si="9"/>
        <v>0.2123214297</v>
      </c>
      <c r="AD44" s="290">
        <f t="shared" si="9"/>
        <v>0.2123214297</v>
      </c>
      <c r="AE44" s="290">
        <f t="shared" si="9"/>
        <v>0.2123214297</v>
      </c>
      <c r="AF44" s="290">
        <f t="shared" si="9"/>
        <v>0.2123214297</v>
      </c>
      <c r="AG44" s="282" t="s">
        <v>165</v>
      </c>
      <c r="AH44" s="282" t="s">
        <v>165</v>
      </c>
      <c r="AI44" s="282" t="s">
        <v>165</v>
      </c>
      <c r="AJ44" s="282" t="s">
        <v>165</v>
      </c>
      <c r="AK44" s="294"/>
    </row>
    <row r="45">
      <c r="A45" s="101"/>
      <c r="B45" s="102"/>
      <c r="C45" s="130"/>
      <c r="D45" s="130"/>
      <c r="E45" s="131"/>
      <c r="F45" s="132"/>
      <c r="G45" s="133"/>
      <c r="H45" s="135"/>
      <c r="I45" s="137"/>
      <c r="J45" s="137"/>
      <c r="K45" s="137"/>
      <c r="L45" s="137"/>
      <c r="M45" s="137"/>
      <c r="N45" s="137"/>
      <c r="O45" s="137"/>
      <c r="P45" s="137"/>
      <c r="Q45" s="137"/>
      <c r="R45" s="137"/>
      <c r="S45" s="137"/>
      <c r="T45" s="137"/>
      <c r="U45" s="137"/>
      <c r="V45" s="137"/>
      <c r="W45" s="137"/>
      <c r="X45" s="137"/>
      <c r="Y45" s="137"/>
      <c r="Z45" s="137"/>
      <c r="AA45" s="137"/>
      <c r="AB45" s="137"/>
      <c r="AC45" s="137"/>
      <c r="AD45" s="137"/>
      <c r="AE45" s="140"/>
      <c r="AF45" s="140"/>
      <c r="AG45" s="140"/>
      <c r="AH45" s="140"/>
      <c r="AI45" s="140"/>
      <c r="AJ45" s="140"/>
      <c r="AK45" s="141"/>
    </row>
    <row r="46">
      <c r="A46" s="101"/>
      <c r="B46" s="102"/>
      <c r="C46" s="130" t="s">
        <v>245</v>
      </c>
      <c r="F46" s="132"/>
      <c r="G46" s="133"/>
      <c r="H46" s="135"/>
      <c r="I46" s="137"/>
      <c r="J46" s="137"/>
      <c r="K46" s="137"/>
      <c r="L46" s="137"/>
      <c r="M46" s="137"/>
      <c r="N46" s="137"/>
      <c r="O46" s="137"/>
      <c r="P46" s="137"/>
      <c r="Q46" s="137"/>
      <c r="R46" s="137"/>
      <c r="S46" s="137"/>
      <c r="T46" s="137"/>
      <c r="U46" s="137"/>
      <c r="V46" s="137"/>
      <c r="W46" s="137"/>
      <c r="X46" s="137"/>
      <c r="Y46" s="137"/>
      <c r="Z46" s="137"/>
      <c r="AA46" s="137"/>
      <c r="AB46" s="137"/>
      <c r="AC46" s="137"/>
      <c r="AD46" s="137"/>
      <c r="AE46" s="140"/>
      <c r="AF46" s="140"/>
      <c r="AG46" s="140"/>
      <c r="AH46" s="140"/>
      <c r="AI46" s="140"/>
      <c r="AJ46" s="140"/>
      <c r="AK46" s="141"/>
    </row>
    <row r="47">
      <c r="A47" s="101"/>
      <c r="B47" s="102"/>
      <c r="C47" s="130"/>
      <c r="D47" s="130"/>
      <c r="E47" s="143" t="s">
        <v>246</v>
      </c>
      <c r="F47" s="114" t="str">
        <f>Inputs!F70</f>
        <v>%</v>
      </c>
      <c r="G47" s="148" t="str">
        <f>Inputs!G70</f>
        <v>input</v>
      </c>
      <c r="H47" s="211" t="str">
        <f>Inputs!H70</f>
        <v>-</v>
      </c>
      <c r="I47" s="161" t="str">
        <f>Inputs!I70</f>
        <v>-</v>
      </c>
      <c r="J47" s="161" t="str">
        <f>Inputs!J70</f>
        <v>-</v>
      </c>
      <c r="K47" s="161" t="str">
        <f>Inputs!K70</f>
        <v>-</v>
      </c>
      <c r="L47" s="161" t="str">
        <f>Inputs!L70</f>
        <v>-</v>
      </c>
      <c r="M47" s="161" t="str">
        <f>Inputs!M70</f>
        <v>-</v>
      </c>
      <c r="N47" s="161" t="str">
        <f>Inputs!N70</f>
        <v>-</v>
      </c>
      <c r="O47" s="161" t="str">
        <f>Inputs!O70</f>
        <v>-</v>
      </c>
      <c r="P47" s="161" t="str">
        <f>Inputs!P70</f>
        <v>-</v>
      </c>
      <c r="Q47" s="161" t="str">
        <f>Inputs!Q70</f>
        <v>-</v>
      </c>
      <c r="R47" s="161">
        <f>Inputs!R70</f>
        <v>0.397</v>
      </c>
      <c r="S47" s="161">
        <f>Inputs!S70</f>
        <v>0.196</v>
      </c>
      <c r="T47" s="161">
        <f>Inputs!T70</f>
        <v>0.14</v>
      </c>
      <c r="U47" s="161">
        <f>Inputs!U70</f>
        <v>0.208</v>
      </c>
      <c r="V47" s="161">
        <f>Inputs!V70</f>
        <v>0.237</v>
      </c>
      <c r="W47" s="161">
        <f>Inputs!W70</f>
        <v>0.252</v>
      </c>
      <c r="X47" s="161">
        <f>Inputs!X70</f>
        <v>0.16</v>
      </c>
      <c r="Y47" s="161">
        <f>Inputs!Y70</f>
        <v>0.221</v>
      </c>
      <c r="Z47" s="161">
        <f>Inputs!Z70</f>
        <v>0.176</v>
      </c>
      <c r="AA47" s="161">
        <f>Inputs!AA70</f>
        <v>0.2</v>
      </c>
      <c r="AB47" s="161">
        <f>Inputs!AB70</f>
        <v>0.314</v>
      </c>
      <c r="AC47" s="161">
        <f>Inputs!AC70</f>
        <v>0.266</v>
      </c>
      <c r="AD47" s="161">
        <f>Inputs!AD70</f>
        <v>0.237</v>
      </c>
      <c r="AE47" s="161">
        <f>Inputs!AE70</f>
        <v>0.168</v>
      </c>
      <c r="AF47" s="161">
        <f>Inputs!AF70</f>
        <v>0.419</v>
      </c>
      <c r="AG47" s="161" t="str">
        <f>Inputs!AG70</f>
        <v>-</v>
      </c>
      <c r="AH47" s="161" t="str">
        <f>Inputs!AH70</f>
        <v>-</v>
      </c>
      <c r="AI47" s="161" t="str">
        <f>Inputs!AI70</f>
        <v>-</v>
      </c>
      <c r="AJ47" s="161" t="str">
        <f>Inputs!AJ70</f>
        <v>-</v>
      </c>
      <c r="AK47" s="264"/>
    </row>
    <row r="48">
      <c r="A48" s="101"/>
      <c r="B48" s="102"/>
      <c r="C48" s="130"/>
      <c r="D48" s="130"/>
      <c r="E48" s="260" t="s">
        <v>252</v>
      </c>
      <c r="F48" s="145" t="str">
        <f>Inputs!F71</f>
        <v>%</v>
      </c>
      <c r="G48" s="217" t="str">
        <f>Inputs!G71</f>
        <v>input</v>
      </c>
      <c r="H48" s="316" t="str">
        <f>Inputs!H71</f>
        <v>-</v>
      </c>
      <c r="I48" s="222" t="str">
        <f>Inputs!I71</f>
        <v>-</v>
      </c>
      <c r="J48" s="222" t="str">
        <f>Inputs!J71</f>
        <v>-</v>
      </c>
      <c r="K48" s="222" t="str">
        <f>Inputs!K71</f>
        <v>-</v>
      </c>
      <c r="L48" s="222" t="str">
        <f>Inputs!L71</f>
        <v>-</v>
      </c>
      <c r="M48" s="222" t="str">
        <f>Inputs!M71</f>
        <v>-</v>
      </c>
      <c r="N48" s="222" t="str">
        <f>Inputs!N71</f>
        <v>-</v>
      </c>
      <c r="O48" s="222" t="str">
        <f>Inputs!O71</f>
        <v>-</v>
      </c>
      <c r="P48" s="222" t="str">
        <f>Inputs!P71</f>
        <v>-</v>
      </c>
      <c r="Q48" s="222" t="str">
        <f>Inputs!Q71</f>
        <v>-</v>
      </c>
      <c r="R48" s="222">
        <f>Inputs!R71</f>
        <v>0.042</v>
      </c>
      <c r="S48" s="222">
        <f>Inputs!S71</f>
        <v>0.042</v>
      </c>
      <c r="T48" s="222">
        <f>Inputs!T71</f>
        <v>0.023</v>
      </c>
      <c r="U48" s="222">
        <f>Inputs!U71</f>
        <v>0.08</v>
      </c>
      <c r="V48" s="222">
        <f>Inputs!V71</f>
        <v>0.02</v>
      </c>
      <c r="W48" s="222">
        <f>Inputs!W71</f>
        <v>0.045</v>
      </c>
      <c r="X48" s="222">
        <f>Inputs!X71</f>
        <v>0.033</v>
      </c>
      <c r="Y48" s="222">
        <f>Inputs!Y71</f>
        <v>0.033</v>
      </c>
      <c r="Z48" s="222">
        <f>Inputs!Z71</f>
        <v>0.069</v>
      </c>
      <c r="AA48" s="222">
        <f>Inputs!AA71</f>
        <v>0.039</v>
      </c>
      <c r="AB48" s="222">
        <f>Inputs!AB71</f>
        <v>0.056</v>
      </c>
      <c r="AC48" s="222">
        <f>Inputs!AC71</f>
        <v>0.057</v>
      </c>
      <c r="AD48" s="222">
        <f>Inputs!AD71</f>
        <v>0.045</v>
      </c>
      <c r="AE48" s="222">
        <f>Inputs!AE71</f>
        <v>0.064</v>
      </c>
      <c r="AF48" s="222">
        <f>Inputs!AF71</f>
        <v>0.053</v>
      </c>
      <c r="AG48" s="222" t="str">
        <f>Inputs!AG71</f>
        <v>-</v>
      </c>
      <c r="AH48" s="222" t="str">
        <f>Inputs!AH71</f>
        <v>-</v>
      </c>
      <c r="AI48" s="222" t="str">
        <f>Inputs!AI71</f>
        <v>-</v>
      </c>
      <c r="AJ48" s="222" t="str">
        <f>Inputs!AJ71</f>
        <v>-</v>
      </c>
      <c r="AK48" s="457"/>
    </row>
    <row r="49">
      <c r="A49" s="101"/>
      <c r="B49" s="102"/>
      <c r="C49" s="130"/>
      <c r="D49" s="130"/>
      <c r="E49" s="175" t="s">
        <v>257</v>
      </c>
      <c r="F49" s="176" t="str">
        <f>Inputs!F72</f>
        <v>%</v>
      </c>
      <c r="G49" s="177" t="str">
        <f>Inputs!G72</f>
        <v>input</v>
      </c>
      <c r="H49" s="356" t="str">
        <f>Inputs!H72</f>
        <v>-</v>
      </c>
      <c r="I49" s="236" t="str">
        <f>Inputs!I72</f>
        <v>-</v>
      </c>
      <c r="J49" s="236" t="str">
        <f>Inputs!J72</f>
        <v>-</v>
      </c>
      <c r="K49" s="236" t="str">
        <f>Inputs!K72</f>
        <v>-</v>
      </c>
      <c r="L49" s="236" t="str">
        <f>Inputs!L72</f>
        <v>-</v>
      </c>
      <c r="M49" s="236" t="str">
        <f>Inputs!M72</f>
        <v>-</v>
      </c>
      <c r="N49" s="236" t="str">
        <f>Inputs!N72</f>
        <v>-</v>
      </c>
      <c r="O49" s="236" t="str">
        <f>Inputs!O72</f>
        <v>-</v>
      </c>
      <c r="P49" s="236" t="str">
        <f>Inputs!P72</f>
        <v>-</v>
      </c>
      <c r="Q49" s="236" t="str">
        <f>Inputs!Q72</f>
        <v>-</v>
      </c>
      <c r="R49" s="236">
        <f>Inputs!R72</f>
        <v>0.56</v>
      </c>
      <c r="S49" s="236">
        <f>Inputs!S72</f>
        <v>0.747</v>
      </c>
      <c r="T49" s="236">
        <f>Inputs!T72</f>
        <v>0.752</v>
      </c>
      <c r="U49" s="236">
        <f>Inputs!U72</f>
        <v>0.62</v>
      </c>
      <c r="V49" s="236">
        <f>Inputs!V72</f>
        <v>0.698</v>
      </c>
      <c r="W49" s="236">
        <f>Inputs!W72</f>
        <v>0.793</v>
      </c>
      <c r="X49" s="236">
        <f>Inputs!X72</f>
        <v>0.659</v>
      </c>
      <c r="Y49" s="236">
        <f>Inputs!Y72</f>
        <v>0.719</v>
      </c>
      <c r="Z49" s="236">
        <f>Inputs!Z72</f>
        <v>0.592</v>
      </c>
      <c r="AA49" s="236">
        <f>Inputs!AA72</f>
        <v>0.636</v>
      </c>
      <c r="AB49" s="236">
        <f>Inputs!AB72</f>
        <v>0.679</v>
      </c>
      <c r="AC49" s="236">
        <f>Inputs!AC72</f>
        <v>0.595</v>
      </c>
      <c r="AD49" s="236">
        <f>Inputs!AD72</f>
        <v>0.576</v>
      </c>
      <c r="AE49" s="236">
        <f>Inputs!AE72</f>
        <v>0.789</v>
      </c>
      <c r="AF49" s="236">
        <f>Inputs!AF72</f>
        <v>0.709</v>
      </c>
      <c r="AG49" s="236" t="str">
        <f>Inputs!AG72</f>
        <v>-</v>
      </c>
      <c r="AH49" s="236" t="str">
        <f>Inputs!AH72</f>
        <v>-</v>
      </c>
      <c r="AI49" s="236" t="str">
        <f>Inputs!AI72</f>
        <v>-</v>
      </c>
      <c r="AJ49" s="236" t="str">
        <f>Inputs!AJ72</f>
        <v>-</v>
      </c>
      <c r="AK49" s="237"/>
    </row>
    <row r="50">
      <c r="A50" s="101"/>
      <c r="B50" s="102"/>
      <c r="C50" s="130"/>
      <c r="D50" s="130"/>
      <c r="E50" s="203"/>
      <c r="F50" s="132"/>
      <c r="G50" s="133"/>
      <c r="H50" s="135"/>
      <c r="I50" s="137"/>
      <c r="J50" s="137"/>
      <c r="K50" s="137"/>
      <c r="L50" s="137"/>
      <c r="M50" s="137"/>
      <c r="N50" s="137"/>
      <c r="O50" s="137"/>
      <c r="P50" s="137"/>
      <c r="Q50" s="137"/>
      <c r="R50" s="137"/>
      <c r="S50" s="137"/>
      <c r="T50" s="137"/>
      <c r="U50" s="137"/>
      <c r="V50" s="137"/>
      <c r="W50" s="137"/>
      <c r="X50" s="137"/>
      <c r="Y50" s="137"/>
      <c r="Z50" s="137"/>
      <c r="AA50" s="137"/>
      <c r="AB50" s="137"/>
      <c r="AC50" s="137"/>
      <c r="AD50" s="137"/>
      <c r="AE50" s="140"/>
      <c r="AF50" s="140"/>
      <c r="AG50" s="140"/>
      <c r="AH50" s="140"/>
      <c r="AI50" s="140"/>
      <c r="AJ50" s="140"/>
      <c r="AK50" s="141"/>
    </row>
    <row r="51">
      <c r="A51" s="101"/>
      <c r="B51" s="102"/>
      <c r="C51" s="130" t="s">
        <v>263</v>
      </c>
      <c r="F51" s="132"/>
      <c r="G51" s="133"/>
      <c r="H51" s="135"/>
      <c r="I51" s="137"/>
      <c r="J51" s="137"/>
      <c r="K51" s="137"/>
      <c r="L51" s="137"/>
      <c r="M51" s="137"/>
      <c r="N51" s="137"/>
      <c r="O51" s="137"/>
      <c r="P51" s="137"/>
      <c r="Q51" s="137"/>
      <c r="R51" s="137"/>
      <c r="S51" s="137"/>
      <c r="T51" s="137"/>
      <c r="U51" s="137"/>
      <c r="V51" s="137"/>
      <c r="W51" s="137"/>
      <c r="X51" s="137"/>
      <c r="Y51" s="137"/>
      <c r="Z51" s="137"/>
      <c r="AA51" s="137"/>
      <c r="AB51" s="137"/>
      <c r="AC51" s="137"/>
      <c r="AD51" s="137"/>
      <c r="AE51" s="140"/>
      <c r="AF51" s="140"/>
      <c r="AG51" s="140"/>
      <c r="AH51" s="140"/>
      <c r="AI51" s="140"/>
      <c r="AJ51" s="140"/>
      <c r="AK51" s="141"/>
    </row>
    <row r="52">
      <c r="A52" s="101"/>
      <c r="B52" s="102"/>
      <c r="C52" s="130"/>
      <c r="D52" s="130"/>
      <c r="E52" s="246" t="s">
        <v>264</v>
      </c>
      <c r="F52" s="121" t="str">
        <f>Inputs!F75</f>
        <v>%</v>
      </c>
      <c r="G52" s="280" t="str">
        <f>Inputs!G75</f>
        <v>input</v>
      </c>
      <c r="H52" s="281" t="str">
        <f>Inputs!H75</f>
        <v>-</v>
      </c>
      <c r="I52" s="493" t="str">
        <f>Inputs!I75</f>
        <v>-</v>
      </c>
      <c r="J52" s="493" t="str">
        <f>Inputs!J75</f>
        <v>-</v>
      </c>
      <c r="K52" s="493" t="str">
        <f>Inputs!K75</f>
        <v>-</v>
      </c>
      <c r="L52" s="493" t="str">
        <f>Inputs!L75</f>
        <v>-</v>
      </c>
      <c r="M52" s="493" t="str">
        <f>Inputs!M75</f>
        <v>-</v>
      </c>
      <c r="N52" s="493" t="str">
        <f>Inputs!N75</f>
        <v>-</v>
      </c>
      <c r="O52" s="493" t="str">
        <f>Inputs!O75</f>
        <v>-</v>
      </c>
      <c r="P52" s="493" t="str">
        <f>Inputs!P75</f>
        <v>-</v>
      </c>
      <c r="Q52" s="493" t="str">
        <f>Inputs!Q75</f>
        <v>-</v>
      </c>
      <c r="R52" s="290">
        <f>Inputs!R75</f>
        <v>0.754</v>
      </c>
      <c r="S52" s="290">
        <f>Inputs!S75</f>
        <v>0.268</v>
      </c>
      <c r="T52" s="290">
        <f>Inputs!T75</f>
        <v>0.148</v>
      </c>
      <c r="U52" s="290">
        <f>Inputs!U75</f>
        <v>0.329</v>
      </c>
      <c r="V52" s="290">
        <f>Inputs!V75</f>
        <v>0.06</v>
      </c>
      <c r="W52" s="290">
        <f>Inputs!W75</f>
        <v>0.798</v>
      </c>
      <c r="X52" s="290">
        <f>Inputs!X75</f>
        <v>0.12</v>
      </c>
      <c r="Y52" s="290">
        <f>Inputs!Y75</f>
        <v>0.28</v>
      </c>
      <c r="Z52" s="290">
        <f>Inputs!Z75</f>
        <v>0.289</v>
      </c>
      <c r="AA52" s="290">
        <f>Inputs!AA75</f>
        <v>0.285</v>
      </c>
      <c r="AB52" s="290">
        <f>Inputs!AB75</f>
        <v>0.573</v>
      </c>
      <c r="AC52" s="290">
        <f>Inputs!AC75</f>
        <v>0.093</v>
      </c>
      <c r="AD52" s="290">
        <f>Inputs!AD75</f>
        <v>0.085</v>
      </c>
      <c r="AE52" s="290">
        <f>Inputs!AE75</f>
        <v>0.239</v>
      </c>
      <c r="AF52" s="290">
        <f>Inputs!AF75</f>
        <v>0.877</v>
      </c>
      <c r="AG52" s="282" t="str">
        <f>Inputs!AG75</f>
        <v>-</v>
      </c>
      <c r="AH52" s="282" t="str">
        <f>Inputs!AH75</f>
        <v>-</v>
      </c>
      <c r="AI52" s="282" t="str">
        <f>Inputs!AI75</f>
        <v>-</v>
      </c>
      <c r="AJ52" s="282" t="str">
        <f>Inputs!AJ75</f>
        <v>-</v>
      </c>
      <c r="AK52" s="294"/>
    </row>
    <row r="53">
      <c r="A53" s="101"/>
      <c r="B53" s="102"/>
      <c r="C53" s="130"/>
      <c r="D53" s="130"/>
      <c r="E53" s="131"/>
      <c r="F53" s="132"/>
      <c r="G53" s="133"/>
      <c r="H53" s="135"/>
      <c r="I53" s="137"/>
      <c r="J53" s="137"/>
      <c r="K53" s="137"/>
      <c r="L53" s="137"/>
      <c r="M53" s="137"/>
      <c r="N53" s="137"/>
      <c r="O53" s="137"/>
      <c r="P53" s="137"/>
      <c r="Q53" s="137"/>
      <c r="R53" s="137"/>
      <c r="S53" s="137"/>
      <c r="T53" s="137"/>
      <c r="U53" s="137"/>
      <c r="V53" s="137"/>
      <c r="W53" s="137"/>
      <c r="X53" s="137"/>
      <c r="Y53" s="137"/>
      <c r="Z53" s="137"/>
      <c r="AA53" s="137"/>
      <c r="AB53" s="137"/>
      <c r="AC53" s="137"/>
      <c r="AD53" s="137"/>
      <c r="AE53" s="140"/>
      <c r="AF53" s="140"/>
      <c r="AG53" s="140"/>
      <c r="AH53" s="140"/>
      <c r="AI53" s="140"/>
      <c r="AJ53" s="140"/>
      <c r="AK53" s="141"/>
    </row>
    <row r="54">
      <c r="A54" s="101"/>
      <c r="B54" s="102"/>
      <c r="C54" s="130" t="s">
        <v>273</v>
      </c>
      <c r="F54" s="132"/>
      <c r="G54" s="133"/>
      <c r="H54" s="135"/>
      <c r="I54" s="137"/>
      <c r="J54" s="137"/>
      <c r="K54" s="137"/>
      <c r="L54" s="137"/>
      <c r="M54" s="137"/>
      <c r="N54" s="137"/>
      <c r="O54" s="137"/>
      <c r="P54" s="137"/>
      <c r="Q54" s="137"/>
      <c r="R54" s="137"/>
      <c r="S54" s="137"/>
      <c r="T54" s="137"/>
      <c r="U54" s="137"/>
      <c r="V54" s="137"/>
      <c r="W54" s="137"/>
      <c r="X54" s="137"/>
      <c r="Y54" s="137"/>
      <c r="Z54" s="137"/>
      <c r="AA54" s="137"/>
      <c r="AB54" s="137"/>
      <c r="AC54" s="137"/>
      <c r="AD54" s="137"/>
      <c r="AE54" s="140"/>
      <c r="AF54" s="140"/>
      <c r="AG54" s="140"/>
      <c r="AH54" s="140"/>
      <c r="AI54" s="140"/>
      <c r="AJ54" s="140"/>
      <c r="AK54" s="141"/>
    </row>
    <row r="55">
      <c r="A55" s="101"/>
      <c r="B55" s="102"/>
      <c r="C55" s="130"/>
      <c r="D55" s="130"/>
      <c r="E55" s="112" t="s">
        <v>276</v>
      </c>
      <c r="F55" s="114" t="s">
        <v>101</v>
      </c>
      <c r="G55" s="148" t="s">
        <v>164</v>
      </c>
      <c r="H55" s="151" t="s">
        <v>165</v>
      </c>
      <c r="I55" s="169" t="s">
        <v>165</v>
      </c>
      <c r="J55" s="169" t="s">
        <v>165</v>
      </c>
      <c r="K55" s="169" t="s">
        <v>165</v>
      </c>
      <c r="L55" s="169" t="s">
        <v>165</v>
      </c>
      <c r="M55" s="169" t="s">
        <v>165</v>
      </c>
      <c r="N55" s="169" t="s">
        <v>165</v>
      </c>
      <c r="O55" s="169" t="s">
        <v>165</v>
      </c>
      <c r="P55" s="169" t="s">
        <v>165</v>
      </c>
      <c r="Q55" s="169" t="s">
        <v>165</v>
      </c>
      <c r="R55" s="521">
        <f t="shared" ref="R55:AF55" si="10">R47/R14</f>
        <v>1.078804348</v>
      </c>
      <c r="S55" s="521">
        <f t="shared" si="10"/>
        <v>0.5326086957</v>
      </c>
      <c r="T55" s="521">
        <f t="shared" si="10"/>
        <v>0.3804347826</v>
      </c>
      <c r="U55" s="521">
        <f t="shared" si="10"/>
        <v>0.5652173913</v>
      </c>
      <c r="V55" s="521">
        <f t="shared" si="10"/>
        <v>0.6440217391</v>
      </c>
      <c r="W55" s="521">
        <f t="shared" si="10"/>
        <v>0.6847826087</v>
      </c>
      <c r="X55" s="521">
        <f t="shared" si="10"/>
        <v>0.4347826087</v>
      </c>
      <c r="Y55" s="521">
        <f t="shared" si="10"/>
        <v>0.6005434783</v>
      </c>
      <c r="Z55" s="521">
        <f t="shared" si="10"/>
        <v>0.4782608696</v>
      </c>
      <c r="AA55" s="521">
        <f t="shared" si="10"/>
        <v>0.5434782609</v>
      </c>
      <c r="AB55" s="521">
        <f t="shared" si="10"/>
        <v>0.8532608696</v>
      </c>
      <c r="AC55" s="521">
        <f t="shared" si="10"/>
        <v>0.722826087</v>
      </c>
      <c r="AD55" s="521">
        <f t="shared" si="10"/>
        <v>0.6440217391</v>
      </c>
      <c r="AE55" s="521">
        <f t="shared" si="10"/>
        <v>0.4565217391</v>
      </c>
      <c r="AF55" s="521">
        <f t="shared" si="10"/>
        <v>1.138586957</v>
      </c>
      <c r="AG55" s="169" t="s">
        <v>165</v>
      </c>
      <c r="AH55" s="169" t="s">
        <v>165</v>
      </c>
      <c r="AI55" s="169" t="s">
        <v>165</v>
      </c>
      <c r="AJ55" s="169" t="s">
        <v>165</v>
      </c>
      <c r="AK55" s="173"/>
    </row>
    <row r="56">
      <c r="A56" s="101"/>
      <c r="B56" s="102"/>
      <c r="C56" s="130"/>
      <c r="D56" s="130"/>
      <c r="E56" s="144" t="s">
        <v>277</v>
      </c>
      <c r="F56" s="145" t="s">
        <v>101</v>
      </c>
      <c r="G56" s="217" t="s">
        <v>164</v>
      </c>
      <c r="H56" s="219" t="s">
        <v>165</v>
      </c>
      <c r="I56" s="228" t="s">
        <v>165</v>
      </c>
      <c r="J56" s="228" t="s">
        <v>165</v>
      </c>
      <c r="K56" s="228" t="s">
        <v>165</v>
      </c>
      <c r="L56" s="228" t="s">
        <v>165</v>
      </c>
      <c r="M56" s="228" t="s">
        <v>165</v>
      </c>
      <c r="N56" s="228" t="s">
        <v>165</v>
      </c>
      <c r="O56" s="228" t="s">
        <v>165</v>
      </c>
      <c r="P56" s="228" t="s">
        <v>165</v>
      </c>
      <c r="Q56" s="228" t="s">
        <v>165</v>
      </c>
      <c r="R56" s="529">
        <f t="shared" ref="R56:AF56" si="11">R48/R15</f>
        <v>0.6176470588</v>
      </c>
      <c r="S56" s="529">
        <f t="shared" si="11"/>
        <v>0.6176470588</v>
      </c>
      <c r="T56" s="529">
        <f t="shared" si="11"/>
        <v>0.3382352941</v>
      </c>
      <c r="U56" s="529">
        <f t="shared" si="11"/>
        <v>1.176470588</v>
      </c>
      <c r="V56" s="529">
        <f t="shared" si="11"/>
        <v>0.2941176471</v>
      </c>
      <c r="W56" s="529">
        <f t="shared" si="11"/>
        <v>0.6617647059</v>
      </c>
      <c r="X56" s="529">
        <f t="shared" si="11"/>
        <v>0.4852941176</v>
      </c>
      <c r="Y56" s="529">
        <f t="shared" si="11"/>
        <v>0.4852941176</v>
      </c>
      <c r="Z56" s="529">
        <f t="shared" si="11"/>
        <v>1.014705882</v>
      </c>
      <c r="AA56" s="529">
        <f t="shared" si="11"/>
        <v>0.5735294118</v>
      </c>
      <c r="AB56" s="529">
        <f t="shared" si="11"/>
        <v>0.8235294118</v>
      </c>
      <c r="AC56" s="529">
        <f t="shared" si="11"/>
        <v>0.8382352941</v>
      </c>
      <c r="AD56" s="529">
        <f t="shared" si="11"/>
        <v>0.6617647059</v>
      </c>
      <c r="AE56" s="529">
        <f t="shared" si="11"/>
        <v>0.9411764706</v>
      </c>
      <c r="AF56" s="529">
        <f t="shared" si="11"/>
        <v>0.7794117647</v>
      </c>
      <c r="AG56" s="228" t="s">
        <v>165</v>
      </c>
      <c r="AH56" s="228" t="s">
        <v>165</v>
      </c>
      <c r="AI56" s="228" t="s">
        <v>165</v>
      </c>
      <c r="AJ56" s="228" t="s">
        <v>165</v>
      </c>
      <c r="AK56" s="232"/>
    </row>
    <row r="57">
      <c r="A57" s="101"/>
      <c r="B57" s="102"/>
      <c r="C57" s="130"/>
      <c r="D57" s="130"/>
      <c r="E57" s="144" t="s">
        <v>281</v>
      </c>
      <c r="F57" s="145" t="s">
        <v>101</v>
      </c>
      <c r="G57" s="217" t="s">
        <v>164</v>
      </c>
      <c r="H57" s="219" t="s">
        <v>165</v>
      </c>
      <c r="I57" s="228" t="s">
        <v>165</v>
      </c>
      <c r="J57" s="228" t="s">
        <v>165</v>
      </c>
      <c r="K57" s="228" t="s">
        <v>165</v>
      </c>
      <c r="L57" s="228" t="s">
        <v>165</v>
      </c>
      <c r="M57" s="228" t="s">
        <v>165</v>
      </c>
      <c r="N57" s="228" t="s">
        <v>165</v>
      </c>
      <c r="O57" s="228" t="s">
        <v>165</v>
      </c>
      <c r="P57" s="228" t="s">
        <v>165</v>
      </c>
      <c r="Q57" s="228" t="s">
        <v>165</v>
      </c>
      <c r="R57" s="529">
        <f t="shared" ref="R57:AF57" si="12">R49/R16</f>
        <v>0.824742268</v>
      </c>
      <c r="S57" s="529">
        <f t="shared" si="12"/>
        <v>1.100147275</v>
      </c>
      <c r="T57" s="529">
        <f t="shared" si="12"/>
        <v>1.107511046</v>
      </c>
      <c r="U57" s="529">
        <f t="shared" si="12"/>
        <v>0.913107511</v>
      </c>
      <c r="V57" s="529">
        <f t="shared" si="12"/>
        <v>1.027982327</v>
      </c>
      <c r="W57" s="529">
        <f t="shared" si="12"/>
        <v>1.167893962</v>
      </c>
      <c r="X57" s="529">
        <f t="shared" si="12"/>
        <v>0.970544919</v>
      </c>
      <c r="Y57" s="529">
        <f t="shared" si="12"/>
        <v>1.058910162</v>
      </c>
      <c r="Z57" s="529">
        <f t="shared" si="12"/>
        <v>0.8718703976</v>
      </c>
      <c r="AA57" s="529">
        <f t="shared" si="12"/>
        <v>0.9366715758</v>
      </c>
      <c r="AB57" s="529">
        <f t="shared" si="12"/>
        <v>1</v>
      </c>
      <c r="AC57" s="529">
        <f t="shared" si="12"/>
        <v>0.8762886598</v>
      </c>
      <c r="AD57" s="529">
        <f t="shared" si="12"/>
        <v>0.8483063328</v>
      </c>
      <c r="AE57" s="529">
        <f t="shared" si="12"/>
        <v>1.162002946</v>
      </c>
      <c r="AF57" s="529">
        <f t="shared" si="12"/>
        <v>1.044182622</v>
      </c>
      <c r="AG57" s="228" t="s">
        <v>165</v>
      </c>
      <c r="AH57" s="228" t="s">
        <v>165</v>
      </c>
      <c r="AI57" s="228" t="s">
        <v>165</v>
      </c>
      <c r="AJ57" s="228" t="s">
        <v>165</v>
      </c>
      <c r="AK57" s="232"/>
    </row>
    <row r="58">
      <c r="A58" s="101"/>
      <c r="B58" s="102"/>
      <c r="C58" s="130"/>
      <c r="D58" s="130"/>
      <c r="E58" s="144" t="s">
        <v>283</v>
      </c>
      <c r="F58" s="145" t="s">
        <v>101</v>
      </c>
      <c r="G58" s="217" t="s">
        <v>164</v>
      </c>
      <c r="H58" s="219" t="s">
        <v>165</v>
      </c>
      <c r="I58" s="228" t="s">
        <v>165</v>
      </c>
      <c r="J58" s="228" t="s">
        <v>165</v>
      </c>
      <c r="K58" s="228" t="s">
        <v>165</v>
      </c>
      <c r="L58" s="228" t="s">
        <v>165</v>
      </c>
      <c r="M58" s="228" t="s">
        <v>165</v>
      </c>
      <c r="N58" s="228" t="s">
        <v>165</v>
      </c>
      <c r="O58" s="228" t="s">
        <v>165</v>
      </c>
      <c r="P58" s="228" t="s">
        <v>165</v>
      </c>
      <c r="Q58" s="228" t="s">
        <v>165</v>
      </c>
      <c r="R58" s="529">
        <f t="shared" ref="R58:AF58" si="13">R52/R23</f>
        <v>1.880768271</v>
      </c>
      <c r="S58" s="529">
        <f t="shared" si="13"/>
        <v>0.6684958843</v>
      </c>
      <c r="T58" s="529">
        <f t="shared" si="13"/>
        <v>0.3691693689</v>
      </c>
      <c r="U58" s="529">
        <f t="shared" si="13"/>
        <v>0.8206535296</v>
      </c>
      <c r="V58" s="529">
        <f t="shared" si="13"/>
        <v>0.1496632577</v>
      </c>
      <c r="W58" s="529">
        <f t="shared" si="13"/>
        <v>1.990521327</v>
      </c>
      <c r="X58" s="529">
        <f t="shared" si="13"/>
        <v>0.2993265153</v>
      </c>
      <c r="Y58" s="529">
        <f t="shared" si="13"/>
        <v>0.6984285358</v>
      </c>
      <c r="Z58" s="529">
        <f t="shared" si="13"/>
        <v>0.7208780244</v>
      </c>
      <c r="AA58" s="529">
        <f t="shared" si="13"/>
        <v>0.7109004739</v>
      </c>
      <c r="AB58" s="529">
        <f t="shared" si="13"/>
        <v>1.429284111</v>
      </c>
      <c r="AC58" s="529">
        <f t="shared" si="13"/>
        <v>0.2319780494</v>
      </c>
      <c r="AD58" s="529">
        <f t="shared" si="13"/>
        <v>0.2120229484</v>
      </c>
      <c r="AE58" s="529">
        <f t="shared" si="13"/>
        <v>0.5961586431</v>
      </c>
      <c r="AF58" s="529">
        <f t="shared" si="13"/>
        <v>2.18757795</v>
      </c>
      <c r="AG58" s="228" t="s">
        <v>165</v>
      </c>
      <c r="AH58" s="228" t="s">
        <v>165</v>
      </c>
      <c r="AI58" s="228" t="s">
        <v>165</v>
      </c>
      <c r="AJ58" s="228" t="s">
        <v>165</v>
      </c>
      <c r="AK58" s="232"/>
    </row>
    <row r="59">
      <c r="A59" s="101"/>
      <c r="B59" s="102"/>
      <c r="C59" s="130"/>
      <c r="D59" s="130"/>
      <c r="E59" s="144" t="s">
        <v>207</v>
      </c>
      <c r="F59" s="145" t="str">
        <f>Inputs!F78</f>
        <v>%</v>
      </c>
      <c r="G59" s="217" t="str">
        <f>Inputs!G78</f>
        <v>input</v>
      </c>
      <c r="H59" s="219" t="str">
        <f>Inputs!H78</f>
        <v>-</v>
      </c>
      <c r="I59" s="220" t="str">
        <f>Inputs!I78</f>
        <v>-</v>
      </c>
      <c r="J59" s="220" t="str">
        <f>Inputs!J78</f>
        <v>-</v>
      </c>
      <c r="K59" s="220" t="str">
        <f>Inputs!K78</f>
        <v>-</v>
      </c>
      <c r="L59" s="220" t="str">
        <f>Inputs!L78</f>
        <v>-</v>
      </c>
      <c r="M59" s="220" t="str">
        <f>Inputs!M78</f>
        <v>-</v>
      </c>
      <c r="N59" s="220" t="str">
        <f>Inputs!N78</f>
        <v>-</v>
      </c>
      <c r="O59" s="220" t="str">
        <f>Inputs!O78</f>
        <v>-</v>
      </c>
      <c r="P59" s="220" t="str">
        <f>Inputs!P78</f>
        <v>-</v>
      </c>
      <c r="Q59" s="220" t="str">
        <f>Inputs!Q78</f>
        <v>-</v>
      </c>
      <c r="R59" s="222">
        <f>Inputs!R78</f>
        <v>0.25</v>
      </c>
      <c r="S59" s="222">
        <f>Inputs!S78</f>
        <v>0.25</v>
      </c>
      <c r="T59" s="222">
        <f>Inputs!T78</f>
        <v>0.25</v>
      </c>
      <c r="U59" s="222">
        <f>Inputs!U78</f>
        <v>0.25</v>
      </c>
      <c r="V59" s="222">
        <f>Inputs!V78</f>
        <v>0.25</v>
      </c>
      <c r="W59" s="222">
        <f>Inputs!W78</f>
        <v>0.25</v>
      </c>
      <c r="X59" s="222">
        <f>Inputs!X78</f>
        <v>0.25</v>
      </c>
      <c r="Y59" s="222">
        <f>Inputs!Y78</f>
        <v>0.25</v>
      </c>
      <c r="Z59" s="222">
        <f>Inputs!Z78</f>
        <v>0.25</v>
      </c>
      <c r="AA59" s="222">
        <f>Inputs!AA78</f>
        <v>0.25</v>
      </c>
      <c r="AB59" s="222">
        <f>Inputs!AB78</f>
        <v>0.25</v>
      </c>
      <c r="AC59" s="222">
        <f>Inputs!AC78</f>
        <v>0.25</v>
      </c>
      <c r="AD59" s="222">
        <f>Inputs!AD78</f>
        <v>0.25</v>
      </c>
      <c r="AE59" s="222">
        <f>Inputs!AE78</f>
        <v>0.25</v>
      </c>
      <c r="AF59" s="222">
        <f>Inputs!AF78</f>
        <v>0.25</v>
      </c>
      <c r="AG59" s="228" t="str">
        <f>Inputs!AG78</f>
        <v>-</v>
      </c>
      <c r="AH59" s="228" t="str">
        <f>Inputs!AH78</f>
        <v>-</v>
      </c>
      <c r="AI59" s="228" t="str">
        <f>Inputs!AI78</f>
        <v>-</v>
      </c>
      <c r="AJ59" s="228" t="str">
        <f>Inputs!AJ78</f>
        <v>-</v>
      </c>
      <c r="AK59" s="232"/>
    </row>
    <row r="60">
      <c r="A60" s="101"/>
      <c r="B60" s="102"/>
      <c r="C60" s="130"/>
      <c r="D60" s="130"/>
      <c r="E60" s="144" t="s">
        <v>211</v>
      </c>
      <c r="F60" s="145" t="str">
        <f>Inputs!F79</f>
        <v>%</v>
      </c>
      <c r="G60" s="217" t="str">
        <f>Inputs!G79</f>
        <v>input</v>
      </c>
      <c r="H60" s="219" t="str">
        <f>Inputs!H79</f>
        <v>-</v>
      </c>
      <c r="I60" s="220" t="str">
        <f>Inputs!I79</f>
        <v>-</v>
      </c>
      <c r="J60" s="220" t="str">
        <f>Inputs!J79</f>
        <v>-</v>
      </c>
      <c r="K60" s="220" t="str">
        <f>Inputs!K79</f>
        <v>-</v>
      </c>
      <c r="L60" s="220" t="str">
        <f>Inputs!L79</f>
        <v>-</v>
      </c>
      <c r="M60" s="220" t="str">
        <f>Inputs!M79</f>
        <v>-</v>
      </c>
      <c r="N60" s="220" t="str">
        <f>Inputs!N79</f>
        <v>-</v>
      </c>
      <c r="O60" s="220" t="str">
        <f>Inputs!O79</f>
        <v>-</v>
      </c>
      <c r="P60" s="220" t="str">
        <f>Inputs!P79</f>
        <v>-</v>
      </c>
      <c r="Q60" s="220" t="str">
        <f>Inputs!Q79</f>
        <v>-</v>
      </c>
      <c r="R60" s="222">
        <f>Inputs!R79</f>
        <v>0.25</v>
      </c>
      <c r="S60" s="222">
        <f>Inputs!S79</f>
        <v>0.25</v>
      </c>
      <c r="T60" s="222">
        <f>Inputs!T79</f>
        <v>0.25</v>
      </c>
      <c r="U60" s="222">
        <f>Inputs!U79</f>
        <v>0.25</v>
      </c>
      <c r="V60" s="222">
        <f>Inputs!V79</f>
        <v>0.25</v>
      </c>
      <c r="W60" s="222">
        <f>Inputs!W79</f>
        <v>0.25</v>
      </c>
      <c r="X60" s="222">
        <f>Inputs!X79</f>
        <v>0.25</v>
      </c>
      <c r="Y60" s="222">
        <f>Inputs!Y79</f>
        <v>0.25</v>
      </c>
      <c r="Z60" s="222">
        <f>Inputs!Z79</f>
        <v>0.25</v>
      </c>
      <c r="AA60" s="222">
        <f>Inputs!AA79</f>
        <v>0.25</v>
      </c>
      <c r="AB60" s="222">
        <f>Inputs!AB79</f>
        <v>0.25</v>
      </c>
      <c r="AC60" s="222">
        <f>Inputs!AC79</f>
        <v>0.25</v>
      </c>
      <c r="AD60" s="222">
        <f>Inputs!AD79</f>
        <v>0.25</v>
      </c>
      <c r="AE60" s="222">
        <f>Inputs!AE79</f>
        <v>0.25</v>
      </c>
      <c r="AF60" s="222">
        <f>Inputs!AF79</f>
        <v>0.25</v>
      </c>
      <c r="AG60" s="228" t="str">
        <f>Inputs!AG79</f>
        <v>-</v>
      </c>
      <c r="AH60" s="228" t="str">
        <f>Inputs!AH79</f>
        <v>-</v>
      </c>
      <c r="AI60" s="228" t="str">
        <f>Inputs!AI79</f>
        <v>-</v>
      </c>
      <c r="AJ60" s="228" t="str">
        <f>Inputs!AJ79</f>
        <v>-</v>
      </c>
      <c r="AK60" s="232"/>
    </row>
    <row r="61">
      <c r="A61" s="101"/>
      <c r="B61" s="102"/>
      <c r="C61" s="130"/>
      <c r="D61" s="130"/>
      <c r="E61" s="144" t="s">
        <v>297</v>
      </c>
      <c r="F61" s="145" t="str">
        <f>Inputs!F80</f>
        <v>%</v>
      </c>
      <c r="G61" s="217" t="str">
        <f>Inputs!G80</f>
        <v>input</v>
      </c>
      <c r="H61" s="219" t="str">
        <f>Inputs!H80</f>
        <v>-</v>
      </c>
      <c r="I61" s="220" t="str">
        <f>Inputs!I80</f>
        <v>-</v>
      </c>
      <c r="J61" s="220" t="str">
        <f>Inputs!J80</f>
        <v>-</v>
      </c>
      <c r="K61" s="220" t="str">
        <f>Inputs!K80</f>
        <v>-</v>
      </c>
      <c r="L61" s="220" t="str">
        <f>Inputs!L80</f>
        <v>-</v>
      </c>
      <c r="M61" s="220" t="str">
        <f>Inputs!M80</f>
        <v>-</v>
      </c>
      <c r="N61" s="220" t="str">
        <f>Inputs!N80</f>
        <v>-</v>
      </c>
      <c r="O61" s="220" t="str">
        <f>Inputs!O80</f>
        <v>-</v>
      </c>
      <c r="P61" s="220" t="str">
        <f>Inputs!P80</f>
        <v>-</v>
      </c>
      <c r="Q61" s="220" t="str">
        <f>Inputs!Q80</f>
        <v>-</v>
      </c>
      <c r="R61" s="222">
        <f>Inputs!R80</f>
        <v>0.25</v>
      </c>
      <c r="S61" s="222">
        <f>Inputs!S80</f>
        <v>0.25</v>
      </c>
      <c r="T61" s="222">
        <f>Inputs!T80</f>
        <v>0.25</v>
      </c>
      <c r="U61" s="222">
        <f>Inputs!U80</f>
        <v>0.25</v>
      </c>
      <c r="V61" s="222">
        <f>Inputs!V80</f>
        <v>0.25</v>
      </c>
      <c r="W61" s="222">
        <f>Inputs!W80</f>
        <v>0.25</v>
      </c>
      <c r="X61" s="222">
        <f>Inputs!X80</f>
        <v>0.25</v>
      </c>
      <c r="Y61" s="222">
        <f>Inputs!Y80</f>
        <v>0.25</v>
      </c>
      <c r="Z61" s="222">
        <f>Inputs!Z80</f>
        <v>0.25</v>
      </c>
      <c r="AA61" s="222">
        <f>Inputs!AA80</f>
        <v>0.25</v>
      </c>
      <c r="AB61" s="222">
        <f>Inputs!AB80</f>
        <v>0.25</v>
      </c>
      <c r="AC61" s="222">
        <f>Inputs!AC80</f>
        <v>0.25</v>
      </c>
      <c r="AD61" s="222">
        <f>Inputs!AD80</f>
        <v>0.25</v>
      </c>
      <c r="AE61" s="222">
        <f>Inputs!AE80</f>
        <v>0.25</v>
      </c>
      <c r="AF61" s="222">
        <f>Inputs!AF80</f>
        <v>0.25</v>
      </c>
      <c r="AG61" s="228" t="str">
        <f>Inputs!AG80</f>
        <v>-</v>
      </c>
      <c r="AH61" s="228" t="str">
        <f>Inputs!AH80</f>
        <v>-</v>
      </c>
      <c r="AI61" s="228" t="str">
        <f>Inputs!AI80</f>
        <v>-</v>
      </c>
      <c r="AJ61" s="228" t="str">
        <f>Inputs!AJ80</f>
        <v>-</v>
      </c>
      <c r="AK61" s="232"/>
    </row>
    <row r="62">
      <c r="A62" s="101"/>
      <c r="B62" s="102"/>
      <c r="C62" s="130"/>
      <c r="D62" s="130"/>
      <c r="E62" s="144" t="s">
        <v>215</v>
      </c>
      <c r="F62" s="145" t="str">
        <f>Inputs!F81</f>
        <v>%</v>
      </c>
      <c r="G62" s="217" t="str">
        <f>Inputs!G81</f>
        <v>input</v>
      </c>
      <c r="H62" s="219" t="str">
        <f>Inputs!H81</f>
        <v>-</v>
      </c>
      <c r="I62" s="220" t="str">
        <f>Inputs!I81</f>
        <v>-</v>
      </c>
      <c r="J62" s="220" t="str">
        <f>Inputs!J81</f>
        <v>-</v>
      </c>
      <c r="K62" s="220" t="str">
        <f>Inputs!K81</f>
        <v>-</v>
      </c>
      <c r="L62" s="220" t="str">
        <f>Inputs!L81</f>
        <v>-</v>
      </c>
      <c r="M62" s="220" t="str">
        <f>Inputs!M81</f>
        <v>-</v>
      </c>
      <c r="N62" s="220" t="str">
        <f>Inputs!N81</f>
        <v>-</v>
      </c>
      <c r="O62" s="220" t="str">
        <f>Inputs!O81</f>
        <v>-</v>
      </c>
      <c r="P62" s="220" t="str">
        <f>Inputs!P81</f>
        <v>-</v>
      </c>
      <c r="Q62" s="220" t="str">
        <f>Inputs!Q81</f>
        <v>-</v>
      </c>
      <c r="R62" s="222">
        <f>Inputs!R81</f>
        <v>0.25</v>
      </c>
      <c r="S62" s="222">
        <f>Inputs!S81</f>
        <v>0.25</v>
      </c>
      <c r="T62" s="222">
        <f>Inputs!T81</f>
        <v>0.25</v>
      </c>
      <c r="U62" s="222">
        <f>Inputs!U81</f>
        <v>0.25</v>
      </c>
      <c r="V62" s="222">
        <f>Inputs!V81</f>
        <v>0.25</v>
      </c>
      <c r="W62" s="222">
        <f>Inputs!W81</f>
        <v>0.25</v>
      </c>
      <c r="X62" s="222">
        <f>Inputs!X81</f>
        <v>0.25</v>
      </c>
      <c r="Y62" s="222">
        <f>Inputs!Y81</f>
        <v>0.25</v>
      </c>
      <c r="Z62" s="222">
        <f>Inputs!Z81</f>
        <v>0.25</v>
      </c>
      <c r="AA62" s="222">
        <f>Inputs!AA81</f>
        <v>0.25</v>
      </c>
      <c r="AB62" s="222">
        <f>Inputs!AB81</f>
        <v>0.25</v>
      </c>
      <c r="AC62" s="222">
        <f>Inputs!AC81</f>
        <v>0.25</v>
      </c>
      <c r="AD62" s="222">
        <f>Inputs!AD81</f>
        <v>0.25</v>
      </c>
      <c r="AE62" s="222">
        <f>Inputs!AE81</f>
        <v>0.25</v>
      </c>
      <c r="AF62" s="222">
        <f>Inputs!AF81</f>
        <v>0.25</v>
      </c>
      <c r="AG62" s="228" t="str">
        <f>Inputs!AG81</f>
        <v>-</v>
      </c>
      <c r="AH62" s="228" t="str">
        <f>Inputs!AH81</f>
        <v>-</v>
      </c>
      <c r="AI62" s="228" t="str">
        <f>Inputs!AI81</f>
        <v>-</v>
      </c>
      <c r="AJ62" s="228" t="str">
        <f>Inputs!AJ81</f>
        <v>-</v>
      </c>
      <c r="AK62" s="232"/>
    </row>
    <row r="63">
      <c r="A63" s="101"/>
      <c r="B63" s="102"/>
      <c r="C63" s="130"/>
      <c r="D63" s="130"/>
      <c r="E63" s="190" t="s">
        <v>315</v>
      </c>
      <c r="F63" s="176" t="s">
        <v>112</v>
      </c>
      <c r="G63" s="177" t="s">
        <v>164</v>
      </c>
      <c r="H63" s="179" t="s">
        <v>165</v>
      </c>
      <c r="I63" s="194" t="s">
        <v>165</v>
      </c>
      <c r="J63" s="194" t="s">
        <v>165</v>
      </c>
      <c r="K63" s="194" t="s">
        <v>165</v>
      </c>
      <c r="L63" s="194" t="s">
        <v>165</v>
      </c>
      <c r="M63" s="194" t="s">
        <v>165</v>
      </c>
      <c r="N63" s="194" t="s">
        <v>165</v>
      </c>
      <c r="O63" s="194" t="s">
        <v>165</v>
      </c>
      <c r="P63" s="194" t="s">
        <v>165</v>
      </c>
      <c r="Q63" s="194" t="s">
        <v>165</v>
      </c>
      <c r="R63" s="236">
        <f t="shared" ref="R63:AF63" si="14">SUMPRODUCT(R55:R58,R59:R62)-1</f>
        <v>0.1004904865</v>
      </c>
      <c r="S63" s="236">
        <f t="shared" si="14"/>
        <v>-0.2702752715</v>
      </c>
      <c r="T63" s="236">
        <f t="shared" si="14"/>
        <v>-0.4511623772</v>
      </c>
      <c r="U63" s="236">
        <f t="shared" si="14"/>
        <v>-0.131137745</v>
      </c>
      <c r="V63" s="236">
        <f t="shared" si="14"/>
        <v>-0.4710537573</v>
      </c>
      <c r="W63" s="236">
        <f t="shared" si="14"/>
        <v>0.1262406508</v>
      </c>
      <c r="X63" s="236">
        <f t="shared" si="14"/>
        <v>-0.4525129598</v>
      </c>
      <c r="Y63" s="236">
        <f t="shared" si="14"/>
        <v>-0.2892059266</v>
      </c>
      <c r="Z63" s="236">
        <f t="shared" si="14"/>
        <v>-0.2285712065</v>
      </c>
      <c r="AA63" s="236">
        <f t="shared" si="14"/>
        <v>-0.3088550694</v>
      </c>
      <c r="AB63" s="236">
        <f t="shared" si="14"/>
        <v>0.02651859802</v>
      </c>
      <c r="AC63" s="236">
        <f t="shared" si="14"/>
        <v>-0.3326679774</v>
      </c>
      <c r="AD63" s="236">
        <f t="shared" si="14"/>
        <v>-0.4084710684</v>
      </c>
      <c r="AE63" s="236">
        <f t="shared" si="14"/>
        <v>-0.2110350504</v>
      </c>
      <c r="AF63" s="236">
        <f t="shared" si="14"/>
        <v>0.2874398231</v>
      </c>
      <c r="AG63" s="194" t="s">
        <v>165</v>
      </c>
      <c r="AH63" s="194" t="s">
        <v>165</v>
      </c>
      <c r="AI63" s="194" t="s">
        <v>165</v>
      </c>
      <c r="AJ63" s="194" t="s">
        <v>165</v>
      </c>
      <c r="AK63" s="201"/>
    </row>
    <row r="64">
      <c r="A64" s="101"/>
      <c r="B64" s="102"/>
      <c r="C64" s="130"/>
      <c r="D64" s="130"/>
      <c r="E64" s="131"/>
      <c r="F64" s="132"/>
      <c r="G64" s="133"/>
      <c r="H64" s="135"/>
      <c r="I64" s="137"/>
      <c r="J64" s="137"/>
      <c r="K64" s="137"/>
      <c r="L64" s="137"/>
      <c r="M64" s="137"/>
      <c r="N64" s="137"/>
      <c r="O64" s="137"/>
      <c r="P64" s="137"/>
      <c r="Q64" s="137"/>
      <c r="R64" s="137"/>
      <c r="S64" s="137"/>
      <c r="T64" s="137"/>
      <c r="U64" s="137"/>
      <c r="V64" s="137"/>
      <c r="W64" s="137"/>
      <c r="X64" s="137"/>
      <c r="Y64" s="137"/>
      <c r="Z64" s="137"/>
      <c r="AA64" s="137"/>
      <c r="AB64" s="137"/>
      <c r="AC64" s="137"/>
      <c r="AD64" s="137"/>
      <c r="AE64" s="140"/>
      <c r="AF64" s="140"/>
      <c r="AG64" s="140"/>
      <c r="AH64" s="140"/>
      <c r="AI64" s="140"/>
      <c r="AJ64" s="140"/>
      <c r="AK64" s="141"/>
    </row>
    <row r="65">
      <c r="A65" s="101"/>
      <c r="B65" s="102"/>
      <c r="C65" s="130" t="s">
        <v>321</v>
      </c>
      <c r="G65" s="618"/>
      <c r="H65" s="135"/>
      <c r="I65" s="140"/>
      <c r="J65" s="140"/>
      <c r="K65" s="140"/>
      <c r="L65" s="140"/>
      <c r="M65" s="244"/>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1"/>
    </row>
    <row r="66">
      <c r="A66" s="101"/>
      <c r="B66" s="102"/>
      <c r="C66" s="130"/>
      <c r="D66" s="130"/>
      <c r="E66" s="246" t="s">
        <v>323</v>
      </c>
      <c r="F66" s="121" t="s">
        <v>112</v>
      </c>
      <c r="G66" s="280" t="s">
        <v>164</v>
      </c>
      <c r="H66" s="281" t="s">
        <v>165</v>
      </c>
      <c r="I66" s="282" t="s">
        <v>165</v>
      </c>
      <c r="J66" s="282" t="s">
        <v>165</v>
      </c>
      <c r="K66" s="282" t="s">
        <v>165</v>
      </c>
      <c r="L66" s="282" t="s">
        <v>165</v>
      </c>
      <c r="M66" s="282" t="s">
        <v>165</v>
      </c>
      <c r="N66" s="282" t="s">
        <v>165</v>
      </c>
      <c r="O66" s="282" t="s">
        <v>165</v>
      </c>
      <c r="P66" s="282" t="s">
        <v>165</v>
      </c>
      <c r="Q66" s="282" t="s">
        <v>165</v>
      </c>
      <c r="R66" s="290">
        <f t="shared" ref="R66:AF66" si="15">R44*(1+R63)</f>
        <v>0.2336577134</v>
      </c>
      <c r="S66" s="290">
        <f t="shared" si="15"/>
        <v>0.1549361976</v>
      </c>
      <c r="T66" s="290">
        <f t="shared" si="15"/>
        <v>0.1165299887</v>
      </c>
      <c r="U66" s="290">
        <f t="shared" si="15"/>
        <v>0.1844780762</v>
      </c>
      <c r="V66" s="290">
        <f t="shared" si="15"/>
        <v>0.1123066225</v>
      </c>
      <c r="W66" s="290">
        <f t="shared" si="15"/>
        <v>0.2391250251</v>
      </c>
      <c r="X66" s="290">
        <f t="shared" si="15"/>
        <v>0.1162432311</v>
      </c>
      <c r="Y66" s="290">
        <f t="shared" si="15"/>
        <v>0.1509168139</v>
      </c>
      <c r="Z66" s="290">
        <f t="shared" si="15"/>
        <v>0.1637908643</v>
      </c>
      <c r="AA66" s="290">
        <f t="shared" si="15"/>
        <v>0.1467448798</v>
      </c>
      <c r="AB66" s="290">
        <f t="shared" si="15"/>
        <v>0.2179518963</v>
      </c>
      <c r="AC66" s="290">
        <f t="shared" si="15"/>
        <v>0.1416888891</v>
      </c>
      <c r="AD66" s="290">
        <f t="shared" si="15"/>
        <v>0.1255942684</v>
      </c>
      <c r="AE66" s="290">
        <f t="shared" si="15"/>
        <v>0.1675141661</v>
      </c>
      <c r="AF66" s="290">
        <f t="shared" si="15"/>
        <v>0.2733510639</v>
      </c>
      <c r="AG66" s="282" t="s">
        <v>165</v>
      </c>
      <c r="AH66" s="282" t="s">
        <v>165</v>
      </c>
      <c r="AI66" s="282" t="s">
        <v>165</v>
      </c>
      <c r="AJ66" s="282" t="s">
        <v>165</v>
      </c>
      <c r="AK66" s="294"/>
    </row>
    <row r="67">
      <c r="A67" s="101"/>
      <c r="B67" s="102"/>
      <c r="C67" s="130"/>
      <c r="D67" s="130"/>
      <c r="E67" s="131"/>
      <c r="F67" s="132"/>
      <c r="G67" s="133"/>
      <c r="H67" s="135"/>
      <c r="I67" s="137"/>
      <c r="J67" s="137"/>
      <c r="K67" s="137"/>
      <c r="L67" s="137"/>
      <c r="M67" s="137"/>
      <c r="N67" s="137"/>
      <c r="O67" s="137"/>
      <c r="P67" s="137"/>
      <c r="Q67" s="137"/>
      <c r="R67" s="137"/>
      <c r="S67" s="137"/>
      <c r="T67" s="137"/>
      <c r="U67" s="137"/>
      <c r="V67" s="137"/>
      <c r="W67" s="137"/>
      <c r="X67" s="137"/>
      <c r="Y67" s="137"/>
      <c r="Z67" s="137"/>
      <c r="AA67" s="137"/>
      <c r="AB67" s="137"/>
      <c r="AC67" s="137"/>
      <c r="AD67" s="137"/>
      <c r="AE67" s="140"/>
      <c r="AF67" s="140"/>
      <c r="AG67" s="140"/>
      <c r="AH67" s="140"/>
      <c r="AI67" s="140"/>
      <c r="AJ67" s="140"/>
      <c r="AK67" s="141"/>
    </row>
    <row r="68">
      <c r="A68" s="99" t="s">
        <v>301</v>
      </c>
      <c r="B68" s="12"/>
      <c r="C68" s="12"/>
      <c r="D68" s="12"/>
      <c r="E68" s="12"/>
      <c r="F68" s="12"/>
      <c r="G68" s="12"/>
      <c r="H68" s="97"/>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100"/>
    </row>
    <row r="69">
      <c r="A69" s="101"/>
      <c r="B69" s="102"/>
      <c r="C69" s="102"/>
      <c r="D69" s="102"/>
      <c r="E69" s="103"/>
      <c r="F69" s="104"/>
      <c r="G69" s="104"/>
      <c r="H69" s="105"/>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7"/>
    </row>
    <row r="70">
      <c r="A70" s="101"/>
      <c r="B70" s="102"/>
      <c r="C70" s="109" t="s">
        <v>330</v>
      </c>
      <c r="F70" s="104"/>
      <c r="G70" s="110"/>
      <c r="H70" s="105"/>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7"/>
    </row>
    <row r="71">
      <c r="A71" s="101"/>
      <c r="B71" s="102"/>
      <c r="C71" s="109"/>
      <c r="D71" s="102"/>
      <c r="E71" s="112" t="s">
        <v>302</v>
      </c>
      <c r="F71" s="114" t="str">
        <f>Inputs!F84</f>
        <v>%</v>
      </c>
      <c r="G71" s="116" t="str">
        <f>Inputs!G84</f>
        <v>input</v>
      </c>
      <c r="H71" s="596" t="str">
        <f>Inputs!H84</f>
        <v>-</v>
      </c>
      <c r="I71" s="166">
        <f>Inputs!I84</f>
        <v>0.245</v>
      </c>
      <c r="J71" s="166">
        <f>Inputs!J84</f>
        <v>0.35</v>
      </c>
      <c r="K71" s="166">
        <f>Inputs!K84</f>
        <v>0.24</v>
      </c>
      <c r="L71" s="166">
        <f>Inputs!L84</f>
        <v>0.61</v>
      </c>
      <c r="M71" s="166" t="str">
        <f>Inputs!M84</f>
        <v>-</v>
      </c>
      <c r="N71" s="166">
        <f>Inputs!N84</f>
        <v>0.09</v>
      </c>
      <c r="O71" s="166">
        <f>Inputs!O84</f>
        <v>0.42</v>
      </c>
      <c r="P71" s="166">
        <f>Inputs!P84</f>
        <v>0.771</v>
      </c>
      <c r="Q71" s="118" t="str">
        <f>Inputs!Q84</f>
        <v>-</v>
      </c>
      <c r="R71" s="118" t="str">
        <f>Inputs!R84</f>
        <v>-</v>
      </c>
      <c r="S71" s="118" t="str">
        <f>Inputs!S84</f>
        <v>-</v>
      </c>
      <c r="T71" s="118" t="str">
        <f>Inputs!T84</f>
        <v>-</v>
      </c>
      <c r="U71" s="118" t="str">
        <f>Inputs!U84</f>
        <v>-</v>
      </c>
      <c r="V71" s="118" t="str">
        <f>Inputs!V84</f>
        <v>-</v>
      </c>
      <c r="W71" s="118" t="str">
        <f>Inputs!W84</f>
        <v>-</v>
      </c>
      <c r="X71" s="118" t="str">
        <f>Inputs!X84</f>
        <v>-</v>
      </c>
      <c r="Y71" s="118" t="str">
        <f>Inputs!Y84</f>
        <v>-</v>
      </c>
      <c r="Z71" s="118" t="str">
        <f>Inputs!Z84</f>
        <v>-</v>
      </c>
      <c r="AA71" s="118" t="str">
        <f>Inputs!AA84</f>
        <v>-</v>
      </c>
      <c r="AB71" s="118" t="str">
        <f>Inputs!AB84</f>
        <v>-</v>
      </c>
      <c r="AC71" s="118" t="str">
        <f>Inputs!AC84</f>
        <v>-</v>
      </c>
      <c r="AD71" s="118" t="str">
        <f>Inputs!AD84</f>
        <v>-</v>
      </c>
      <c r="AE71" s="118" t="str">
        <f>Inputs!AE84</f>
        <v>-</v>
      </c>
      <c r="AF71" s="118" t="str">
        <f>Inputs!AF84</f>
        <v>-</v>
      </c>
      <c r="AG71" s="118" t="str">
        <f>Inputs!AG84</f>
        <v>-</v>
      </c>
      <c r="AH71" s="166">
        <f>Inputs!AH84</f>
        <v>0.28</v>
      </c>
      <c r="AI71" s="118" t="str">
        <f>Inputs!AI84</f>
        <v>-</v>
      </c>
      <c r="AJ71" s="118" t="str">
        <f>Inputs!AJ84</f>
        <v>-</v>
      </c>
      <c r="AK71" s="142"/>
    </row>
    <row r="72">
      <c r="A72" s="101"/>
      <c r="B72" s="102"/>
      <c r="C72" s="109"/>
      <c r="D72" s="102"/>
      <c r="E72" s="112" t="s">
        <v>304</v>
      </c>
      <c r="F72" s="145" t="str">
        <f>Inputs!F85</f>
        <v>year</v>
      </c>
      <c r="G72" s="635" t="str">
        <f>Inputs!G85</f>
        <v>input</v>
      </c>
      <c r="H72" s="637" t="str">
        <f>Inputs!H85</f>
        <v>-</v>
      </c>
      <c r="I72" s="639" t="str">
        <f>Inputs!I85</f>
        <v>2010</v>
      </c>
      <c r="J72" s="639" t="str">
        <f>Inputs!J85</f>
        <v>2009</v>
      </c>
      <c r="K72" s="639" t="str">
        <f>Inputs!K85</f>
        <v>2007</v>
      </c>
      <c r="L72" s="639" t="str">
        <f>Inputs!L85</f>
        <v>1999</v>
      </c>
      <c r="M72" s="639" t="str">
        <f>Inputs!M85</f>
        <v>-</v>
      </c>
      <c r="N72" s="639" t="str">
        <f>Inputs!N85</f>
        <v>2011</v>
      </c>
      <c r="O72" s="639" t="str">
        <f>Inputs!O85</f>
        <v>2000</v>
      </c>
      <c r="P72" s="639" t="str">
        <f>Inputs!P85</f>
        <v>1997</v>
      </c>
      <c r="Q72" s="153" t="str">
        <f>Inputs!Q85</f>
        <v>-</v>
      </c>
      <c r="R72" s="153" t="str">
        <f>Inputs!R85</f>
        <v>-</v>
      </c>
      <c r="S72" s="153" t="str">
        <f>Inputs!S85</f>
        <v>-</v>
      </c>
      <c r="T72" s="153" t="str">
        <f>Inputs!T85</f>
        <v>-</v>
      </c>
      <c r="U72" s="153" t="str">
        <f>Inputs!U85</f>
        <v>-</v>
      </c>
      <c r="V72" s="153" t="str">
        <f>Inputs!V85</f>
        <v>-</v>
      </c>
      <c r="W72" s="153" t="str">
        <f>Inputs!W85</f>
        <v>-</v>
      </c>
      <c r="X72" s="153" t="str">
        <f>Inputs!X85</f>
        <v>-</v>
      </c>
      <c r="Y72" s="153" t="str">
        <f>Inputs!Y85</f>
        <v>-</v>
      </c>
      <c r="Z72" s="153" t="str">
        <f>Inputs!Z85</f>
        <v>-</v>
      </c>
      <c r="AA72" s="153" t="str">
        <f>Inputs!AA85</f>
        <v>-</v>
      </c>
      <c r="AB72" s="153" t="str">
        <f>Inputs!AB85</f>
        <v>-</v>
      </c>
      <c r="AC72" s="153" t="str">
        <f>Inputs!AC85</f>
        <v>-</v>
      </c>
      <c r="AD72" s="153" t="str">
        <f>Inputs!AD85</f>
        <v>-</v>
      </c>
      <c r="AE72" s="153" t="str">
        <f>Inputs!AE85</f>
        <v>-</v>
      </c>
      <c r="AF72" s="153" t="str">
        <f>Inputs!AF85</f>
        <v>-</v>
      </c>
      <c r="AG72" s="153" t="str">
        <f>Inputs!AG85</f>
        <v>-</v>
      </c>
      <c r="AH72" s="639" t="str">
        <f>Inputs!AH85</f>
        <v>2008</v>
      </c>
      <c r="AI72" s="153" t="str">
        <f>Inputs!AI85</f>
        <v>-</v>
      </c>
      <c r="AJ72" s="153" t="str">
        <f>Inputs!AJ85</f>
        <v>-</v>
      </c>
      <c r="AK72" s="168"/>
    </row>
    <row r="73">
      <c r="A73" s="101"/>
      <c r="B73" s="102"/>
      <c r="C73" s="109"/>
      <c r="D73" s="109"/>
      <c r="E73" s="112" t="s">
        <v>234</v>
      </c>
      <c r="F73" s="171" t="str">
        <f>Inputs!F67</f>
        <v>year</v>
      </c>
      <c r="G73" s="172" t="str">
        <f>Inputs!G67</f>
        <v>input</v>
      </c>
      <c r="H73" s="637" t="str">
        <f>Inputs!H67</f>
        <v>-</v>
      </c>
      <c r="I73" s="639" t="str">
        <f>Inputs!I67</f>
        <v>2022</v>
      </c>
      <c r="J73" s="639" t="str">
        <f>Inputs!J67</f>
        <v>2022</v>
      </c>
      <c r="K73" s="639" t="str">
        <f>Inputs!K67</f>
        <v>2022</v>
      </c>
      <c r="L73" s="639" t="str">
        <f>Inputs!L67</f>
        <v>2022</v>
      </c>
      <c r="M73" s="639" t="str">
        <f>Inputs!M67</f>
        <v>-</v>
      </c>
      <c r="N73" s="639" t="str">
        <f>Inputs!N67</f>
        <v>2022</v>
      </c>
      <c r="O73" s="639" t="str">
        <f>Inputs!O67</f>
        <v>2022</v>
      </c>
      <c r="P73" s="639" t="str">
        <f>Inputs!P67</f>
        <v>2022</v>
      </c>
      <c r="Q73" s="153" t="str">
        <f>Inputs!Q67</f>
        <v>-</v>
      </c>
      <c r="R73" s="639" t="str">
        <f>Inputs!R67</f>
        <v>2022</v>
      </c>
      <c r="S73" s="639" t="str">
        <f>Inputs!S67</f>
        <v>2022</v>
      </c>
      <c r="T73" s="639" t="str">
        <f>Inputs!T67</f>
        <v>2022</v>
      </c>
      <c r="U73" s="639" t="str">
        <f>Inputs!U67</f>
        <v>2022</v>
      </c>
      <c r="V73" s="639" t="str">
        <f>Inputs!V67</f>
        <v>2022</v>
      </c>
      <c r="W73" s="639" t="str">
        <f>Inputs!W67</f>
        <v>2022</v>
      </c>
      <c r="X73" s="639" t="str">
        <f>Inputs!X67</f>
        <v>2022</v>
      </c>
      <c r="Y73" s="639" t="str">
        <f>Inputs!Y67</f>
        <v>2022</v>
      </c>
      <c r="Z73" s="639" t="str">
        <f>Inputs!Z67</f>
        <v>2022</v>
      </c>
      <c r="AA73" s="639" t="str">
        <f>Inputs!AA67</f>
        <v>2022</v>
      </c>
      <c r="AB73" s="639" t="str">
        <f>Inputs!AB67</f>
        <v>2022</v>
      </c>
      <c r="AC73" s="639" t="str">
        <f>Inputs!AC67</f>
        <v>2022</v>
      </c>
      <c r="AD73" s="639" t="str">
        <f>Inputs!AD67</f>
        <v>2022</v>
      </c>
      <c r="AE73" s="639" t="str">
        <f>Inputs!AE67</f>
        <v>2022</v>
      </c>
      <c r="AF73" s="639" t="str">
        <f>Inputs!AF67</f>
        <v>2022</v>
      </c>
      <c r="AG73" s="639" t="str">
        <f>Inputs!AG67</f>
        <v>2022</v>
      </c>
      <c r="AH73" s="639" t="str">
        <f>Inputs!AH67</f>
        <v>2022</v>
      </c>
      <c r="AI73" s="639" t="str">
        <f>Inputs!AI67</f>
        <v>2022</v>
      </c>
      <c r="AJ73" s="639" t="str">
        <f>Inputs!AJ67</f>
        <v>2022</v>
      </c>
      <c r="AK73" s="655"/>
    </row>
    <row r="74">
      <c r="A74" s="101"/>
      <c r="B74" s="102"/>
      <c r="C74" s="109"/>
      <c r="D74" s="109"/>
      <c r="E74" s="112" t="s">
        <v>344</v>
      </c>
      <c r="F74" s="657" t="s">
        <v>266</v>
      </c>
      <c r="G74" s="659" t="s">
        <v>164</v>
      </c>
      <c r="H74" s="277" t="s">
        <v>165</v>
      </c>
      <c r="I74" s="662">
        <f t="shared" ref="I74:AJ74" si="16">IFERROR(I73-I72,"-")</f>
        <v>12</v>
      </c>
      <c r="J74" s="662">
        <f t="shared" si="16"/>
        <v>13</v>
      </c>
      <c r="K74" s="662">
        <f t="shared" si="16"/>
        <v>15</v>
      </c>
      <c r="L74" s="662">
        <f t="shared" si="16"/>
        <v>23</v>
      </c>
      <c r="M74" s="662" t="str">
        <f t="shared" si="16"/>
        <v>-</v>
      </c>
      <c r="N74" s="662">
        <f t="shared" si="16"/>
        <v>11</v>
      </c>
      <c r="O74" s="662">
        <f t="shared" si="16"/>
        <v>22</v>
      </c>
      <c r="P74" s="662">
        <f t="shared" si="16"/>
        <v>25</v>
      </c>
      <c r="Q74" s="662" t="str">
        <f t="shared" si="16"/>
        <v>-</v>
      </c>
      <c r="R74" s="662" t="str">
        <f t="shared" si="16"/>
        <v>-</v>
      </c>
      <c r="S74" s="662" t="str">
        <f t="shared" si="16"/>
        <v>-</v>
      </c>
      <c r="T74" s="662" t="str">
        <f t="shared" si="16"/>
        <v>-</v>
      </c>
      <c r="U74" s="662" t="str">
        <f t="shared" si="16"/>
        <v>-</v>
      </c>
      <c r="V74" s="662" t="str">
        <f t="shared" si="16"/>
        <v>-</v>
      </c>
      <c r="W74" s="662" t="str">
        <f t="shared" si="16"/>
        <v>-</v>
      </c>
      <c r="X74" s="662" t="str">
        <f t="shared" si="16"/>
        <v>-</v>
      </c>
      <c r="Y74" s="662" t="str">
        <f t="shared" si="16"/>
        <v>-</v>
      </c>
      <c r="Z74" s="662" t="str">
        <f t="shared" si="16"/>
        <v>-</v>
      </c>
      <c r="AA74" s="662" t="str">
        <f t="shared" si="16"/>
        <v>-</v>
      </c>
      <c r="AB74" s="662" t="str">
        <f t="shared" si="16"/>
        <v>-</v>
      </c>
      <c r="AC74" s="662" t="str">
        <f t="shared" si="16"/>
        <v>-</v>
      </c>
      <c r="AD74" s="662" t="str">
        <f t="shared" si="16"/>
        <v>-</v>
      </c>
      <c r="AE74" s="662" t="str">
        <f t="shared" si="16"/>
        <v>-</v>
      </c>
      <c r="AF74" s="662" t="str">
        <f t="shared" si="16"/>
        <v>-</v>
      </c>
      <c r="AG74" s="662" t="str">
        <f t="shared" si="16"/>
        <v>-</v>
      </c>
      <c r="AH74" s="662">
        <f t="shared" si="16"/>
        <v>14</v>
      </c>
      <c r="AI74" s="662" t="str">
        <f t="shared" si="16"/>
        <v>-</v>
      </c>
      <c r="AJ74" s="662" t="str">
        <f t="shared" si="16"/>
        <v>-</v>
      </c>
      <c r="AK74" s="665"/>
    </row>
    <row r="75">
      <c r="A75" s="101"/>
      <c r="B75" s="102"/>
      <c r="C75" s="109"/>
      <c r="D75" s="109"/>
      <c r="E75" s="112" t="s">
        <v>348</v>
      </c>
      <c r="F75" s="657" t="s">
        <v>114</v>
      </c>
      <c r="G75" s="659" t="s">
        <v>60</v>
      </c>
      <c r="H75" s="668">
        <f>R38</f>
        <v>-0.01334601619</v>
      </c>
      <c r="I75" s="669" t="s">
        <v>165</v>
      </c>
      <c r="J75" s="669" t="s">
        <v>165</v>
      </c>
      <c r="K75" s="669" t="s">
        <v>165</v>
      </c>
      <c r="L75" s="669" t="s">
        <v>165</v>
      </c>
      <c r="M75" s="669" t="s">
        <v>165</v>
      </c>
      <c r="N75" s="669" t="s">
        <v>165</v>
      </c>
      <c r="O75" s="669" t="s">
        <v>165</v>
      </c>
      <c r="P75" s="669" t="s">
        <v>165</v>
      </c>
      <c r="Q75" s="669" t="s">
        <v>165</v>
      </c>
      <c r="R75" s="669" t="s">
        <v>165</v>
      </c>
      <c r="S75" s="669" t="s">
        <v>165</v>
      </c>
      <c r="T75" s="669" t="s">
        <v>165</v>
      </c>
      <c r="U75" s="669" t="s">
        <v>165</v>
      </c>
      <c r="V75" s="669" t="s">
        <v>165</v>
      </c>
      <c r="W75" s="669" t="s">
        <v>165</v>
      </c>
      <c r="X75" s="669" t="s">
        <v>165</v>
      </c>
      <c r="Y75" s="669" t="s">
        <v>165</v>
      </c>
      <c r="Z75" s="669" t="s">
        <v>165</v>
      </c>
      <c r="AA75" s="669" t="s">
        <v>165</v>
      </c>
      <c r="AB75" s="669" t="s">
        <v>165</v>
      </c>
      <c r="AC75" s="669" t="s">
        <v>165</v>
      </c>
      <c r="AD75" s="669" t="s">
        <v>165</v>
      </c>
      <c r="AE75" s="669" t="s">
        <v>165</v>
      </c>
      <c r="AF75" s="669" t="s">
        <v>165</v>
      </c>
      <c r="AG75" s="669" t="s">
        <v>165</v>
      </c>
      <c r="AH75" s="669" t="s">
        <v>165</v>
      </c>
      <c r="AI75" s="669" t="s">
        <v>165</v>
      </c>
      <c r="AJ75" s="669" t="s">
        <v>165</v>
      </c>
      <c r="AK75" s="670"/>
    </row>
    <row r="76">
      <c r="A76" s="101"/>
      <c r="B76" s="102"/>
      <c r="C76" s="109"/>
      <c r="D76" s="109"/>
      <c r="E76" s="131" t="s">
        <v>352</v>
      </c>
      <c r="F76" s="657" t="s">
        <v>112</v>
      </c>
      <c r="G76" s="659" t="s">
        <v>164</v>
      </c>
      <c r="H76" s="277" t="s">
        <v>165</v>
      </c>
      <c r="I76" s="218">
        <f t="shared" ref="I76:AJ76" si="17">IFERROR(I74*$H75,"-")</f>
        <v>-0.1601521943</v>
      </c>
      <c r="J76" s="218">
        <f t="shared" si="17"/>
        <v>-0.1734982105</v>
      </c>
      <c r="K76" s="218">
        <f t="shared" si="17"/>
        <v>-0.2001902429</v>
      </c>
      <c r="L76" s="218">
        <f t="shared" si="17"/>
        <v>-0.3069583725</v>
      </c>
      <c r="M76" s="218" t="str">
        <f t="shared" si="17"/>
        <v>-</v>
      </c>
      <c r="N76" s="218">
        <f t="shared" si="17"/>
        <v>-0.1468061781</v>
      </c>
      <c r="O76" s="218">
        <f t="shared" si="17"/>
        <v>-0.2936123563</v>
      </c>
      <c r="P76" s="218">
        <f t="shared" si="17"/>
        <v>-0.3336504048</v>
      </c>
      <c r="Q76" s="218" t="str">
        <f t="shared" si="17"/>
        <v>-</v>
      </c>
      <c r="R76" s="218" t="str">
        <f t="shared" si="17"/>
        <v>-</v>
      </c>
      <c r="S76" s="218" t="str">
        <f t="shared" si="17"/>
        <v>-</v>
      </c>
      <c r="T76" s="218" t="str">
        <f t="shared" si="17"/>
        <v>-</v>
      </c>
      <c r="U76" s="218" t="str">
        <f t="shared" si="17"/>
        <v>-</v>
      </c>
      <c r="V76" s="218" t="str">
        <f t="shared" si="17"/>
        <v>-</v>
      </c>
      <c r="W76" s="218" t="str">
        <f t="shared" si="17"/>
        <v>-</v>
      </c>
      <c r="X76" s="218" t="str">
        <f t="shared" si="17"/>
        <v>-</v>
      </c>
      <c r="Y76" s="218" t="str">
        <f t="shared" si="17"/>
        <v>-</v>
      </c>
      <c r="Z76" s="218" t="str">
        <f t="shared" si="17"/>
        <v>-</v>
      </c>
      <c r="AA76" s="218" t="str">
        <f t="shared" si="17"/>
        <v>-</v>
      </c>
      <c r="AB76" s="218" t="str">
        <f t="shared" si="17"/>
        <v>-</v>
      </c>
      <c r="AC76" s="218" t="str">
        <f t="shared" si="17"/>
        <v>-</v>
      </c>
      <c r="AD76" s="218" t="str">
        <f t="shared" si="17"/>
        <v>-</v>
      </c>
      <c r="AE76" s="218" t="str">
        <f t="shared" si="17"/>
        <v>-</v>
      </c>
      <c r="AF76" s="218" t="str">
        <f t="shared" si="17"/>
        <v>-</v>
      </c>
      <c r="AG76" s="218" t="str">
        <f t="shared" si="17"/>
        <v>-</v>
      </c>
      <c r="AH76" s="218">
        <f t="shared" si="17"/>
        <v>-0.1868442267</v>
      </c>
      <c r="AI76" s="218" t="str">
        <f t="shared" si="17"/>
        <v>-</v>
      </c>
      <c r="AJ76" s="218" t="str">
        <f t="shared" si="17"/>
        <v>-</v>
      </c>
      <c r="AK76" s="227"/>
    </row>
    <row r="77">
      <c r="A77" s="101"/>
      <c r="B77" s="102"/>
      <c r="C77" s="109"/>
      <c r="D77" s="109"/>
      <c r="E77" s="190" t="s">
        <v>356</v>
      </c>
      <c r="F77" s="192" t="s">
        <v>112</v>
      </c>
      <c r="G77" s="196" t="s">
        <v>164</v>
      </c>
      <c r="H77" s="235" t="s">
        <v>165</v>
      </c>
      <c r="I77" s="233">
        <f t="shared" ref="I77:AJ77" si="18">IFERROR(I71*(1+I76),"-")</f>
        <v>0.2057627124</v>
      </c>
      <c r="J77" s="233">
        <f t="shared" si="18"/>
        <v>0.2892756263</v>
      </c>
      <c r="K77" s="233">
        <f t="shared" si="18"/>
        <v>0.1919543417</v>
      </c>
      <c r="L77" s="233">
        <f t="shared" si="18"/>
        <v>0.4227553928</v>
      </c>
      <c r="M77" s="233" t="str">
        <f t="shared" si="18"/>
        <v>-</v>
      </c>
      <c r="N77" s="233">
        <f t="shared" si="18"/>
        <v>0.07678744397</v>
      </c>
      <c r="O77" s="233">
        <f t="shared" si="18"/>
        <v>0.2966828104</v>
      </c>
      <c r="P77" s="233">
        <f t="shared" si="18"/>
        <v>0.5137555379</v>
      </c>
      <c r="Q77" s="233" t="str">
        <f t="shared" si="18"/>
        <v>-</v>
      </c>
      <c r="R77" s="233" t="str">
        <f t="shared" si="18"/>
        <v>-</v>
      </c>
      <c r="S77" s="233" t="str">
        <f t="shared" si="18"/>
        <v>-</v>
      </c>
      <c r="T77" s="233" t="str">
        <f t="shared" si="18"/>
        <v>-</v>
      </c>
      <c r="U77" s="233" t="str">
        <f t="shared" si="18"/>
        <v>-</v>
      </c>
      <c r="V77" s="233" t="str">
        <f t="shared" si="18"/>
        <v>-</v>
      </c>
      <c r="W77" s="233" t="str">
        <f t="shared" si="18"/>
        <v>-</v>
      </c>
      <c r="X77" s="233" t="str">
        <f t="shared" si="18"/>
        <v>-</v>
      </c>
      <c r="Y77" s="233" t="str">
        <f t="shared" si="18"/>
        <v>-</v>
      </c>
      <c r="Z77" s="233" t="str">
        <f t="shared" si="18"/>
        <v>-</v>
      </c>
      <c r="AA77" s="233" t="str">
        <f t="shared" si="18"/>
        <v>-</v>
      </c>
      <c r="AB77" s="233" t="str">
        <f t="shared" si="18"/>
        <v>-</v>
      </c>
      <c r="AC77" s="233" t="str">
        <f t="shared" si="18"/>
        <v>-</v>
      </c>
      <c r="AD77" s="233" t="str">
        <f t="shared" si="18"/>
        <v>-</v>
      </c>
      <c r="AE77" s="233" t="str">
        <f t="shared" si="18"/>
        <v>-</v>
      </c>
      <c r="AF77" s="233" t="str">
        <f t="shared" si="18"/>
        <v>-</v>
      </c>
      <c r="AG77" s="233" t="str">
        <f t="shared" si="18"/>
        <v>-</v>
      </c>
      <c r="AH77" s="233">
        <f t="shared" si="18"/>
        <v>0.2276836165</v>
      </c>
      <c r="AI77" s="233" t="str">
        <f t="shared" si="18"/>
        <v>-</v>
      </c>
      <c r="AJ77" s="233" t="str">
        <f t="shared" si="18"/>
        <v>-</v>
      </c>
      <c r="AK77" s="239"/>
    </row>
    <row r="78">
      <c r="A78" s="101"/>
      <c r="B78" s="102"/>
      <c r="C78" s="109"/>
      <c r="D78" s="109"/>
      <c r="E78" s="131"/>
      <c r="F78" s="104"/>
      <c r="G78" s="110"/>
      <c r="H78" s="105"/>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7"/>
    </row>
    <row r="79">
      <c r="A79" s="101"/>
      <c r="B79" s="102"/>
      <c r="C79" s="109" t="s">
        <v>361</v>
      </c>
      <c r="F79" s="132"/>
      <c r="G79" s="133"/>
      <c r="H79" s="302"/>
      <c r="I79" s="303"/>
      <c r="J79" s="303"/>
      <c r="K79" s="303"/>
      <c r="L79" s="303"/>
      <c r="M79" s="303"/>
      <c r="N79" s="303"/>
      <c r="O79" s="303"/>
      <c r="P79" s="303"/>
      <c r="Q79" s="303"/>
      <c r="R79" s="303"/>
      <c r="S79" s="303"/>
      <c r="T79" s="303"/>
      <c r="U79" s="303"/>
      <c r="V79" s="303"/>
      <c r="W79" s="303"/>
      <c r="X79" s="303"/>
      <c r="Y79" s="303"/>
      <c r="Z79" s="303"/>
      <c r="AA79" s="303"/>
      <c r="AB79" s="303"/>
      <c r="AC79" s="303"/>
      <c r="AD79" s="303"/>
      <c r="AE79" s="303"/>
      <c r="AF79" s="303"/>
      <c r="AG79" s="303"/>
      <c r="AH79" s="303"/>
      <c r="AI79" s="303"/>
      <c r="AJ79" s="303"/>
      <c r="AK79" s="305"/>
    </row>
    <row r="80">
      <c r="A80" s="101"/>
      <c r="B80" s="102"/>
      <c r="C80" s="109"/>
      <c r="D80" s="102"/>
      <c r="E80" s="246" t="s">
        <v>313</v>
      </c>
      <c r="F80" s="121" t="str">
        <f>Inputs!F86</f>
        <v>%</v>
      </c>
      <c r="G80" s="673" t="str">
        <f>Inputs!G86</f>
        <v>input</v>
      </c>
      <c r="H80" s="674" t="str">
        <f>Inputs!H86</f>
        <v>-</v>
      </c>
      <c r="I80" s="675">
        <f>Inputs!I86</f>
        <v>0.3068667</v>
      </c>
      <c r="J80" s="675">
        <f>Inputs!J86</f>
        <v>0.3083889</v>
      </c>
      <c r="K80" s="675">
        <f>Inputs!K86</f>
        <v>0.3005</v>
      </c>
      <c r="L80" s="675">
        <f>Inputs!L86</f>
        <v>0.328</v>
      </c>
      <c r="M80" s="675">
        <f>Inputs!M86</f>
        <v>0.2774778</v>
      </c>
      <c r="N80" s="675">
        <f>Inputs!N86</f>
        <v>0.3636778</v>
      </c>
      <c r="O80" s="675">
        <f>Inputs!O86</f>
        <v>0.2654</v>
      </c>
      <c r="P80" s="675">
        <f>Inputs!P86</f>
        <v>0.3055222</v>
      </c>
      <c r="Q80" s="675">
        <f>Inputs!Q86</f>
        <v>0.3227778</v>
      </c>
      <c r="R80" s="446" t="str">
        <f>Inputs!R86</f>
        <v>-</v>
      </c>
      <c r="S80" s="446" t="str">
        <f>Inputs!S86</f>
        <v>-</v>
      </c>
      <c r="T80" s="446" t="str">
        <f>Inputs!T86</f>
        <v>-</v>
      </c>
      <c r="U80" s="446" t="str">
        <f>Inputs!U86</f>
        <v>-</v>
      </c>
      <c r="V80" s="446" t="str">
        <f>Inputs!V86</f>
        <v>-</v>
      </c>
      <c r="W80" s="446" t="str">
        <f>Inputs!W86</f>
        <v>-</v>
      </c>
      <c r="X80" s="446" t="str">
        <f>Inputs!X86</f>
        <v>-</v>
      </c>
      <c r="Y80" s="446" t="str">
        <f>Inputs!Y86</f>
        <v>-</v>
      </c>
      <c r="Z80" s="446" t="str">
        <f>Inputs!Z86</f>
        <v>-</v>
      </c>
      <c r="AA80" s="446" t="str">
        <f>Inputs!AA86</f>
        <v>-</v>
      </c>
      <c r="AB80" s="446" t="str">
        <f>Inputs!AB86</f>
        <v>-</v>
      </c>
      <c r="AC80" s="446" t="str">
        <f>Inputs!AC86</f>
        <v>-</v>
      </c>
      <c r="AD80" s="446" t="str">
        <f>Inputs!AD86</f>
        <v>-</v>
      </c>
      <c r="AE80" s="446" t="str">
        <f>Inputs!AE86</f>
        <v>-</v>
      </c>
      <c r="AF80" s="446" t="str">
        <f>Inputs!AF86</f>
        <v>-</v>
      </c>
      <c r="AG80" s="675">
        <f>Inputs!AG86</f>
        <v>0.2644151</v>
      </c>
      <c r="AH80" s="675">
        <f>Inputs!AH86</f>
        <v>0.2928463</v>
      </c>
      <c r="AI80" s="675">
        <f>Inputs!AI86</f>
        <v>0.2635964</v>
      </c>
      <c r="AJ80" s="675">
        <f>Inputs!AJ86</f>
        <v>0.2343924</v>
      </c>
      <c r="AK80" s="679"/>
    </row>
    <row r="81">
      <c r="A81" s="101"/>
      <c r="B81" s="102"/>
      <c r="C81" s="102"/>
      <c r="D81" s="102"/>
      <c r="E81" s="131"/>
      <c r="F81" s="132"/>
      <c r="G81" s="238"/>
      <c r="H81" s="240"/>
      <c r="I81" s="106"/>
      <c r="J81" s="106"/>
      <c r="K81" s="106"/>
      <c r="L81" s="106"/>
      <c r="M81" s="323"/>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7"/>
    </row>
    <row r="82">
      <c r="A82" s="101"/>
      <c r="B82" s="102"/>
      <c r="C82" s="109" t="s">
        <v>316</v>
      </c>
      <c r="F82" s="132"/>
      <c r="G82" s="133"/>
      <c r="H82" s="243"/>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5"/>
    </row>
    <row r="83">
      <c r="A83" s="101"/>
      <c r="B83" s="102"/>
      <c r="C83" s="102"/>
      <c r="D83" s="208"/>
      <c r="E83" s="112" t="s">
        <v>317</v>
      </c>
      <c r="F83" s="114" t="str">
        <f>Inputs!F89</f>
        <v>%</v>
      </c>
      <c r="G83" s="148" t="str">
        <f>Inputs!G89</f>
        <v>input</v>
      </c>
      <c r="H83" s="247" t="str">
        <f>Inputs!H89</f>
        <v>-</v>
      </c>
      <c r="I83" s="161">
        <f>Inputs!I89</f>
        <v>0.25</v>
      </c>
      <c r="J83" s="161">
        <f>Inputs!J89</f>
        <v>0.5</v>
      </c>
      <c r="K83" s="161">
        <f>Inputs!K89</f>
        <v>0.5</v>
      </c>
      <c r="L83" s="161">
        <f>Inputs!L89</f>
        <v>0.5</v>
      </c>
      <c r="M83" s="161">
        <f>Inputs!M89</f>
        <v>0</v>
      </c>
      <c r="N83" s="161">
        <f>Inputs!N89</f>
        <v>0.5</v>
      </c>
      <c r="O83" s="161">
        <f>Inputs!O89</f>
        <v>0.5</v>
      </c>
      <c r="P83" s="161">
        <f>Inputs!P89</f>
        <v>0.25</v>
      </c>
      <c r="Q83" s="161">
        <f>Inputs!Q89</f>
        <v>0</v>
      </c>
      <c r="R83" s="161" t="str">
        <f>Inputs!R89</f>
        <v>-</v>
      </c>
      <c r="S83" s="161" t="str">
        <f>Inputs!S89</f>
        <v>-</v>
      </c>
      <c r="T83" s="161" t="str">
        <f>Inputs!T89</f>
        <v>-</v>
      </c>
      <c r="U83" s="161" t="str">
        <f>Inputs!U89</f>
        <v>-</v>
      </c>
      <c r="V83" s="161" t="str">
        <f>Inputs!V89</f>
        <v>-</v>
      </c>
      <c r="W83" s="161" t="str">
        <f>Inputs!W89</f>
        <v>-</v>
      </c>
      <c r="X83" s="161" t="str">
        <f>Inputs!X89</f>
        <v>-</v>
      </c>
      <c r="Y83" s="161" t="str">
        <f>Inputs!Y89</f>
        <v>-</v>
      </c>
      <c r="Z83" s="161" t="str">
        <f>Inputs!Z89</f>
        <v>-</v>
      </c>
      <c r="AA83" s="161" t="str">
        <f>Inputs!AA89</f>
        <v>-</v>
      </c>
      <c r="AB83" s="161" t="str">
        <f>Inputs!AB89</f>
        <v>-</v>
      </c>
      <c r="AC83" s="161" t="str">
        <f>Inputs!AC89</f>
        <v>-</v>
      </c>
      <c r="AD83" s="161" t="str">
        <f>Inputs!AD89</f>
        <v>-</v>
      </c>
      <c r="AE83" s="161" t="str">
        <f>Inputs!AE89</f>
        <v>-</v>
      </c>
      <c r="AF83" s="161" t="str">
        <f>Inputs!AF89</f>
        <v>-</v>
      </c>
      <c r="AG83" s="161">
        <f>Inputs!AG89</f>
        <v>0</v>
      </c>
      <c r="AH83" s="161">
        <f>Inputs!AH89</f>
        <v>0.25</v>
      </c>
      <c r="AI83" s="161">
        <f>Inputs!AI89</f>
        <v>0</v>
      </c>
      <c r="AJ83" s="161">
        <f>Inputs!AJ89</f>
        <v>0</v>
      </c>
      <c r="AK83" s="264"/>
    </row>
    <row r="84">
      <c r="A84" s="101"/>
      <c r="B84" s="102"/>
      <c r="C84" s="130"/>
      <c r="D84" s="130"/>
      <c r="E84" s="190" t="s">
        <v>318</v>
      </c>
      <c r="F84" s="176" t="str">
        <f>Inputs!F90</f>
        <v>%</v>
      </c>
      <c r="G84" s="234" t="str">
        <f>Inputs!G90</f>
        <v>input</v>
      </c>
      <c r="H84" s="179" t="str">
        <f>Inputs!H90</f>
        <v>-</v>
      </c>
      <c r="I84" s="236">
        <f>Inputs!I90</f>
        <v>0.75</v>
      </c>
      <c r="J84" s="236">
        <f>Inputs!J90</f>
        <v>0.5</v>
      </c>
      <c r="K84" s="236">
        <f>Inputs!K90</f>
        <v>0.5</v>
      </c>
      <c r="L84" s="236">
        <f>Inputs!L90</f>
        <v>0.5</v>
      </c>
      <c r="M84" s="236">
        <f>Inputs!M90</f>
        <v>1</v>
      </c>
      <c r="N84" s="236">
        <f>Inputs!N90</f>
        <v>0.5</v>
      </c>
      <c r="O84" s="236">
        <f>Inputs!O90</f>
        <v>0.5</v>
      </c>
      <c r="P84" s="236">
        <f>Inputs!P90</f>
        <v>0.75</v>
      </c>
      <c r="Q84" s="236">
        <f>Inputs!Q90</f>
        <v>1</v>
      </c>
      <c r="R84" s="236" t="str">
        <f>Inputs!R90</f>
        <v>-</v>
      </c>
      <c r="S84" s="236" t="str">
        <f>Inputs!S90</f>
        <v>-</v>
      </c>
      <c r="T84" s="236" t="str">
        <f>Inputs!T90</f>
        <v>-</v>
      </c>
      <c r="U84" s="236" t="str">
        <f>Inputs!U90</f>
        <v>-</v>
      </c>
      <c r="V84" s="236" t="str">
        <f>Inputs!V90</f>
        <v>-</v>
      </c>
      <c r="W84" s="236" t="str">
        <f>Inputs!W90</f>
        <v>-</v>
      </c>
      <c r="X84" s="236" t="str">
        <f>Inputs!X90</f>
        <v>-</v>
      </c>
      <c r="Y84" s="236" t="str">
        <f>Inputs!Y90</f>
        <v>-</v>
      </c>
      <c r="Z84" s="236" t="str">
        <f>Inputs!Z90</f>
        <v>-</v>
      </c>
      <c r="AA84" s="236" t="str">
        <f>Inputs!AA90</f>
        <v>-</v>
      </c>
      <c r="AB84" s="236" t="str">
        <f>Inputs!AB90</f>
        <v>-</v>
      </c>
      <c r="AC84" s="236" t="str">
        <f>Inputs!AC90</f>
        <v>-</v>
      </c>
      <c r="AD84" s="236" t="str">
        <f>Inputs!AD90</f>
        <v>-</v>
      </c>
      <c r="AE84" s="236" t="str">
        <f>Inputs!AE90</f>
        <v>-</v>
      </c>
      <c r="AF84" s="236" t="str">
        <f>Inputs!AF90</f>
        <v>-</v>
      </c>
      <c r="AG84" s="236">
        <f>Inputs!AG90</f>
        <v>1</v>
      </c>
      <c r="AH84" s="236">
        <f>Inputs!AH90</f>
        <v>0.75</v>
      </c>
      <c r="AI84" s="236">
        <f>Inputs!AI90</f>
        <v>1</v>
      </c>
      <c r="AJ84" s="236">
        <f>Inputs!AJ90</f>
        <v>1</v>
      </c>
      <c r="AK84" s="237"/>
    </row>
    <row r="85">
      <c r="A85" s="101"/>
      <c r="B85" s="102"/>
      <c r="C85" s="130"/>
      <c r="D85" s="130"/>
      <c r="E85" s="131"/>
      <c r="F85" s="651"/>
      <c r="G85" s="618"/>
      <c r="H85" s="135"/>
      <c r="I85" s="140"/>
      <c r="J85" s="140"/>
      <c r="K85" s="140"/>
      <c r="L85" s="140"/>
      <c r="M85" s="244"/>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1"/>
    </row>
    <row r="86">
      <c r="A86" s="101"/>
      <c r="B86" s="102"/>
      <c r="C86" s="130" t="s">
        <v>380</v>
      </c>
      <c r="G86" s="618"/>
      <c r="H86" s="135"/>
      <c r="I86" s="140"/>
      <c r="J86" s="140"/>
      <c r="K86" s="140"/>
      <c r="L86" s="140"/>
      <c r="M86" s="244"/>
      <c r="N86" s="140"/>
      <c r="O86" s="140"/>
      <c r="P86" s="140"/>
      <c r="Q86" s="140"/>
      <c r="R86" s="140"/>
      <c r="S86" s="140"/>
      <c r="T86" s="140"/>
      <c r="U86" s="140"/>
      <c r="V86" s="140"/>
      <c r="W86" s="140"/>
      <c r="X86" s="140"/>
      <c r="Y86" s="140"/>
      <c r="Z86" s="140"/>
      <c r="AA86" s="140"/>
      <c r="AB86" s="140"/>
      <c r="AC86" s="140"/>
      <c r="AD86" s="140"/>
      <c r="AE86" s="140"/>
      <c r="AF86" s="140"/>
      <c r="AG86" s="140"/>
      <c r="AH86" s="140"/>
      <c r="AI86" s="140"/>
      <c r="AJ86" s="140"/>
      <c r="AK86" s="141"/>
    </row>
    <row r="87">
      <c r="A87" s="101"/>
      <c r="B87" s="102"/>
      <c r="C87" s="130"/>
      <c r="D87" s="130"/>
      <c r="E87" s="246" t="s">
        <v>381</v>
      </c>
      <c r="F87" s="121" t="s">
        <v>112</v>
      </c>
      <c r="G87" s="280" t="s">
        <v>164</v>
      </c>
      <c r="H87" s="281" t="s">
        <v>165</v>
      </c>
      <c r="I87" s="290">
        <f t="shared" ref="I87:AJ87" si="19">IFERROR(SUMPRODUCT({I77,I80},{I83,I84}),"-")</f>
        <v>0.2815907031</v>
      </c>
      <c r="J87" s="290">
        <f t="shared" si="19"/>
        <v>0.2988322632</v>
      </c>
      <c r="K87" s="290">
        <f t="shared" si="19"/>
        <v>0.2462271709</v>
      </c>
      <c r="L87" s="290">
        <f t="shared" si="19"/>
        <v>0.3753776964</v>
      </c>
      <c r="M87" s="290">
        <f t="shared" si="19"/>
        <v>0.2774778</v>
      </c>
      <c r="N87" s="290">
        <f t="shared" si="19"/>
        <v>0.220232622</v>
      </c>
      <c r="O87" s="290">
        <f t="shared" si="19"/>
        <v>0.2810414052</v>
      </c>
      <c r="P87" s="290">
        <f t="shared" si="19"/>
        <v>0.3575805345</v>
      </c>
      <c r="Q87" s="290">
        <f t="shared" si="19"/>
        <v>0.3227778</v>
      </c>
      <c r="R87" s="290">
        <f t="shared" si="19"/>
        <v>0</v>
      </c>
      <c r="S87" s="290">
        <f t="shared" si="19"/>
        <v>0</v>
      </c>
      <c r="T87" s="290">
        <f t="shared" si="19"/>
        <v>0</v>
      </c>
      <c r="U87" s="290">
        <f t="shared" si="19"/>
        <v>0</v>
      </c>
      <c r="V87" s="290">
        <f t="shared" si="19"/>
        <v>0</v>
      </c>
      <c r="W87" s="290">
        <f t="shared" si="19"/>
        <v>0</v>
      </c>
      <c r="X87" s="290">
        <f t="shared" si="19"/>
        <v>0</v>
      </c>
      <c r="Y87" s="290">
        <f t="shared" si="19"/>
        <v>0</v>
      </c>
      <c r="Z87" s="290">
        <f t="shared" si="19"/>
        <v>0</v>
      </c>
      <c r="AA87" s="290">
        <f t="shared" si="19"/>
        <v>0</v>
      </c>
      <c r="AB87" s="290">
        <f t="shared" si="19"/>
        <v>0</v>
      </c>
      <c r="AC87" s="290">
        <f t="shared" si="19"/>
        <v>0</v>
      </c>
      <c r="AD87" s="290">
        <f t="shared" si="19"/>
        <v>0</v>
      </c>
      <c r="AE87" s="290">
        <f t="shared" si="19"/>
        <v>0</v>
      </c>
      <c r="AF87" s="290">
        <f t="shared" si="19"/>
        <v>0</v>
      </c>
      <c r="AG87" s="290">
        <f t="shared" si="19"/>
        <v>0.2644151</v>
      </c>
      <c r="AH87" s="290">
        <f t="shared" si="19"/>
        <v>0.2765556291</v>
      </c>
      <c r="AI87" s="290">
        <f t="shared" si="19"/>
        <v>0.2635964</v>
      </c>
      <c r="AJ87" s="290">
        <f t="shared" si="19"/>
        <v>0.2343924</v>
      </c>
      <c r="AK87" s="686"/>
    </row>
    <row r="88">
      <c r="A88" s="101"/>
      <c r="B88" s="102"/>
      <c r="C88" s="130"/>
      <c r="D88" s="130"/>
      <c r="E88" s="131"/>
      <c r="F88" s="132"/>
      <c r="G88" s="133"/>
      <c r="H88" s="135"/>
      <c r="I88" s="137"/>
      <c r="J88" s="137"/>
      <c r="K88" s="137"/>
      <c r="L88" s="137"/>
      <c r="M88" s="137"/>
      <c r="N88" s="137"/>
      <c r="O88" s="137"/>
      <c r="P88" s="137"/>
      <c r="Q88" s="137"/>
      <c r="R88" s="137"/>
      <c r="S88" s="137"/>
      <c r="T88" s="137"/>
      <c r="U88" s="137"/>
      <c r="V88" s="137"/>
      <c r="W88" s="137"/>
      <c r="X88" s="137"/>
      <c r="Y88" s="137"/>
      <c r="Z88" s="137"/>
      <c r="AA88" s="137"/>
      <c r="AB88" s="137"/>
      <c r="AC88" s="137"/>
      <c r="AD88" s="137"/>
      <c r="AE88" s="140"/>
      <c r="AF88" s="140"/>
      <c r="AG88" s="140"/>
      <c r="AH88" s="140"/>
      <c r="AI88" s="140"/>
      <c r="AJ88" s="140"/>
      <c r="AK88" s="141"/>
    </row>
    <row r="89">
      <c r="A89" s="99" t="s">
        <v>391</v>
      </c>
      <c r="B89" s="12"/>
      <c r="C89" s="12"/>
      <c r="D89" s="12"/>
      <c r="E89" s="12"/>
      <c r="F89" s="12"/>
      <c r="G89" s="12"/>
      <c r="H89" s="97"/>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100"/>
    </row>
    <row r="90">
      <c r="A90" s="477"/>
      <c r="B90" s="687"/>
      <c r="C90" s="687"/>
      <c r="D90" s="687"/>
      <c r="E90" s="688"/>
      <c r="F90" s="687"/>
      <c r="G90" s="687"/>
      <c r="H90" s="512"/>
      <c r="I90" s="513"/>
      <c r="J90" s="513"/>
      <c r="K90" s="513"/>
      <c r="L90" s="513"/>
      <c r="M90" s="513"/>
      <c r="N90" s="513"/>
      <c r="O90" s="513"/>
      <c r="P90" s="513"/>
      <c r="Q90" s="513"/>
      <c r="R90" s="513"/>
      <c r="S90" s="513"/>
      <c r="T90" s="513"/>
      <c r="U90" s="513"/>
      <c r="V90" s="513"/>
      <c r="W90" s="513"/>
      <c r="X90" s="513"/>
      <c r="Y90" s="513"/>
      <c r="Z90" s="513"/>
      <c r="AA90" s="513"/>
      <c r="AB90" s="513"/>
      <c r="AC90" s="513"/>
      <c r="AD90" s="513"/>
      <c r="AE90" s="513"/>
      <c r="AF90" s="513"/>
      <c r="AG90" s="513"/>
      <c r="AH90" s="513"/>
      <c r="AI90" s="513"/>
      <c r="AJ90" s="513"/>
      <c r="AK90" s="517"/>
    </row>
    <row r="91">
      <c r="A91" s="101"/>
      <c r="B91" s="102"/>
      <c r="C91" s="130" t="s">
        <v>393</v>
      </c>
      <c r="F91" s="104"/>
      <c r="G91" s="110"/>
      <c r="H91" s="430"/>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7"/>
    </row>
    <row r="92">
      <c r="A92" s="101"/>
      <c r="B92" s="102"/>
      <c r="C92" s="130"/>
      <c r="D92" s="130"/>
      <c r="E92" s="690" t="s">
        <v>396</v>
      </c>
      <c r="F92" s="121" t="s">
        <v>112</v>
      </c>
      <c r="G92" s="673" t="s">
        <v>60</v>
      </c>
      <c r="H92" s="691" t="str">
        <f>IF(H87&lt;&gt;"-",H87,H66)</f>
        <v>-</v>
      </c>
      <c r="I92" s="675">
        <f t="shared" ref="I92:AJ92" si="20">IF(I66&lt;&gt;"-",I66,I87)</f>
        <v>0.2815907031</v>
      </c>
      <c r="J92" s="675">
        <f t="shared" si="20"/>
        <v>0.2988322632</v>
      </c>
      <c r="K92" s="675">
        <f t="shared" si="20"/>
        <v>0.2462271709</v>
      </c>
      <c r="L92" s="675">
        <f t="shared" si="20"/>
        <v>0.3753776964</v>
      </c>
      <c r="M92" s="675">
        <f t="shared" si="20"/>
        <v>0.2774778</v>
      </c>
      <c r="N92" s="675">
        <f t="shared" si="20"/>
        <v>0.220232622</v>
      </c>
      <c r="O92" s="675">
        <f t="shared" si="20"/>
        <v>0.2810414052</v>
      </c>
      <c r="P92" s="675">
        <f t="shared" si="20"/>
        <v>0.3575805345</v>
      </c>
      <c r="Q92" s="675">
        <f t="shared" si="20"/>
        <v>0.3227778</v>
      </c>
      <c r="R92" s="675">
        <f t="shared" si="20"/>
        <v>0.2336577134</v>
      </c>
      <c r="S92" s="675">
        <f t="shared" si="20"/>
        <v>0.1549361976</v>
      </c>
      <c r="T92" s="675">
        <f t="shared" si="20"/>
        <v>0.1165299887</v>
      </c>
      <c r="U92" s="675">
        <f t="shared" si="20"/>
        <v>0.1844780762</v>
      </c>
      <c r="V92" s="675">
        <f t="shared" si="20"/>
        <v>0.1123066225</v>
      </c>
      <c r="W92" s="675">
        <f t="shared" si="20"/>
        <v>0.2391250251</v>
      </c>
      <c r="X92" s="675">
        <f t="shared" si="20"/>
        <v>0.1162432311</v>
      </c>
      <c r="Y92" s="675">
        <f t="shared" si="20"/>
        <v>0.1509168139</v>
      </c>
      <c r="Z92" s="675">
        <f t="shared" si="20"/>
        <v>0.1637908643</v>
      </c>
      <c r="AA92" s="675">
        <f t="shared" si="20"/>
        <v>0.1467448798</v>
      </c>
      <c r="AB92" s="675">
        <f t="shared" si="20"/>
        <v>0.2179518963</v>
      </c>
      <c r="AC92" s="675">
        <f t="shared" si="20"/>
        <v>0.1416888891</v>
      </c>
      <c r="AD92" s="675">
        <f t="shared" si="20"/>
        <v>0.1255942684</v>
      </c>
      <c r="AE92" s="675">
        <f t="shared" si="20"/>
        <v>0.1675141661</v>
      </c>
      <c r="AF92" s="675">
        <f t="shared" si="20"/>
        <v>0.2733510639</v>
      </c>
      <c r="AG92" s="675">
        <f t="shared" si="20"/>
        <v>0.2644151</v>
      </c>
      <c r="AH92" s="675">
        <f t="shared" si="20"/>
        <v>0.2765556291</v>
      </c>
      <c r="AI92" s="675">
        <f t="shared" si="20"/>
        <v>0.2635964</v>
      </c>
      <c r="AJ92" s="675">
        <f t="shared" si="20"/>
        <v>0.2343924</v>
      </c>
      <c r="AK92" s="679"/>
    </row>
    <row r="93">
      <c r="A93" s="101"/>
      <c r="B93" s="102"/>
      <c r="C93" s="130"/>
      <c r="D93" s="130"/>
      <c r="E93" s="203"/>
      <c r="F93" s="104"/>
      <c r="G93" s="110"/>
      <c r="H93" s="430"/>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7"/>
    </row>
    <row r="94">
      <c r="A94" s="477"/>
      <c r="B94" s="687"/>
      <c r="C94" s="130" t="s">
        <v>320</v>
      </c>
      <c r="F94" s="687"/>
      <c r="G94" s="687"/>
      <c r="H94" s="512"/>
      <c r="I94" s="513"/>
      <c r="J94" s="513"/>
      <c r="K94" s="513"/>
      <c r="L94" s="513"/>
      <c r="M94" s="513"/>
      <c r="N94" s="513"/>
      <c r="O94" s="513"/>
      <c r="P94" s="513"/>
      <c r="Q94" s="513"/>
      <c r="R94" s="513"/>
      <c r="S94" s="513"/>
      <c r="T94" s="513"/>
      <c r="U94" s="513"/>
      <c r="V94" s="513"/>
      <c r="W94" s="513"/>
      <c r="X94" s="513"/>
      <c r="Y94" s="513"/>
      <c r="Z94" s="513"/>
      <c r="AA94" s="513"/>
      <c r="AB94" s="513"/>
      <c r="AC94" s="513"/>
      <c r="AD94" s="513"/>
      <c r="AE94" s="513"/>
      <c r="AF94" s="513"/>
      <c r="AG94" s="513"/>
      <c r="AH94" s="513"/>
      <c r="AI94" s="513"/>
      <c r="AJ94" s="513"/>
      <c r="AK94" s="517"/>
    </row>
    <row r="95">
      <c r="A95" s="693"/>
      <c r="B95" s="395"/>
      <c r="C95" s="395"/>
      <c r="D95" s="395"/>
      <c r="E95" s="143" t="s">
        <v>320</v>
      </c>
      <c r="F95" s="694" t="str">
        <f>Inputs!F93</f>
        <v>%</v>
      </c>
      <c r="G95" s="694" t="str">
        <f>Inputs!G93</f>
        <v>input</v>
      </c>
      <c r="H95" s="695">
        <f>Inputs!H93</f>
        <v>0.5891852</v>
      </c>
      <c r="I95" s="588" t="str">
        <f>Inputs!I93</f>
        <v>-</v>
      </c>
      <c r="J95" s="588" t="str">
        <f>Inputs!J93</f>
        <v>-</v>
      </c>
      <c r="K95" s="588" t="str">
        <f>Inputs!K93</f>
        <v>-</v>
      </c>
      <c r="L95" s="588" t="str">
        <f>Inputs!L93</f>
        <v>-</v>
      </c>
      <c r="M95" s="588" t="str">
        <f>Inputs!M93</f>
        <v>-</v>
      </c>
      <c r="N95" s="588" t="str">
        <f>Inputs!N93</f>
        <v>-</v>
      </c>
      <c r="O95" s="588" t="str">
        <f>Inputs!O93</f>
        <v>-</v>
      </c>
      <c r="P95" s="588" t="str">
        <f>Inputs!P93</f>
        <v>-</v>
      </c>
      <c r="Q95" s="588" t="str">
        <f>Inputs!Q93</f>
        <v>-</v>
      </c>
      <c r="R95" s="588" t="str">
        <f>Inputs!R93</f>
        <v>-</v>
      </c>
      <c r="S95" s="588" t="str">
        <f>Inputs!S93</f>
        <v>-</v>
      </c>
      <c r="T95" s="588" t="str">
        <f>Inputs!T93</f>
        <v>-</v>
      </c>
      <c r="U95" s="588" t="str">
        <f>Inputs!U93</f>
        <v>-</v>
      </c>
      <c r="V95" s="588" t="str">
        <f>Inputs!V93</f>
        <v>-</v>
      </c>
      <c r="W95" s="588" t="str">
        <f>Inputs!W93</f>
        <v>-</v>
      </c>
      <c r="X95" s="588" t="str">
        <f>Inputs!X93</f>
        <v>-</v>
      </c>
      <c r="Y95" s="588" t="str">
        <f>Inputs!Y93</f>
        <v>-</v>
      </c>
      <c r="Z95" s="588" t="str">
        <f>Inputs!Z93</f>
        <v>-</v>
      </c>
      <c r="AA95" s="588" t="str">
        <f>Inputs!AA93</f>
        <v>-</v>
      </c>
      <c r="AB95" s="588" t="str">
        <f>Inputs!AB93</f>
        <v>-</v>
      </c>
      <c r="AC95" s="588" t="str">
        <f>Inputs!AC93</f>
        <v>-</v>
      </c>
      <c r="AD95" s="588" t="str">
        <f>Inputs!AD93</f>
        <v>-</v>
      </c>
      <c r="AE95" s="588" t="str">
        <f>Inputs!AE93</f>
        <v>-</v>
      </c>
      <c r="AF95" s="588" t="str">
        <f>Inputs!AF93</f>
        <v>-</v>
      </c>
      <c r="AG95" s="588" t="str">
        <f>Inputs!AG93</f>
        <v>-</v>
      </c>
      <c r="AH95" s="588" t="str">
        <f>Inputs!AH93</f>
        <v>-</v>
      </c>
      <c r="AI95" s="588" t="str">
        <f>Inputs!AI93</f>
        <v>-</v>
      </c>
      <c r="AJ95" s="588" t="str">
        <f>Inputs!AJ93</f>
        <v>-</v>
      </c>
      <c r="AK95" s="696"/>
    </row>
    <row r="96">
      <c r="A96" s="693"/>
      <c r="B96" s="395"/>
      <c r="C96" s="395"/>
      <c r="D96" s="395"/>
      <c r="E96" s="610" t="s">
        <v>407</v>
      </c>
      <c r="F96" s="697" t="s">
        <v>112</v>
      </c>
      <c r="G96" s="697" t="s">
        <v>164</v>
      </c>
      <c r="H96" s="579" t="s">
        <v>165</v>
      </c>
      <c r="I96" s="698">
        <f t="shared" ref="I96:AJ96" si="21">(I92/$H95)-1</f>
        <v>-0.5220675891</v>
      </c>
      <c r="J96" s="698">
        <f t="shared" si="21"/>
        <v>-0.4928041927</v>
      </c>
      <c r="K96" s="698">
        <f t="shared" si="21"/>
        <v>-0.5820886695</v>
      </c>
      <c r="L96" s="698">
        <f t="shared" si="21"/>
        <v>-0.3628867521</v>
      </c>
      <c r="M96" s="698">
        <f t="shared" si="21"/>
        <v>-0.5290482517</v>
      </c>
      <c r="N96" s="698">
        <f t="shared" si="21"/>
        <v>-0.6262081566</v>
      </c>
      <c r="O96" s="698">
        <f t="shared" si="21"/>
        <v>-0.52299989</v>
      </c>
      <c r="P96" s="698">
        <f t="shared" si="21"/>
        <v>-0.3930931489</v>
      </c>
      <c r="Q96" s="698">
        <f t="shared" si="21"/>
        <v>-0.4521624101</v>
      </c>
      <c r="R96" s="698">
        <f t="shared" si="21"/>
        <v>-0.6034222967</v>
      </c>
      <c r="S96" s="698">
        <f t="shared" si="21"/>
        <v>-0.7370331135</v>
      </c>
      <c r="T96" s="698">
        <f t="shared" si="21"/>
        <v>-0.8022184048</v>
      </c>
      <c r="U96" s="698">
        <f t="shared" si="21"/>
        <v>-0.6868928884</v>
      </c>
      <c r="V96" s="698">
        <f t="shared" si="21"/>
        <v>-0.809386552</v>
      </c>
      <c r="W96" s="698">
        <f t="shared" si="21"/>
        <v>-0.5941428516</v>
      </c>
      <c r="X96" s="698">
        <f t="shared" si="21"/>
        <v>-0.8027051068</v>
      </c>
      <c r="Y96" s="698">
        <f t="shared" si="21"/>
        <v>-0.7438550495</v>
      </c>
      <c r="Z96" s="698">
        <f t="shared" si="21"/>
        <v>-0.722004449</v>
      </c>
      <c r="AA96" s="698">
        <f t="shared" si="21"/>
        <v>-0.750935903</v>
      </c>
      <c r="AB96" s="698">
        <f t="shared" si="21"/>
        <v>-0.6300791392</v>
      </c>
      <c r="AC96" s="698">
        <f t="shared" si="21"/>
        <v>-0.7595172297</v>
      </c>
      <c r="AD96" s="698">
        <f t="shared" si="21"/>
        <v>-0.7868339727</v>
      </c>
      <c r="AE96" s="698">
        <f t="shared" si="21"/>
        <v>-0.7156850409</v>
      </c>
      <c r="AF96" s="698">
        <f t="shared" si="21"/>
        <v>-0.5360523926</v>
      </c>
      <c r="AG96" s="698">
        <f t="shared" si="21"/>
        <v>-0.5512190394</v>
      </c>
      <c r="AH96" s="698">
        <f t="shared" si="21"/>
        <v>-0.5306134147</v>
      </c>
      <c r="AI96" s="698">
        <f t="shared" si="21"/>
        <v>-0.5526085856</v>
      </c>
      <c r="AJ96" s="698">
        <f t="shared" si="21"/>
        <v>-0.6021753432</v>
      </c>
      <c r="AK96" s="699"/>
    </row>
    <row r="97">
      <c r="A97" s="693"/>
      <c r="B97" s="395"/>
      <c r="C97" s="395"/>
      <c r="D97" s="395"/>
      <c r="E97" s="440"/>
      <c r="F97" s="700"/>
      <c r="G97" s="700"/>
      <c r="H97" s="512"/>
      <c r="I97" s="513"/>
      <c r="J97" s="513"/>
      <c r="K97" s="513"/>
      <c r="L97" s="513"/>
      <c r="M97" s="513"/>
      <c r="N97" s="513"/>
      <c r="O97" s="513"/>
      <c r="P97" s="513"/>
      <c r="Q97" s="513"/>
      <c r="R97" s="513"/>
      <c r="S97" s="513"/>
      <c r="T97" s="513"/>
      <c r="U97" s="513"/>
      <c r="V97" s="513"/>
      <c r="W97" s="513"/>
      <c r="X97" s="513"/>
      <c r="Y97" s="513"/>
      <c r="Z97" s="513"/>
      <c r="AA97" s="513"/>
      <c r="AB97" s="513"/>
      <c r="AC97" s="513"/>
      <c r="AD97" s="513"/>
      <c r="AE97" s="513"/>
      <c r="AF97" s="513"/>
      <c r="AG97" s="513"/>
      <c r="AH97" s="513"/>
      <c r="AI97" s="513"/>
      <c r="AJ97" s="513"/>
      <c r="AK97" s="517"/>
    </row>
    <row r="98">
      <c r="A98" s="99" t="s">
        <v>411</v>
      </c>
      <c r="B98" s="12"/>
      <c r="C98" s="12"/>
      <c r="D98" s="12"/>
      <c r="E98" s="12"/>
      <c r="F98" s="12"/>
      <c r="G98" s="12"/>
      <c r="H98" s="97"/>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100"/>
    </row>
    <row r="99">
      <c r="A99" s="101"/>
      <c r="B99" s="102"/>
      <c r="C99" s="130"/>
      <c r="D99" s="130"/>
      <c r="E99" s="131"/>
      <c r="F99" s="132"/>
      <c r="G99" s="133"/>
      <c r="H99" s="135"/>
      <c r="I99" s="137"/>
      <c r="J99" s="137"/>
      <c r="K99" s="137"/>
      <c r="L99" s="137"/>
      <c r="M99" s="137"/>
      <c r="N99" s="137"/>
      <c r="O99" s="137"/>
      <c r="P99" s="137"/>
      <c r="Q99" s="137"/>
      <c r="R99" s="137"/>
      <c r="S99" s="137"/>
      <c r="T99" s="137"/>
      <c r="U99" s="137"/>
      <c r="V99" s="137"/>
      <c r="W99" s="137"/>
      <c r="X99" s="137"/>
      <c r="Y99" s="137"/>
      <c r="Z99" s="137"/>
      <c r="AA99" s="137"/>
      <c r="AB99" s="137"/>
      <c r="AC99" s="137"/>
      <c r="AD99" s="137"/>
      <c r="AE99" s="140"/>
      <c r="AF99" s="140"/>
      <c r="AG99" s="140"/>
      <c r="AH99" s="140"/>
      <c r="AI99" s="140"/>
      <c r="AJ99" s="140"/>
      <c r="AK99" s="141"/>
    </row>
    <row r="100">
      <c r="A100" s="101"/>
      <c r="B100" s="102"/>
      <c r="C100" s="130" t="s">
        <v>413</v>
      </c>
      <c r="F100" s="132"/>
      <c r="G100" s="133"/>
      <c r="H100" s="135"/>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40"/>
      <c r="AF100" s="140"/>
      <c r="AG100" s="140"/>
      <c r="AH100" s="140"/>
      <c r="AI100" s="140"/>
      <c r="AJ100" s="140"/>
      <c r="AK100" s="141"/>
    </row>
    <row r="101">
      <c r="A101" s="101"/>
      <c r="B101" s="102"/>
      <c r="C101" s="130"/>
      <c r="D101" s="130"/>
      <c r="E101" s="274" t="s">
        <v>166</v>
      </c>
      <c r="F101" s="121" t="str">
        <f>'Counterfactual mortality'!F16</f>
        <v>#</v>
      </c>
      <c r="G101" s="280" t="s">
        <v>232</v>
      </c>
      <c r="H101" s="281" t="str">
        <f>'Counterfactual mortality'!H16</f>
        <v>-</v>
      </c>
      <c r="I101" s="578">
        <f>'Counterfactual mortality'!I16</f>
        <v>55675.08561</v>
      </c>
      <c r="J101" s="578">
        <f>'Counterfactual mortality'!J16</f>
        <v>32099.53363</v>
      </c>
      <c r="K101" s="578">
        <f>'Counterfactual mortality'!K16</f>
        <v>27922.71235</v>
      </c>
      <c r="L101" s="578">
        <f>'Counterfactual mortality'!L16</f>
        <v>77051.37004</v>
      </c>
      <c r="M101" s="578">
        <f>'Counterfactual mortality'!M16</f>
        <v>24418.11168</v>
      </c>
      <c r="N101" s="578">
        <f>'Counterfactual mortality'!N16</f>
        <v>19571.67883</v>
      </c>
      <c r="O101" s="578">
        <f>'Counterfactual mortality'!O16</f>
        <v>20147.32874</v>
      </c>
      <c r="P101" s="578">
        <f>'Counterfactual mortality'!P16</f>
        <v>56546.9829</v>
      </c>
      <c r="Q101" s="578">
        <f>'Counterfactual mortality'!Q16</f>
        <v>73558.75196</v>
      </c>
      <c r="R101" s="578">
        <f>'Counterfactual mortality'!R16</f>
        <v>7100.560343</v>
      </c>
      <c r="S101" s="578">
        <f>'Counterfactual mortality'!S16</f>
        <v>1427.143455</v>
      </c>
      <c r="T101" s="578">
        <f>'Counterfactual mortality'!T16</f>
        <v>2803.469832</v>
      </c>
      <c r="U101" s="578">
        <f>'Counterfactual mortality'!U16</f>
        <v>11950.05806</v>
      </c>
      <c r="V101" s="578">
        <f>'Counterfactual mortality'!V16</f>
        <v>3385.821759</v>
      </c>
      <c r="W101" s="578">
        <f>'Counterfactual mortality'!W16</f>
        <v>3565.593546</v>
      </c>
      <c r="X101" s="578">
        <f>'Counterfactual mortality'!X16</f>
        <v>2132.709734</v>
      </c>
      <c r="Y101" s="578">
        <f>'Counterfactual mortality'!Y16</f>
        <v>1107.794252</v>
      </c>
      <c r="Z101" s="578">
        <f>'Counterfactual mortality'!Z16</f>
        <v>3961.586308</v>
      </c>
      <c r="AA101" s="578">
        <f>'Counterfactual mortality'!AA16</f>
        <v>1438.580512</v>
      </c>
      <c r="AB101" s="578">
        <f>'Counterfactual mortality'!AB16</f>
        <v>5929.299402</v>
      </c>
      <c r="AC101" s="578">
        <f>'Counterfactual mortality'!AC16</f>
        <v>7872.921309</v>
      </c>
      <c r="AD101" s="578">
        <f>'Counterfactual mortality'!AD16</f>
        <v>1569.419843</v>
      </c>
      <c r="AE101" s="578">
        <f>'Counterfactual mortality'!AE16</f>
        <v>2966.728892</v>
      </c>
      <c r="AF101" s="578">
        <f>'Counterfactual mortality'!AF16</f>
        <v>17156.61137</v>
      </c>
      <c r="AG101" s="578">
        <f>'Counterfactual mortality'!AG16</f>
        <v>25713.81574</v>
      </c>
      <c r="AH101" s="578">
        <f>'Counterfactual mortality'!AH16</f>
        <v>45653.18917</v>
      </c>
      <c r="AI101" s="578">
        <f>'Counterfactual mortality'!AI16</f>
        <v>7129.721192</v>
      </c>
      <c r="AJ101" s="578">
        <f>'Counterfactual mortality'!AJ16</f>
        <v>37603.28873</v>
      </c>
      <c r="AK101" s="581"/>
    </row>
    <row r="102">
      <c r="A102" s="101"/>
      <c r="B102" s="102"/>
      <c r="C102" s="130"/>
      <c r="D102" s="130"/>
      <c r="E102" s="203"/>
      <c r="F102" s="132"/>
      <c r="G102" s="133"/>
      <c r="H102" s="135"/>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40"/>
      <c r="AF102" s="140"/>
      <c r="AG102" s="140"/>
      <c r="AH102" s="140"/>
      <c r="AI102" s="140"/>
      <c r="AJ102" s="140"/>
      <c r="AK102" s="141"/>
    </row>
    <row r="103">
      <c r="A103" s="101"/>
      <c r="B103" s="102"/>
      <c r="C103" s="130" t="s">
        <v>418</v>
      </c>
      <c r="F103" s="132"/>
      <c r="G103" s="133"/>
      <c r="H103" s="135"/>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40"/>
      <c r="AF103" s="140"/>
      <c r="AG103" s="140"/>
      <c r="AH103" s="140"/>
      <c r="AI103" s="140"/>
      <c r="AJ103" s="140"/>
      <c r="AK103" s="141"/>
    </row>
    <row r="104">
      <c r="A104" s="101"/>
      <c r="B104" s="102"/>
      <c r="C104" s="130"/>
      <c r="D104" s="130"/>
      <c r="E104" s="690" t="s">
        <v>249</v>
      </c>
      <c r="F104" s="121" t="str">
        <f>'Counterfactual mortality'!F14</f>
        <v>%</v>
      </c>
      <c r="G104" s="280" t="s">
        <v>232</v>
      </c>
      <c r="H104" s="704">
        <f>'Counterfactual mortality'!H14</f>
        <v>0.53</v>
      </c>
      <c r="I104" s="493" t="str">
        <f>'Counterfactual mortality'!I14</f>
        <v/>
      </c>
      <c r="J104" s="493" t="str">
        <f>'Counterfactual mortality'!J14</f>
        <v/>
      </c>
      <c r="K104" s="493" t="str">
        <f>'Counterfactual mortality'!K14</f>
        <v/>
      </c>
      <c r="L104" s="493" t="str">
        <f>'Counterfactual mortality'!L14</f>
        <v/>
      </c>
      <c r="M104" s="493" t="str">
        <f>'Counterfactual mortality'!M14</f>
        <v>-</v>
      </c>
      <c r="N104" s="493" t="str">
        <f>'Counterfactual mortality'!N14</f>
        <v>-</v>
      </c>
      <c r="O104" s="493" t="str">
        <f>'Counterfactual mortality'!O14</f>
        <v>-</v>
      </c>
      <c r="P104" s="493" t="str">
        <f>'Counterfactual mortality'!P14</f>
        <v>-</v>
      </c>
      <c r="Q104" s="493" t="str">
        <f>'Counterfactual mortality'!Q14</f>
        <v>-</v>
      </c>
      <c r="R104" s="493" t="str">
        <f>'Counterfactual mortality'!R14</f>
        <v>-</v>
      </c>
      <c r="S104" s="493" t="str">
        <f>'Counterfactual mortality'!S14</f>
        <v>-</v>
      </c>
      <c r="T104" s="493" t="str">
        <f>'Counterfactual mortality'!T14</f>
        <v>-</v>
      </c>
      <c r="U104" s="493" t="str">
        <f>'Counterfactual mortality'!U14</f>
        <v>-</v>
      </c>
      <c r="V104" s="493" t="str">
        <f>'Counterfactual mortality'!V14</f>
        <v>-</v>
      </c>
      <c r="W104" s="493" t="str">
        <f>'Counterfactual mortality'!W14</f>
        <v>-</v>
      </c>
      <c r="X104" s="493" t="str">
        <f>'Counterfactual mortality'!X14</f>
        <v>-</v>
      </c>
      <c r="Y104" s="493" t="str">
        <f>'Counterfactual mortality'!Y14</f>
        <v>-</v>
      </c>
      <c r="Z104" s="493" t="str">
        <f>'Counterfactual mortality'!Z14</f>
        <v>-</v>
      </c>
      <c r="AA104" s="493" t="str">
        <f>'Counterfactual mortality'!AA14</f>
        <v>-</v>
      </c>
      <c r="AB104" s="493" t="str">
        <f>'Counterfactual mortality'!AB14</f>
        <v>-</v>
      </c>
      <c r="AC104" s="493" t="str">
        <f>'Counterfactual mortality'!AC14</f>
        <v>-</v>
      </c>
      <c r="AD104" s="493" t="str">
        <f>'Counterfactual mortality'!AD14</f>
        <v>-</v>
      </c>
      <c r="AE104" s="282" t="str">
        <f>'Counterfactual mortality'!AE14</f>
        <v>-</v>
      </c>
      <c r="AF104" s="282" t="str">
        <f>'Counterfactual mortality'!AF14</f>
        <v>-</v>
      </c>
      <c r="AG104" s="282" t="str">
        <f>'Counterfactual mortality'!AG14</f>
        <v>-</v>
      </c>
      <c r="AH104" s="282" t="str">
        <f>'Counterfactual mortality'!AH14</f>
        <v>-</v>
      </c>
      <c r="AI104" s="282" t="str">
        <f>'Counterfactual mortality'!AI14</f>
        <v>-</v>
      </c>
      <c r="AJ104" s="282" t="str">
        <f>'Counterfactual mortality'!AJ14</f>
        <v>-</v>
      </c>
      <c r="AK104" s="294"/>
    </row>
    <row r="105">
      <c r="A105" s="101"/>
      <c r="B105" s="102"/>
      <c r="C105" s="130"/>
      <c r="D105" s="130"/>
      <c r="E105" s="203"/>
      <c r="F105" s="132"/>
      <c r="G105" s="133"/>
      <c r="H105" s="135"/>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40"/>
      <c r="AF105" s="140"/>
      <c r="AG105" s="140"/>
      <c r="AH105" s="140"/>
      <c r="AI105" s="140"/>
      <c r="AJ105" s="140"/>
      <c r="AK105" s="141"/>
    </row>
    <row r="106">
      <c r="A106" s="101"/>
      <c r="B106" s="102"/>
      <c r="C106" s="130" t="s">
        <v>326</v>
      </c>
      <c r="F106" s="132"/>
      <c r="G106" s="133"/>
      <c r="H106" s="135"/>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40"/>
      <c r="AF106" s="140"/>
      <c r="AG106" s="140"/>
      <c r="AH106" s="140"/>
      <c r="AI106" s="140"/>
      <c r="AJ106" s="140"/>
      <c r="AK106" s="141"/>
    </row>
    <row r="107">
      <c r="A107" s="101"/>
      <c r="B107" s="102"/>
      <c r="C107" s="130"/>
      <c r="D107" s="454"/>
      <c r="E107" s="112" t="s">
        <v>327</v>
      </c>
      <c r="F107" s="114" t="str">
        <f>Inputs!F96</f>
        <v>#</v>
      </c>
      <c r="G107" s="148" t="str">
        <f>Inputs!G96</f>
        <v>input</v>
      </c>
      <c r="H107" s="253" t="str">
        <f>Inputs!H96</f>
        <v>-</v>
      </c>
      <c r="I107" s="212">
        <f>Inputs!I96</f>
        <v>2083.452176</v>
      </c>
      <c r="J107" s="212">
        <f>Inputs!J96</f>
        <v>1942.618027</v>
      </c>
      <c r="K107" s="212">
        <f>Inputs!K96</f>
        <v>188.8174766</v>
      </c>
      <c r="L107" s="212">
        <f>Inputs!L96</f>
        <v>3123.420902</v>
      </c>
      <c r="M107" s="212">
        <f>Inputs!M96</f>
        <v>995.7713051</v>
      </c>
      <c r="N107" s="212">
        <f>Inputs!N96</f>
        <v>369.2190891</v>
      </c>
      <c r="O107" s="212">
        <f>Inputs!O96</f>
        <v>1935.712929</v>
      </c>
      <c r="P107" s="212">
        <f>Inputs!P96</f>
        <v>2443.818724</v>
      </c>
      <c r="Q107" s="212">
        <f>Inputs!Q96</f>
        <v>9653.753707</v>
      </c>
      <c r="R107" s="212">
        <f>Inputs!R96</f>
        <v>73.24455414</v>
      </c>
      <c r="S107" s="212">
        <f>Inputs!S96</f>
        <v>5.309874607</v>
      </c>
      <c r="T107" s="212">
        <f>Inputs!T96</f>
        <v>17.85969748</v>
      </c>
      <c r="U107" s="212">
        <f>Inputs!U96</f>
        <v>125.4070902</v>
      </c>
      <c r="V107" s="212">
        <f>Inputs!V96</f>
        <v>18.72352073</v>
      </c>
      <c r="W107" s="212">
        <f>Inputs!W96</f>
        <v>25.16038522</v>
      </c>
      <c r="X107" s="212">
        <f>Inputs!X96</f>
        <v>11.55855753</v>
      </c>
      <c r="Y107" s="212">
        <f>Inputs!Y96</f>
        <v>4.157590193</v>
      </c>
      <c r="Z107" s="212">
        <f>Inputs!Z96</f>
        <v>15.49645298</v>
      </c>
      <c r="AA107" s="212">
        <f>Inputs!AA96</f>
        <v>12.10947664</v>
      </c>
      <c r="AB107" s="212">
        <f>Inputs!AB96</f>
        <v>50.87708862</v>
      </c>
      <c r="AC107" s="212">
        <f>Inputs!AC96</f>
        <v>55.7358234</v>
      </c>
      <c r="AD107" s="212">
        <f>Inputs!AD96</f>
        <v>6.787061154</v>
      </c>
      <c r="AE107" s="212">
        <f>Inputs!AE96</f>
        <v>9.668580475</v>
      </c>
      <c r="AF107" s="212">
        <f>Inputs!AF96</f>
        <v>168.8162065</v>
      </c>
      <c r="AG107" s="212">
        <f>Inputs!AG96</f>
        <v>931.9152524</v>
      </c>
      <c r="AH107" s="212">
        <f>Inputs!AH96</f>
        <v>2382.051646</v>
      </c>
      <c r="AI107" s="212">
        <f>Inputs!AI96</f>
        <v>48.89229568</v>
      </c>
      <c r="AJ107" s="212">
        <f>Inputs!AJ96</f>
        <v>3759.250822</v>
      </c>
      <c r="AK107" s="221"/>
    </row>
    <row r="108">
      <c r="A108" s="101"/>
      <c r="B108" s="102"/>
      <c r="C108" s="130"/>
      <c r="D108" s="454"/>
      <c r="E108" s="144" t="s">
        <v>334</v>
      </c>
      <c r="F108" s="145" t="str">
        <f>Inputs!F97</f>
        <v>#</v>
      </c>
      <c r="G108" s="217" t="str">
        <f>Inputs!G97</f>
        <v>input</v>
      </c>
      <c r="H108" s="267" t="str">
        <f>Inputs!H97</f>
        <v>-</v>
      </c>
      <c r="I108" s="225">
        <f>Inputs!I97</f>
        <v>0</v>
      </c>
      <c r="J108" s="225">
        <f>Inputs!J97</f>
        <v>0</v>
      </c>
      <c r="K108" s="225">
        <f>Inputs!K97</f>
        <v>0</v>
      </c>
      <c r="L108" s="225">
        <f>Inputs!L97</f>
        <v>213.1905408</v>
      </c>
      <c r="M108" s="225">
        <f>Inputs!M97</f>
        <v>0</v>
      </c>
      <c r="N108" s="225">
        <f>Inputs!N97</f>
        <v>0</v>
      </c>
      <c r="O108" s="225">
        <f>Inputs!O97</f>
        <v>0</v>
      </c>
      <c r="P108" s="225">
        <f>Inputs!P97</f>
        <v>0</v>
      </c>
      <c r="Q108" s="225">
        <f>Inputs!Q97</f>
        <v>0</v>
      </c>
      <c r="R108" s="225">
        <f>Inputs!R97</f>
        <v>0</v>
      </c>
      <c r="S108" s="225">
        <f>Inputs!S97</f>
        <v>0</v>
      </c>
      <c r="T108" s="225">
        <f>Inputs!T97</f>
        <v>0</v>
      </c>
      <c r="U108" s="225">
        <f>Inputs!U97</f>
        <v>0</v>
      </c>
      <c r="V108" s="225">
        <f>Inputs!V97</f>
        <v>0</v>
      </c>
      <c r="W108" s="225">
        <f>Inputs!W97</f>
        <v>0</v>
      </c>
      <c r="X108" s="225">
        <f>Inputs!X97</f>
        <v>0</v>
      </c>
      <c r="Y108" s="225">
        <f>Inputs!Y97</f>
        <v>0</v>
      </c>
      <c r="Z108" s="225">
        <f>Inputs!Z97</f>
        <v>0</v>
      </c>
      <c r="AA108" s="225">
        <f>Inputs!AA97</f>
        <v>0</v>
      </c>
      <c r="AB108" s="225">
        <f>Inputs!AB97</f>
        <v>0</v>
      </c>
      <c r="AC108" s="225">
        <f>Inputs!AC97</f>
        <v>0</v>
      </c>
      <c r="AD108" s="225">
        <f>Inputs!AD97</f>
        <v>0</v>
      </c>
      <c r="AE108" s="225">
        <f>Inputs!AE97</f>
        <v>0</v>
      </c>
      <c r="AF108" s="225">
        <f>Inputs!AF97</f>
        <v>0</v>
      </c>
      <c r="AG108" s="225">
        <f>Inputs!AG97</f>
        <v>0</v>
      </c>
      <c r="AH108" s="225">
        <f>Inputs!AH97</f>
        <v>0</v>
      </c>
      <c r="AI108" s="225">
        <f>Inputs!AI97</f>
        <v>0</v>
      </c>
      <c r="AJ108" s="225">
        <f>Inputs!AJ97</f>
        <v>0</v>
      </c>
      <c r="AK108" s="226"/>
    </row>
    <row r="109">
      <c r="A109" s="101"/>
      <c r="B109" s="102"/>
      <c r="C109" s="130"/>
      <c r="D109" s="130"/>
      <c r="E109" s="144" t="s">
        <v>337</v>
      </c>
      <c r="F109" s="145" t="str">
        <f>Inputs!F98</f>
        <v>#</v>
      </c>
      <c r="G109" s="217" t="str">
        <f>Inputs!G98</f>
        <v>input</v>
      </c>
      <c r="H109" s="267" t="str">
        <f>Inputs!H98</f>
        <v>-</v>
      </c>
      <c r="I109" s="225">
        <f>Inputs!I98</f>
        <v>0</v>
      </c>
      <c r="J109" s="225">
        <f>Inputs!J98</f>
        <v>0</v>
      </c>
      <c r="K109" s="225">
        <f>Inputs!K98</f>
        <v>0</v>
      </c>
      <c r="L109" s="225">
        <f>Inputs!L98</f>
        <v>43.47452123</v>
      </c>
      <c r="M109" s="225">
        <f>Inputs!M98</f>
        <v>0</v>
      </c>
      <c r="N109" s="225">
        <f>Inputs!N98</f>
        <v>0</v>
      </c>
      <c r="O109" s="225">
        <f>Inputs!O98</f>
        <v>0</v>
      </c>
      <c r="P109" s="225">
        <f>Inputs!P98</f>
        <v>0</v>
      </c>
      <c r="Q109" s="225">
        <f>Inputs!Q98</f>
        <v>0</v>
      </c>
      <c r="R109" s="225">
        <f>Inputs!R98</f>
        <v>0</v>
      </c>
      <c r="S109" s="225">
        <f>Inputs!S98</f>
        <v>0</v>
      </c>
      <c r="T109" s="225">
        <f>Inputs!T98</f>
        <v>0</v>
      </c>
      <c r="U109" s="225">
        <f>Inputs!U98</f>
        <v>0</v>
      </c>
      <c r="V109" s="225">
        <f>Inputs!V98</f>
        <v>0</v>
      </c>
      <c r="W109" s="225">
        <f>Inputs!W98</f>
        <v>0</v>
      </c>
      <c r="X109" s="225">
        <f>Inputs!X98</f>
        <v>0</v>
      </c>
      <c r="Y109" s="225">
        <f>Inputs!Y98</f>
        <v>0</v>
      </c>
      <c r="Z109" s="225">
        <f>Inputs!Z98</f>
        <v>0</v>
      </c>
      <c r="AA109" s="225">
        <f>Inputs!AA98</f>
        <v>0</v>
      </c>
      <c r="AB109" s="225">
        <f>Inputs!AB98</f>
        <v>0</v>
      </c>
      <c r="AC109" s="225">
        <f>Inputs!AC98</f>
        <v>0</v>
      </c>
      <c r="AD109" s="225">
        <f>Inputs!AD98</f>
        <v>0</v>
      </c>
      <c r="AE109" s="225">
        <f>Inputs!AE98</f>
        <v>0</v>
      </c>
      <c r="AF109" s="225">
        <f>Inputs!AF98</f>
        <v>0</v>
      </c>
      <c r="AG109" s="225">
        <f>Inputs!AG98</f>
        <v>0</v>
      </c>
      <c r="AH109" s="225">
        <f>Inputs!AH98</f>
        <v>0</v>
      </c>
      <c r="AI109" s="225">
        <f>Inputs!AI98</f>
        <v>0</v>
      </c>
      <c r="AJ109" s="225">
        <f>Inputs!AJ98</f>
        <v>0</v>
      </c>
      <c r="AK109" s="226"/>
    </row>
    <row r="110">
      <c r="A110" s="101"/>
      <c r="B110" s="102"/>
      <c r="C110" s="130"/>
      <c r="D110" s="130"/>
      <c r="E110" s="144" t="s">
        <v>340</v>
      </c>
      <c r="F110" s="145" t="str">
        <f>Inputs!F99</f>
        <v>#</v>
      </c>
      <c r="G110" s="217" t="str">
        <f>Inputs!G99</f>
        <v>input</v>
      </c>
      <c r="H110" s="267" t="str">
        <f>Inputs!H99</f>
        <v>-</v>
      </c>
      <c r="I110" s="225">
        <f>Inputs!I99</f>
        <v>615.9703476</v>
      </c>
      <c r="J110" s="225">
        <f>Inputs!J99</f>
        <v>528.3430129</v>
      </c>
      <c r="K110" s="225">
        <f>Inputs!K99</f>
        <v>51.67506087</v>
      </c>
      <c r="L110" s="225">
        <f>Inputs!L99</f>
        <v>940.0679784</v>
      </c>
      <c r="M110" s="225">
        <f>Inputs!M99</f>
        <v>252.3160467</v>
      </c>
      <c r="N110" s="225">
        <f>Inputs!N99</f>
        <v>111.3914527</v>
      </c>
      <c r="O110" s="225">
        <f>Inputs!O99</f>
        <v>606.3633556</v>
      </c>
      <c r="P110" s="225">
        <f>Inputs!P99</f>
        <v>674.5752946</v>
      </c>
      <c r="Q110" s="225">
        <f>Inputs!Q99</f>
        <v>2535.959019</v>
      </c>
      <c r="R110" s="225">
        <f>Inputs!R99</f>
        <v>13.73704183</v>
      </c>
      <c r="S110" s="225">
        <f>Inputs!S99</f>
        <v>1.406138079</v>
      </c>
      <c r="T110" s="225">
        <f>Inputs!T99</f>
        <v>4.423358327</v>
      </c>
      <c r="U110" s="225">
        <f>Inputs!U99</f>
        <v>27.96352296</v>
      </c>
      <c r="V110" s="225">
        <f>Inputs!V99</f>
        <v>3.76375812</v>
      </c>
      <c r="W110" s="225">
        <f>Inputs!W99</f>
        <v>5.388017886</v>
      </c>
      <c r="X110" s="225">
        <f>Inputs!X99</f>
        <v>2.585096967</v>
      </c>
      <c r="Y110" s="225">
        <f>Inputs!Y99</f>
        <v>0.8928297742</v>
      </c>
      <c r="Z110" s="225">
        <f>Inputs!Z99</f>
        <v>4.272886535</v>
      </c>
      <c r="AA110" s="225">
        <f>Inputs!AA99</f>
        <v>2.477968916</v>
      </c>
      <c r="AB110" s="225">
        <f>Inputs!AB99</f>
        <v>10.62345897</v>
      </c>
      <c r="AC110" s="225">
        <f>Inputs!AC99</f>
        <v>13.68694176</v>
      </c>
      <c r="AD110" s="225">
        <f>Inputs!AD99</f>
        <v>1.659767365</v>
      </c>
      <c r="AE110" s="225">
        <f>Inputs!AE99</f>
        <v>2.107528809</v>
      </c>
      <c r="AF110" s="225">
        <f>Inputs!AF99</f>
        <v>32.08340466</v>
      </c>
      <c r="AG110" s="225">
        <f>Inputs!AG99</f>
        <v>258.3427183</v>
      </c>
      <c r="AH110" s="225">
        <f>Inputs!AH99</f>
        <v>624.7785238</v>
      </c>
      <c r="AI110" s="225">
        <f>Inputs!AI99</f>
        <v>12.52153691</v>
      </c>
      <c r="AJ110" s="225">
        <f>Inputs!AJ99</f>
        <v>1053.356701</v>
      </c>
      <c r="AK110" s="226"/>
    </row>
    <row r="111">
      <c r="A111" s="101"/>
      <c r="B111" s="102"/>
      <c r="C111" s="130"/>
      <c r="D111" s="130"/>
      <c r="E111" s="144" t="s">
        <v>447</v>
      </c>
      <c r="F111" s="145" t="s">
        <v>101</v>
      </c>
      <c r="G111" s="217" t="s">
        <v>164</v>
      </c>
      <c r="H111" s="267" t="s">
        <v>165</v>
      </c>
      <c r="I111" s="225">
        <f t="shared" ref="I111:AJ111" si="22">I110*$H$104</f>
        <v>326.4642842</v>
      </c>
      <c r="J111" s="225">
        <f t="shared" si="22"/>
        <v>280.0217968</v>
      </c>
      <c r="K111" s="225">
        <f t="shared" si="22"/>
        <v>27.38778226</v>
      </c>
      <c r="L111" s="225">
        <f t="shared" si="22"/>
        <v>498.2360286</v>
      </c>
      <c r="M111" s="225">
        <f t="shared" si="22"/>
        <v>133.7275048</v>
      </c>
      <c r="N111" s="225">
        <f t="shared" si="22"/>
        <v>59.03746993</v>
      </c>
      <c r="O111" s="225">
        <f t="shared" si="22"/>
        <v>321.3725785</v>
      </c>
      <c r="P111" s="225">
        <f t="shared" si="22"/>
        <v>357.5249061</v>
      </c>
      <c r="Q111" s="225">
        <f t="shared" si="22"/>
        <v>1344.05828</v>
      </c>
      <c r="R111" s="225">
        <f t="shared" si="22"/>
        <v>7.28063217</v>
      </c>
      <c r="S111" s="225">
        <f t="shared" si="22"/>
        <v>0.7452531819</v>
      </c>
      <c r="T111" s="225">
        <f t="shared" si="22"/>
        <v>2.344379913</v>
      </c>
      <c r="U111" s="225">
        <f t="shared" si="22"/>
        <v>14.82066717</v>
      </c>
      <c r="V111" s="225">
        <f t="shared" si="22"/>
        <v>1.994791804</v>
      </c>
      <c r="W111" s="225">
        <f t="shared" si="22"/>
        <v>2.85564948</v>
      </c>
      <c r="X111" s="225">
        <f t="shared" si="22"/>
        <v>1.370101393</v>
      </c>
      <c r="Y111" s="225">
        <f t="shared" si="22"/>
        <v>0.4731997803</v>
      </c>
      <c r="Z111" s="225">
        <f t="shared" si="22"/>
        <v>2.264629864</v>
      </c>
      <c r="AA111" s="225">
        <f t="shared" si="22"/>
        <v>1.313323525</v>
      </c>
      <c r="AB111" s="225">
        <f t="shared" si="22"/>
        <v>5.630433254</v>
      </c>
      <c r="AC111" s="225">
        <f t="shared" si="22"/>
        <v>7.254079133</v>
      </c>
      <c r="AD111" s="225">
        <f t="shared" si="22"/>
        <v>0.8796767035</v>
      </c>
      <c r="AE111" s="225">
        <f t="shared" si="22"/>
        <v>1.116990269</v>
      </c>
      <c r="AF111" s="225">
        <f t="shared" si="22"/>
        <v>17.00420447</v>
      </c>
      <c r="AG111" s="225">
        <f t="shared" si="22"/>
        <v>136.9216407</v>
      </c>
      <c r="AH111" s="225">
        <f t="shared" si="22"/>
        <v>331.1326176</v>
      </c>
      <c r="AI111" s="225">
        <f t="shared" si="22"/>
        <v>6.636414562</v>
      </c>
      <c r="AJ111" s="225">
        <f t="shared" si="22"/>
        <v>558.2790515</v>
      </c>
      <c r="AK111" s="226"/>
    </row>
    <row r="112">
      <c r="A112" s="101"/>
      <c r="B112" s="102"/>
      <c r="C112" s="130"/>
      <c r="D112" s="130"/>
      <c r="E112" s="190" t="s">
        <v>449</v>
      </c>
      <c r="F112" s="176" t="s">
        <v>101</v>
      </c>
      <c r="G112" s="177" t="s">
        <v>164</v>
      </c>
      <c r="H112" s="276" t="s">
        <v>165</v>
      </c>
      <c r="I112" s="362">
        <f t="shared" ref="I112:AJ112" si="23">I107-SUM(I108:I109,I111)</f>
        <v>1756.987892</v>
      </c>
      <c r="J112" s="362">
        <f t="shared" si="23"/>
        <v>1662.59623</v>
      </c>
      <c r="K112" s="362">
        <f t="shared" si="23"/>
        <v>161.4296943</v>
      </c>
      <c r="L112" s="362">
        <f t="shared" si="23"/>
        <v>2368.519811</v>
      </c>
      <c r="M112" s="362">
        <f t="shared" si="23"/>
        <v>862.0438003</v>
      </c>
      <c r="N112" s="362">
        <f t="shared" si="23"/>
        <v>310.1816192</v>
      </c>
      <c r="O112" s="362">
        <f t="shared" si="23"/>
        <v>1614.340351</v>
      </c>
      <c r="P112" s="362">
        <f t="shared" si="23"/>
        <v>2086.293818</v>
      </c>
      <c r="Q112" s="362">
        <f t="shared" si="23"/>
        <v>8309.695427</v>
      </c>
      <c r="R112" s="362">
        <f t="shared" si="23"/>
        <v>65.96392197</v>
      </c>
      <c r="S112" s="362">
        <f t="shared" si="23"/>
        <v>4.564621425</v>
      </c>
      <c r="T112" s="362">
        <f t="shared" si="23"/>
        <v>15.51531757</v>
      </c>
      <c r="U112" s="362">
        <f t="shared" si="23"/>
        <v>110.586423</v>
      </c>
      <c r="V112" s="362">
        <f t="shared" si="23"/>
        <v>16.72872893</v>
      </c>
      <c r="W112" s="362">
        <f t="shared" si="23"/>
        <v>22.30473574</v>
      </c>
      <c r="X112" s="362">
        <f t="shared" si="23"/>
        <v>10.18845614</v>
      </c>
      <c r="Y112" s="362">
        <f t="shared" si="23"/>
        <v>3.684390413</v>
      </c>
      <c r="Z112" s="362">
        <f t="shared" si="23"/>
        <v>13.23182312</v>
      </c>
      <c r="AA112" s="362">
        <f t="shared" si="23"/>
        <v>10.79615311</v>
      </c>
      <c r="AB112" s="362">
        <f t="shared" si="23"/>
        <v>45.24665537</v>
      </c>
      <c r="AC112" s="362">
        <f t="shared" si="23"/>
        <v>48.48174427</v>
      </c>
      <c r="AD112" s="362">
        <f t="shared" si="23"/>
        <v>5.907384451</v>
      </c>
      <c r="AE112" s="362">
        <f t="shared" si="23"/>
        <v>8.551590206</v>
      </c>
      <c r="AF112" s="362">
        <f t="shared" si="23"/>
        <v>151.812002</v>
      </c>
      <c r="AG112" s="362">
        <f t="shared" si="23"/>
        <v>794.9936117</v>
      </c>
      <c r="AH112" s="362">
        <f t="shared" si="23"/>
        <v>2050.919028</v>
      </c>
      <c r="AI112" s="362">
        <f t="shared" si="23"/>
        <v>42.25588112</v>
      </c>
      <c r="AJ112" s="362">
        <f t="shared" si="23"/>
        <v>3200.97177</v>
      </c>
      <c r="AK112" s="371"/>
    </row>
    <row r="113">
      <c r="A113" s="101"/>
      <c r="B113" s="102"/>
      <c r="C113" s="130"/>
      <c r="D113" s="130"/>
      <c r="E113" s="131"/>
      <c r="F113" s="132"/>
      <c r="G113" s="133"/>
      <c r="H113" s="135"/>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40"/>
      <c r="AF113" s="140"/>
      <c r="AG113" s="140"/>
      <c r="AH113" s="140"/>
      <c r="AI113" s="140"/>
      <c r="AJ113" s="140"/>
      <c r="AK113" s="141"/>
    </row>
    <row r="114">
      <c r="A114" s="101"/>
      <c r="B114" s="102"/>
      <c r="C114" s="130" t="s">
        <v>347</v>
      </c>
      <c r="F114" s="132"/>
      <c r="G114" s="133"/>
      <c r="H114" s="135"/>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AD114" s="137"/>
      <c r="AE114" s="140"/>
      <c r="AF114" s="140"/>
      <c r="AG114" s="140"/>
      <c r="AH114" s="140"/>
      <c r="AI114" s="140"/>
      <c r="AJ114" s="140"/>
      <c r="AK114" s="141"/>
    </row>
    <row r="115">
      <c r="A115" s="101"/>
      <c r="B115" s="102"/>
      <c r="C115" s="130"/>
      <c r="D115" s="454"/>
      <c r="E115" s="112" t="s">
        <v>349</v>
      </c>
      <c r="F115" s="114" t="str">
        <f>Inputs!F102</f>
        <v>#</v>
      </c>
      <c r="G115" s="148" t="str">
        <f>Inputs!G102</f>
        <v>input</v>
      </c>
      <c r="H115" s="253" t="str">
        <f>Inputs!H102</f>
        <v>-</v>
      </c>
      <c r="I115" s="212">
        <f>Inputs!I102</f>
        <v>9151.731106</v>
      </c>
      <c r="J115" s="212">
        <f>Inputs!J102</f>
        <v>13471.72799</v>
      </c>
      <c r="K115" s="212">
        <f>Inputs!K102</f>
        <v>3977.855075</v>
      </c>
      <c r="L115" s="212">
        <f>Inputs!L102</f>
        <v>18979.54673</v>
      </c>
      <c r="M115" s="212">
        <f>Inputs!M102</f>
        <v>2792.805045</v>
      </c>
      <c r="N115" s="212">
        <f>Inputs!N102</f>
        <v>7847.490696</v>
      </c>
      <c r="O115" s="212">
        <f>Inputs!O102</f>
        <v>10970.43312</v>
      </c>
      <c r="P115" s="212">
        <f>Inputs!P102</f>
        <v>6474.097551</v>
      </c>
      <c r="Q115" s="212">
        <f>Inputs!Q102</f>
        <v>22975.32483</v>
      </c>
      <c r="R115" s="212">
        <f>Inputs!R102</f>
        <v>1792.518985</v>
      </c>
      <c r="S115" s="212">
        <f>Inputs!S102</f>
        <v>235.8614688</v>
      </c>
      <c r="T115" s="212">
        <f>Inputs!T102</f>
        <v>527.3843021</v>
      </c>
      <c r="U115" s="212">
        <f>Inputs!U102</f>
        <v>2598.681099</v>
      </c>
      <c r="V115" s="212">
        <f>Inputs!V102</f>
        <v>932.7184668</v>
      </c>
      <c r="W115" s="212">
        <f>Inputs!W102</f>
        <v>863.7292974</v>
      </c>
      <c r="X115" s="212">
        <f>Inputs!X102</f>
        <v>531.9093041</v>
      </c>
      <c r="Y115" s="212">
        <f>Inputs!Y102</f>
        <v>261.3046733</v>
      </c>
      <c r="Z115" s="212">
        <f>Inputs!Z102</f>
        <v>684.6036095</v>
      </c>
      <c r="AA115" s="212">
        <f>Inputs!AA102</f>
        <v>358.9317813</v>
      </c>
      <c r="AB115" s="212">
        <f>Inputs!AB102</f>
        <v>1488.494934</v>
      </c>
      <c r="AC115" s="212">
        <f>Inputs!AC102</f>
        <v>1961.576696</v>
      </c>
      <c r="AD115" s="212">
        <f>Inputs!AD102</f>
        <v>331.6713724</v>
      </c>
      <c r="AE115" s="212">
        <f>Inputs!AE102</f>
        <v>698.5771604</v>
      </c>
      <c r="AF115" s="212">
        <f>Inputs!AF102</f>
        <v>4971.836451</v>
      </c>
      <c r="AG115" s="212">
        <f>Inputs!AG102</f>
        <v>7087.81383</v>
      </c>
      <c r="AH115" s="212">
        <f>Inputs!AH102</f>
        <v>25058.80896</v>
      </c>
      <c r="AI115" s="212">
        <f>Inputs!AI102</f>
        <v>4191.828969</v>
      </c>
      <c r="AJ115" s="212">
        <f>Inputs!AJ102</f>
        <v>4492.678036</v>
      </c>
      <c r="AK115" s="221"/>
    </row>
    <row r="116">
      <c r="A116" s="101"/>
      <c r="B116" s="102"/>
      <c r="C116" s="130"/>
      <c r="D116" s="454"/>
      <c r="E116" s="144" t="s">
        <v>358</v>
      </c>
      <c r="F116" s="145" t="str">
        <f>Inputs!F103</f>
        <v>#</v>
      </c>
      <c r="G116" s="217" t="str">
        <f>Inputs!G103</f>
        <v>input</v>
      </c>
      <c r="H116" s="267" t="str">
        <f>Inputs!H103</f>
        <v>-</v>
      </c>
      <c r="I116" s="225">
        <f>Inputs!I103</f>
        <v>138.9292767</v>
      </c>
      <c r="J116" s="225">
        <f>Inputs!J103</f>
        <v>290.1973452</v>
      </c>
      <c r="K116" s="225">
        <f>Inputs!K103</f>
        <v>108.5208194</v>
      </c>
      <c r="L116" s="225">
        <f>Inputs!L103</f>
        <v>725.0958856</v>
      </c>
      <c r="M116" s="225">
        <f>Inputs!M103</f>
        <v>61.52402053</v>
      </c>
      <c r="N116" s="225">
        <f>Inputs!N103</f>
        <v>637.9846233</v>
      </c>
      <c r="O116" s="225">
        <f>Inputs!O103</f>
        <v>315.1634272</v>
      </c>
      <c r="P116" s="225">
        <f>Inputs!P103</f>
        <v>196.5409199</v>
      </c>
      <c r="Q116" s="225">
        <f>Inputs!Q103</f>
        <v>284.0441729</v>
      </c>
      <c r="R116" s="225">
        <f>Inputs!R103</f>
        <v>27.40055133</v>
      </c>
      <c r="S116" s="225">
        <f>Inputs!S103</f>
        <v>11.54580852</v>
      </c>
      <c r="T116" s="225">
        <f>Inputs!T103</f>
        <v>24.09495771</v>
      </c>
      <c r="U116" s="225">
        <f>Inputs!U103</f>
        <v>56.43793913</v>
      </c>
      <c r="V116" s="225">
        <f>Inputs!V103</f>
        <v>22.96305318</v>
      </c>
      <c r="W116" s="225">
        <f>Inputs!W103</f>
        <v>19.58391461</v>
      </c>
      <c r="X116" s="225">
        <f>Inputs!X103</f>
        <v>17.45744143</v>
      </c>
      <c r="Y116" s="225">
        <f>Inputs!Y103</f>
        <v>8.35399898</v>
      </c>
      <c r="Z116" s="225">
        <f>Inputs!Z103</f>
        <v>38.53956214</v>
      </c>
      <c r="AA116" s="225">
        <f>Inputs!AA103</f>
        <v>11.53787961</v>
      </c>
      <c r="AB116" s="225">
        <f>Inputs!AB103</f>
        <v>32.05425906</v>
      </c>
      <c r="AC116" s="225">
        <f>Inputs!AC103</f>
        <v>58.34086374</v>
      </c>
      <c r="AD116" s="225">
        <f>Inputs!AD103</f>
        <v>17.17300355</v>
      </c>
      <c r="AE116" s="225">
        <f>Inputs!AE103</f>
        <v>20.83510073</v>
      </c>
      <c r="AF116" s="225">
        <f>Inputs!AF103</f>
        <v>70.61424279</v>
      </c>
      <c r="AG116" s="225">
        <f>Inputs!AG103</f>
        <v>127.5268529</v>
      </c>
      <c r="AH116" s="225">
        <f>Inputs!AH103</f>
        <v>584.7971654</v>
      </c>
      <c r="AI116" s="225">
        <f>Inputs!AI103</f>
        <v>141.5992773</v>
      </c>
      <c r="AJ116" s="225">
        <f>Inputs!AJ103</f>
        <v>149.9941463</v>
      </c>
      <c r="AK116" s="226"/>
    </row>
    <row r="117">
      <c r="A117" s="101"/>
      <c r="B117" s="102"/>
      <c r="C117" s="130"/>
      <c r="D117" s="130"/>
      <c r="E117" s="144" t="s">
        <v>364</v>
      </c>
      <c r="F117" s="145" t="str">
        <f>Inputs!F104</f>
        <v>#</v>
      </c>
      <c r="G117" s="217" t="str">
        <f>Inputs!G104</f>
        <v>input</v>
      </c>
      <c r="H117" s="267" t="str">
        <f>Inputs!H104</f>
        <v>-</v>
      </c>
      <c r="I117" s="225">
        <f>Inputs!I104</f>
        <v>420.1399361</v>
      </c>
      <c r="J117" s="225">
        <f>Inputs!J104</f>
        <v>626.5421438</v>
      </c>
      <c r="K117" s="225">
        <f>Inputs!K104</f>
        <v>245.0759705</v>
      </c>
      <c r="L117" s="225">
        <f>Inputs!L104</f>
        <v>1156.690402</v>
      </c>
      <c r="M117" s="225">
        <f>Inputs!M104</f>
        <v>145.2444333</v>
      </c>
      <c r="N117" s="225">
        <f>Inputs!N104</f>
        <v>865.1332422</v>
      </c>
      <c r="O117" s="225">
        <f>Inputs!O104</f>
        <v>772.3839288</v>
      </c>
      <c r="P117" s="225">
        <f>Inputs!P104</f>
        <v>337.493752</v>
      </c>
      <c r="Q117" s="225">
        <f>Inputs!Q104</f>
        <v>846.965731</v>
      </c>
      <c r="R117" s="225">
        <f>Inputs!R104</f>
        <v>66.87657355</v>
      </c>
      <c r="S117" s="225">
        <f>Inputs!S104</f>
        <v>14.23559134</v>
      </c>
      <c r="T117" s="225">
        <f>Inputs!T104</f>
        <v>32.27285513</v>
      </c>
      <c r="U117" s="225">
        <f>Inputs!U104</f>
        <v>116.4531636</v>
      </c>
      <c r="V117" s="225">
        <f>Inputs!V104</f>
        <v>43.09390723</v>
      </c>
      <c r="W117" s="225">
        <f>Inputs!W104</f>
        <v>38.95461712</v>
      </c>
      <c r="X117" s="225">
        <f>Inputs!X104</f>
        <v>26.97215714</v>
      </c>
      <c r="Y117" s="225">
        <f>Inputs!Y104</f>
        <v>12.47435059</v>
      </c>
      <c r="Z117" s="225">
        <f>Inputs!Z104</f>
        <v>45.10719646</v>
      </c>
      <c r="AA117" s="225">
        <f>Inputs!AA104</f>
        <v>17.78068877</v>
      </c>
      <c r="AB117" s="225">
        <f>Inputs!AB104</f>
        <v>67.02773261</v>
      </c>
      <c r="AC117" s="225">
        <f>Inputs!AC104</f>
        <v>98.09492995</v>
      </c>
      <c r="AD117" s="225">
        <f>Inputs!AD104</f>
        <v>20.56695412</v>
      </c>
      <c r="AE117" s="225">
        <f>Inputs!AE104</f>
        <v>33.96682009</v>
      </c>
      <c r="AF117" s="225">
        <f>Inputs!AF104</f>
        <v>182.2070996</v>
      </c>
      <c r="AG117" s="225">
        <f>Inputs!AG104</f>
        <v>245.947013</v>
      </c>
      <c r="AH117" s="225">
        <f>Inputs!AH104</f>
        <v>1175.762003</v>
      </c>
      <c r="AI117" s="225">
        <f>Inputs!AI104</f>
        <v>203.8362527</v>
      </c>
      <c r="AJ117" s="225">
        <f>Inputs!AJ104</f>
        <v>257.4193881</v>
      </c>
      <c r="AK117" s="226"/>
    </row>
    <row r="118">
      <c r="A118" s="101"/>
      <c r="B118" s="102"/>
      <c r="C118" s="130"/>
      <c r="D118" s="130"/>
      <c r="E118" s="144" t="s">
        <v>373</v>
      </c>
      <c r="F118" s="145" t="str">
        <f>Inputs!F105</f>
        <v>#</v>
      </c>
      <c r="G118" s="217" t="str">
        <f>Inputs!G105</f>
        <v>input</v>
      </c>
      <c r="H118" s="267" t="str">
        <f>Inputs!H105</f>
        <v>-</v>
      </c>
      <c r="I118" s="225">
        <f>Inputs!I105</f>
        <v>4166.392215</v>
      </c>
      <c r="J118" s="225">
        <f>Inputs!J105</f>
        <v>6046.204418</v>
      </c>
      <c r="K118" s="225">
        <f>Inputs!K105</f>
        <v>1429.618315</v>
      </c>
      <c r="L118" s="225">
        <f>Inputs!L105</f>
        <v>10035.0135</v>
      </c>
      <c r="M118" s="225">
        <f>Inputs!M105</f>
        <v>1141.932824</v>
      </c>
      <c r="N118" s="225">
        <f>Inputs!N105</f>
        <v>3915.73998</v>
      </c>
      <c r="O118" s="225">
        <f>Inputs!O105</f>
        <v>5187.831972</v>
      </c>
      <c r="P118" s="225">
        <f>Inputs!P105</f>
        <v>2834.217454</v>
      </c>
      <c r="Q118" s="225">
        <f>Inputs!Q105</f>
        <v>8339.273184</v>
      </c>
      <c r="R118" s="225">
        <f>Inputs!R105</f>
        <v>864.7450087</v>
      </c>
      <c r="S118" s="225">
        <f>Inputs!S105</f>
        <v>139.4161985</v>
      </c>
      <c r="T118" s="225">
        <f>Inputs!T105</f>
        <v>315.2501924</v>
      </c>
      <c r="U118" s="225">
        <f>Inputs!U105</f>
        <v>1457.282354</v>
      </c>
      <c r="V118" s="225">
        <f>Inputs!V105</f>
        <v>491.3626913</v>
      </c>
      <c r="W118" s="225">
        <f>Inputs!W105</f>
        <v>459.6910012</v>
      </c>
      <c r="X118" s="225">
        <f>Inputs!X105</f>
        <v>295.2342368</v>
      </c>
      <c r="Y118" s="225">
        <f>Inputs!Y105</f>
        <v>136.2337778</v>
      </c>
      <c r="Z118" s="225">
        <f>Inputs!Z105</f>
        <v>426.6946491</v>
      </c>
      <c r="AA118" s="225">
        <f>Inputs!AA105</f>
        <v>190.850842</v>
      </c>
      <c r="AB118" s="225">
        <f>Inputs!AB105</f>
        <v>796.09716</v>
      </c>
      <c r="AC118" s="225">
        <f>Inputs!AC105</f>
        <v>1165.234307</v>
      </c>
      <c r="AD118" s="225">
        <f>Inputs!AD105</f>
        <v>189.1959992</v>
      </c>
      <c r="AE118" s="225">
        <f>Inputs!AE105</f>
        <v>381.2421014</v>
      </c>
      <c r="AF118" s="225">
        <f>Inputs!AF105</f>
        <v>2509.647553</v>
      </c>
      <c r="AG118" s="225">
        <f>Inputs!AG105</f>
        <v>3774.418903</v>
      </c>
      <c r="AH118" s="225">
        <f>Inputs!AH105</f>
        <v>10890.02466</v>
      </c>
      <c r="AI118" s="225">
        <f>Inputs!AI105</f>
        <v>1665.837634</v>
      </c>
      <c r="AJ118" s="225">
        <f>Inputs!AJ105</f>
        <v>2144.982486</v>
      </c>
      <c r="AK118" s="226"/>
    </row>
    <row r="119">
      <c r="A119" s="101"/>
      <c r="B119" s="102"/>
      <c r="C119" s="130"/>
      <c r="D119" s="130"/>
      <c r="E119" s="144" t="s">
        <v>510</v>
      </c>
      <c r="F119" s="145" t="s">
        <v>101</v>
      </c>
      <c r="G119" s="217" t="s">
        <v>164</v>
      </c>
      <c r="H119" s="267" t="s">
        <v>165</v>
      </c>
      <c r="I119" s="225">
        <f t="shared" ref="I119:AJ119" si="24">I118*$H$104</f>
        <v>2208.187874</v>
      </c>
      <c r="J119" s="225">
        <f t="shared" si="24"/>
        <v>3204.488342</v>
      </c>
      <c r="K119" s="225">
        <f t="shared" si="24"/>
        <v>757.697707</v>
      </c>
      <c r="L119" s="225">
        <f t="shared" si="24"/>
        <v>5318.557155</v>
      </c>
      <c r="M119" s="225">
        <f t="shared" si="24"/>
        <v>605.2243967</v>
      </c>
      <c r="N119" s="225">
        <f t="shared" si="24"/>
        <v>2075.342189</v>
      </c>
      <c r="O119" s="225">
        <f t="shared" si="24"/>
        <v>2749.550945</v>
      </c>
      <c r="P119" s="225">
        <f t="shared" si="24"/>
        <v>1502.135251</v>
      </c>
      <c r="Q119" s="225">
        <f t="shared" si="24"/>
        <v>4419.814788</v>
      </c>
      <c r="R119" s="225">
        <f t="shared" si="24"/>
        <v>458.3148546</v>
      </c>
      <c r="S119" s="225">
        <f t="shared" si="24"/>
        <v>73.89058521</v>
      </c>
      <c r="T119" s="225">
        <f t="shared" si="24"/>
        <v>167.082602</v>
      </c>
      <c r="U119" s="225">
        <f t="shared" si="24"/>
        <v>772.3596476</v>
      </c>
      <c r="V119" s="225">
        <f t="shared" si="24"/>
        <v>260.4222264</v>
      </c>
      <c r="W119" s="225">
        <f t="shared" si="24"/>
        <v>243.6362306</v>
      </c>
      <c r="X119" s="225">
        <f t="shared" si="24"/>
        <v>156.4741455</v>
      </c>
      <c r="Y119" s="225">
        <f t="shared" si="24"/>
        <v>72.20390223</v>
      </c>
      <c r="Z119" s="225">
        <f t="shared" si="24"/>
        <v>226.148164</v>
      </c>
      <c r="AA119" s="225">
        <f t="shared" si="24"/>
        <v>101.1509463</v>
      </c>
      <c r="AB119" s="225">
        <f t="shared" si="24"/>
        <v>421.9314948</v>
      </c>
      <c r="AC119" s="225">
        <f t="shared" si="24"/>
        <v>617.5741827</v>
      </c>
      <c r="AD119" s="225">
        <f t="shared" si="24"/>
        <v>100.2738796</v>
      </c>
      <c r="AE119" s="225">
        <f t="shared" si="24"/>
        <v>202.0583137</v>
      </c>
      <c r="AF119" s="225">
        <f t="shared" si="24"/>
        <v>1330.113203</v>
      </c>
      <c r="AG119" s="225">
        <f t="shared" si="24"/>
        <v>2000.442019</v>
      </c>
      <c r="AH119" s="225">
        <f t="shared" si="24"/>
        <v>5771.71307</v>
      </c>
      <c r="AI119" s="225">
        <f t="shared" si="24"/>
        <v>882.893946</v>
      </c>
      <c r="AJ119" s="225">
        <f t="shared" si="24"/>
        <v>1136.840718</v>
      </c>
      <c r="AK119" s="226"/>
    </row>
    <row r="120">
      <c r="A120" s="101"/>
      <c r="B120" s="102"/>
      <c r="C120" s="130"/>
      <c r="D120" s="130"/>
      <c r="E120" s="190" t="s">
        <v>516</v>
      </c>
      <c r="F120" s="176" t="s">
        <v>101</v>
      </c>
      <c r="G120" s="177" t="s">
        <v>164</v>
      </c>
      <c r="H120" s="276" t="s">
        <v>165</v>
      </c>
      <c r="I120" s="362">
        <f t="shared" ref="I120:AJ120" si="25">I115-SUM(I116:I117,I119)</f>
        <v>6384.474019</v>
      </c>
      <c r="J120" s="362">
        <f t="shared" si="25"/>
        <v>9350.500159</v>
      </c>
      <c r="K120" s="362">
        <f t="shared" si="25"/>
        <v>2866.560578</v>
      </c>
      <c r="L120" s="362">
        <f t="shared" si="25"/>
        <v>11779.20329</v>
      </c>
      <c r="M120" s="362">
        <f t="shared" si="25"/>
        <v>1980.812194</v>
      </c>
      <c r="N120" s="362">
        <f t="shared" si="25"/>
        <v>4269.030641</v>
      </c>
      <c r="O120" s="362">
        <f t="shared" si="25"/>
        <v>7133.334819</v>
      </c>
      <c r="P120" s="362">
        <f t="shared" si="25"/>
        <v>4437.927628</v>
      </c>
      <c r="Q120" s="362">
        <f t="shared" si="25"/>
        <v>17424.50014</v>
      </c>
      <c r="R120" s="362">
        <f t="shared" si="25"/>
        <v>1239.927006</v>
      </c>
      <c r="S120" s="362">
        <f t="shared" si="25"/>
        <v>136.1894837</v>
      </c>
      <c r="T120" s="362">
        <f t="shared" si="25"/>
        <v>303.9338873</v>
      </c>
      <c r="U120" s="362">
        <f t="shared" si="25"/>
        <v>1653.430349</v>
      </c>
      <c r="V120" s="362">
        <f t="shared" si="25"/>
        <v>606.23928</v>
      </c>
      <c r="W120" s="362">
        <f t="shared" si="25"/>
        <v>561.554535</v>
      </c>
      <c r="X120" s="362">
        <f t="shared" si="25"/>
        <v>331.00556</v>
      </c>
      <c r="Y120" s="362">
        <f t="shared" si="25"/>
        <v>168.2724215</v>
      </c>
      <c r="Z120" s="362">
        <f t="shared" si="25"/>
        <v>374.8086869</v>
      </c>
      <c r="AA120" s="362">
        <f t="shared" si="25"/>
        <v>228.4622667</v>
      </c>
      <c r="AB120" s="362">
        <f t="shared" si="25"/>
        <v>967.4814475</v>
      </c>
      <c r="AC120" s="362">
        <f t="shared" si="25"/>
        <v>1187.56672</v>
      </c>
      <c r="AD120" s="362">
        <f t="shared" si="25"/>
        <v>193.6575352</v>
      </c>
      <c r="AE120" s="362">
        <f t="shared" si="25"/>
        <v>441.7169258</v>
      </c>
      <c r="AF120" s="362">
        <f t="shared" si="25"/>
        <v>3388.901906</v>
      </c>
      <c r="AG120" s="362">
        <f t="shared" si="25"/>
        <v>4713.897946</v>
      </c>
      <c r="AH120" s="362">
        <f t="shared" si="25"/>
        <v>17526.53672</v>
      </c>
      <c r="AI120" s="362">
        <f t="shared" si="25"/>
        <v>2963.499493</v>
      </c>
      <c r="AJ120" s="362">
        <f t="shared" si="25"/>
        <v>2948.423784</v>
      </c>
      <c r="AK120" s="371"/>
    </row>
    <row r="121">
      <c r="A121" s="101"/>
      <c r="B121" s="102"/>
      <c r="C121" s="130"/>
      <c r="D121" s="130"/>
      <c r="E121" s="131"/>
      <c r="F121" s="132"/>
      <c r="G121" s="133"/>
      <c r="H121" s="135"/>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AD121" s="137"/>
      <c r="AE121" s="140"/>
      <c r="AF121" s="140"/>
      <c r="AG121" s="140"/>
      <c r="AH121" s="140"/>
      <c r="AI121" s="140"/>
      <c r="AJ121" s="140"/>
      <c r="AK121" s="141"/>
    </row>
    <row r="122">
      <c r="A122" s="101"/>
      <c r="B122" s="102"/>
      <c r="C122" s="203" t="s">
        <v>377</v>
      </c>
      <c r="F122" s="132"/>
      <c r="G122" s="133"/>
      <c r="H122" s="135"/>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AD122" s="137"/>
      <c r="AE122" s="140"/>
      <c r="AF122" s="140"/>
      <c r="AG122" s="140"/>
      <c r="AH122" s="140"/>
      <c r="AI122" s="140"/>
      <c r="AJ122" s="140"/>
      <c r="AK122" s="141"/>
    </row>
    <row r="123">
      <c r="A123" s="101"/>
      <c r="B123" s="102"/>
      <c r="C123" s="130"/>
      <c r="D123" s="454"/>
      <c r="E123" s="112" t="s">
        <v>378</v>
      </c>
      <c r="F123" s="114" t="str">
        <f>Inputs!F108</f>
        <v>#</v>
      </c>
      <c r="G123" s="148" t="str">
        <f>Inputs!G108</f>
        <v>input</v>
      </c>
      <c r="H123" s="253" t="str">
        <f>Inputs!H108</f>
        <v>-</v>
      </c>
      <c r="I123" s="212">
        <f>Inputs!I108</f>
        <v>78851.1003</v>
      </c>
      <c r="J123" s="212">
        <f>Inputs!J108</f>
        <v>55800.17046</v>
      </c>
      <c r="K123" s="212">
        <f>Inputs!K108</f>
        <v>57297.85472</v>
      </c>
      <c r="L123" s="212">
        <f>Inputs!L108</f>
        <v>146985.756</v>
      </c>
      <c r="M123" s="212">
        <f>Inputs!M108</f>
        <v>38803.1646</v>
      </c>
      <c r="N123" s="212">
        <f>Inputs!N108</f>
        <v>47856.04109</v>
      </c>
      <c r="O123" s="212">
        <f>Inputs!O108</f>
        <v>42879.61451</v>
      </c>
      <c r="P123" s="212">
        <f>Inputs!P108</f>
        <v>94761.37082</v>
      </c>
      <c r="Q123" s="212">
        <f>Inputs!Q108</f>
        <v>106319.1525</v>
      </c>
      <c r="R123" s="212">
        <f>Inputs!R108</f>
        <v>12131.5791</v>
      </c>
      <c r="S123" s="212">
        <f>Inputs!S108</f>
        <v>3191.557343</v>
      </c>
      <c r="T123" s="212">
        <f>Inputs!T108</f>
        <v>7142.110275</v>
      </c>
      <c r="U123" s="212">
        <f>Inputs!U108</f>
        <v>23702.07949</v>
      </c>
      <c r="V123" s="212">
        <f>Inputs!V108</f>
        <v>6913.635617</v>
      </c>
      <c r="W123" s="212">
        <f>Inputs!W108</f>
        <v>6993.988801</v>
      </c>
      <c r="X123" s="212">
        <f>Inputs!X108</f>
        <v>4812.805935</v>
      </c>
      <c r="Y123" s="212">
        <f>Inputs!Y108</f>
        <v>2368.286167</v>
      </c>
      <c r="Z123" s="212">
        <f>Inputs!Z108</f>
        <v>10489.90213</v>
      </c>
      <c r="AA123" s="212">
        <f>Inputs!AA108</f>
        <v>3246.562606</v>
      </c>
      <c r="AB123" s="212">
        <f>Inputs!AB108</f>
        <v>11638.50733</v>
      </c>
      <c r="AC123" s="212">
        <f>Inputs!AC108</f>
        <v>18287.14449</v>
      </c>
      <c r="AD123" s="212">
        <f>Inputs!AD108</f>
        <v>4113.554881</v>
      </c>
      <c r="AE123" s="212">
        <f>Inputs!AE108</f>
        <v>6066.608993</v>
      </c>
      <c r="AF123" s="212">
        <f>Inputs!AF108</f>
        <v>29686.59996</v>
      </c>
      <c r="AG123" s="212">
        <f>Inputs!AG108</f>
        <v>49719.73799</v>
      </c>
      <c r="AH123" s="212">
        <f>Inputs!AH108</f>
        <v>76345.82075</v>
      </c>
      <c r="AI123" s="212">
        <f>Inputs!AI108</f>
        <v>13360.25023</v>
      </c>
      <c r="AJ123" s="212">
        <f>Inputs!AJ108</f>
        <v>79959.29327</v>
      </c>
      <c r="AK123" s="221"/>
    </row>
    <row r="124">
      <c r="A124" s="101"/>
      <c r="B124" s="102"/>
      <c r="C124" s="130"/>
      <c r="D124" s="454"/>
      <c r="E124" s="144" t="s">
        <v>386</v>
      </c>
      <c r="F124" s="145" t="str">
        <f>Inputs!F109</f>
        <v>#</v>
      </c>
      <c r="G124" s="217" t="str">
        <f>Inputs!G109</f>
        <v>input</v>
      </c>
      <c r="H124" s="267" t="str">
        <f>Inputs!H109</f>
        <v>-</v>
      </c>
      <c r="I124" s="225">
        <f>Inputs!I109</f>
        <v>17929.3449</v>
      </c>
      <c r="J124" s="225">
        <f>Inputs!J109</f>
        <v>15658.22488</v>
      </c>
      <c r="K124" s="225">
        <f>Inputs!K109</f>
        <v>23250.27761</v>
      </c>
      <c r="L124" s="225">
        <f>Inputs!L109</f>
        <v>47864.25272</v>
      </c>
      <c r="M124" s="225">
        <f>Inputs!M109</f>
        <v>10088.26102</v>
      </c>
      <c r="N124" s="225">
        <f>Inputs!N109</f>
        <v>18877.20305</v>
      </c>
      <c r="O124" s="225">
        <f>Inputs!O109</f>
        <v>14513.51656</v>
      </c>
      <c r="P124" s="225">
        <f>Inputs!P109</f>
        <v>29206.62819</v>
      </c>
      <c r="Q124" s="225">
        <f>Inputs!Q109</f>
        <v>21199.59032</v>
      </c>
      <c r="R124" s="225">
        <f>Inputs!R109</f>
        <v>3535.385867</v>
      </c>
      <c r="S124" s="225">
        <f>Inputs!S109</f>
        <v>1223.261877</v>
      </c>
      <c r="T124" s="225">
        <f>Inputs!T109</f>
        <v>3189.001908</v>
      </c>
      <c r="U124" s="225">
        <f>Inputs!U109</f>
        <v>8320.314551</v>
      </c>
      <c r="V124" s="225">
        <f>Inputs!V109</f>
        <v>2568.288103</v>
      </c>
      <c r="W124" s="225">
        <f>Inputs!W109</f>
        <v>2433.354076</v>
      </c>
      <c r="X124" s="225">
        <f>Inputs!X109</f>
        <v>1971.471576</v>
      </c>
      <c r="Y124" s="225">
        <f>Inputs!Y109</f>
        <v>897.8366006</v>
      </c>
      <c r="Z124" s="225">
        <f>Inputs!Z109</f>
        <v>4660.979503</v>
      </c>
      <c r="AA124" s="225">
        <f>Inputs!AA109</f>
        <v>1368.3101</v>
      </c>
      <c r="AB124" s="225">
        <f>Inputs!AB109</f>
        <v>4091.97616</v>
      </c>
      <c r="AC124" s="225">
        <f>Inputs!AC109</f>
        <v>7540.901279</v>
      </c>
      <c r="AD124" s="225">
        <f>Inputs!AD109</f>
        <v>1899.627952</v>
      </c>
      <c r="AE124" s="225">
        <f>Inputs!AE109</f>
        <v>2126.167861</v>
      </c>
      <c r="AF124" s="225">
        <f>Inputs!AF109</f>
        <v>8648.943249</v>
      </c>
      <c r="AG124" s="225">
        <f>Inputs!AG109</f>
        <v>18925.60143</v>
      </c>
      <c r="AH124" s="225">
        <f>Inputs!AH109</f>
        <v>18123.89347</v>
      </c>
      <c r="AI124" s="225">
        <f>Inputs!AI109</f>
        <v>4718.378935</v>
      </c>
      <c r="AJ124" s="225">
        <f>Inputs!AJ109</f>
        <v>31086.85527</v>
      </c>
      <c r="AK124" s="226"/>
    </row>
    <row r="125">
      <c r="A125" s="101"/>
      <c r="B125" s="102"/>
      <c r="C125" s="130"/>
      <c r="D125" s="130"/>
      <c r="E125" s="144" t="s">
        <v>395</v>
      </c>
      <c r="F125" s="145" t="str">
        <f>Inputs!F110</f>
        <v>#</v>
      </c>
      <c r="G125" s="217" t="str">
        <f>Inputs!G110</f>
        <v>input</v>
      </c>
      <c r="H125" s="267" t="str">
        <f>Inputs!H110</f>
        <v>-</v>
      </c>
      <c r="I125" s="225">
        <f>Inputs!I110</f>
        <v>5905.479894</v>
      </c>
      <c r="J125" s="225">
        <f>Inputs!J110</f>
        <v>4182.320652</v>
      </c>
      <c r="K125" s="225">
        <f>Inputs!K110</f>
        <v>4753.388392</v>
      </c>
      <c r="L125" s="225">
        <f>Inputs!L110</f>
        <v>9506.047935</v>
      </c>
      <c r="M125" s="225">
        <f>Inputs!M110</f>
        <v>3198.653959</v>
      </c>
      <c r="N125" s="225">
        <f>Inputs!N110</f>
        <v>4696.948493</v>
      </c>
      <c r="O125" s="225">
        <f>Inputs!O110</f>
        <v>3458.453559</v>
      </c>
      <c r="P125" s="225">
        <f>Inputs!P110</f>
        <v>6125.073722</v>
      </c>
      <c r="Q125" s="225">
        <f>Inputs!Q110</f>
        <v>6872.931093</v>
      </c>
      <c r="R125" s="225">
        <f>Inputs!R110</f>
        <v>848.9223243</v>
      </c>
      <c r="S125" s="225">
        <f>Inputs!S110</f>
        <v>207.8687477</v>
      </c>
      <c r="T125" s="225">
        <f>Inputs!T110</f>
        <v>509.2620502</v>
      </c>
      <c r="U125" s="225">
        <f>Inputs!U110</f>
        <v>1672.997698</v>
      </c>
      <c r="V125" s="225">
        <f>Inputs!V110</f>
        <v>492.2771106</v>
      </c>
      <c r="W125" s="225">
        <f>Inputs!W110</f>
        <v>508.7455817</v>
      </c>
      <c r="X125" s="225">
        <f>Inputs!X110</f>
        <v>340.4576432</v>
      </c>
      <c r="Y125" s="225">
        <f>Inputs!Y110</f>
        <v>166.8130442</v>
      </c>
      <c r="Z125" s="225">
        <f>Inputs!Z110</f>
        <v>773.7757722</v>
      </c>
      <c r="AA125" s="225">
        <f>Inputs!AA110</f>
        <v>226.9085233</v>
      </c>
      <c r="AB125" s="225">
        <f>Inputs!AB110</f>
        <v>840.6320517</v>
      </c>
      <c r="AC125" s="225">
        <f>Inputs!AC110</f>
        <v>1358.278824</v>
      </c>
      <c r="AD125" s="225">
        <f>Inputs!AD110</f>
        <v>297.0060283</v>
      </c>
      <c r="AE125" s="225">
        <f>Inputs!AE110</f>
        <v>414.2474273</v>
      </c>
      <c r="AF125" s="225">
        <f>Inputs!AF110</f>
        <v>2181.283881</v>
      </c>
      <c r="AG125" s="225">
        <f>Inputs!AG110</f>
        <v>2795.793939</v>
      </c>
      <c r="AH125" s="225">
        <f>Inputs!AH110</f>
        <v>5382.394896</v>
      </c>
      <c r="AI125" s="225">
        <f>Inputs!AI110</f>
        <v>736.6961144</v>
      </c>
      <c r="AJ125" s="225">
        <f>Inputs!AJ110</f>
        <v>6358.738547</v>
      </c>
      <c r="AK125" s="226"/>
    </row>
    <row r="126">
      <c r="A126" s="101"/>
      <c r="B126" s="102"/>
      <c r="C126" s="130"/>
      <c r="D126" s="130"/>
      <c r="E126" s="144" t="s">
        <v>402</v>
      </c>
      <c r="F126" s="145" t="str">
        <f>Inputs!F111</f>
        <v>#</v>
      </c>
      <c r="G126" s="217" t="str">
        <f>Inputs!G111</f>
        <v>input</v>
      </c>
      <c r="H126" s="267" t="str">
        <f>Inputs!H111</f>
        <v>-</v>
      </c>
      <c r="I126" s="225">
        <f>Inputs!I111</f>
        <v>24032.13734</v>
      </c>
      <c r="J126" s="225">
        <f>Inputs!J111</f>
        <v>16398.31882</v>
      </c>
      <c r="K126" s="225">
        <f>Inputs!K111</f>
        <v>10424.87457</v>
      </c>
      <c r="L126" s="225">
        <f>Inputs!L111</f>
        <v>44514.11916</v>
      </c>
      <c r="M126" s="225">
        <f>Inputs!M111</f>
        <v>10131.7027</v>
      </c>
      <c r="N126" s="225">
        <f>Inputs!N111</f>
        <v>13397.36514</v>
      </c>
      <c r="O126" s="225">
        <f>Inputs!O111</f>
        <v>13528.25622</v>
      </c>
      <c r="P126" s="225">
        <f>Inputs!P111</f>
        <v>23752.01117</v>
      </c>
      <c r="Q126" s="225">
        <f>Inputs!Q111</f>
        <v>26673.13569</v>
      </c>
      <c r="R126" s="225">
        <f>Inputs!R111</f>
        <v>3201.40251</v>
      </c>
      <c r="S126" s="225">
        <f>Inputs!S111</f>
        <v>811.9118308</v>
      </c>
      <c r="T126" s="225">
        <f>Inputs!T111</f>
        <v>1731.97017</v>
      </c>
      <c r="U126" s="225">
        <f>Inputs!U111</f>
        <v>6376.165976</v>
      </c>
      <c r="V126" s="225">
        <f>Inputs!V111</f>
        <v>1799.650355</v>
      </c>
      <c r="W126" s="225">
        <f>Inputs!W111</f>
        <v>1849.39778</v>
      </c>
      <c r="X126" s="225">
        <f>Inputs!X111</f>
        <v>1202.263105</v>
      </c>
      <c r="Y126" s="225">
        <f>Inputs!Y111</f>
        <v>599.6632835</v>
      </c>
      <c r="Z126" s="225">
        <f>Inputs!Z111</f>
        <v>2617.713561</v>
      </c>
      <c r="AA126" s="225">
        <f>Inputs!AA111</f>
        <v>767.0200692</v>
      </c>
      <c r="AB126" s="225">
        <f>Inputs!AB111</f>
        <v>3116.060354</v>
      </c>
      <c r="AC126" s="225">
        <f>Inputs!AC111</f>
        <v>4685.581409</v>
      </c>
      <c r="AD126" s="225">
        <f>Inputs!AD111</f>
        <v>939.8690807</v>
      </c>
      <c r="AE126" s="225">
        <f>Inputs!AE111</f>
        <v>1620.889213</v>
      </c>
      <c r="AF126" s="225">
        <f>Inputs!AF111</f>
        <v>8194.253746</v>
      </c>
      <c r="AG126" s="225">
        <f>Inputs!AG111</f>
        <v>14268.30019</v>
      </c>
      <c r="AH126" s="225">
        <f>Inputs!AH111</f>
        <v>24356.01256</v>
      </c>
      <c r="AI126" s="225">
        <f>Inputs!AI111</f>
        <v>3250.455847</v>
      </c>
      <c r="AJ126" s="225">
        <f>Inputs!AJ111</f>
        <v>21122.08707</v>
      </c>
      <c r="AK126" s="226"/>
    </row>
    <row r="127">
      <c r="A127" s="101"/>
      <c r="B127" s="102"/>
      <c r="C127" s="130"/>
      <c r="D127" s="130"/>
      <c r="E127" s="144" t="s">
        <v>528</v>
      </c>
      <c r="F127" s="145" t="s">
        <v>101</v>
      </c>
      <c r="G127" s="217" t="s">
        <v>164</v>
      </c>
      <c r="H127" s="267" t="s">
        <v>165</v>
      </c>
      <c r="I127" s="225">
        <f t="shared" ref="I127:AJ127" si="26">I126*$H$104</f>
        <v>12737.03279</v>
      </c>
      <c r="J127" s="225">
        <f t="shared" si="26"/>
        <v>8691.108975</v>
      </c>
      <c r="K127" s="225">
        <f t="shared" si="26"/>
        <v>5525.183522</v>
      </c>
      <c r="L127" s="225">
        <f t="shared" si="26"/>
        <v>23592.48315</v>
      </c>
      <c r="M127" s="225">
        <f t="shared" si="26"/>
        <v>5369.802431</v>
      </c>
      <c r="N127" s="225">
        <f t="shared" si="26"/>
        <v>7100.603524</v>
      </c>
      <c r="O127" s="225">
        <f t="shared" si="26"/>
        <v>7169.975797</v>
      </c>
      <c r="P127" s="225">
        <f t="shared" si="26"/>
        <v>12588.56592</v>
      </c>
      <c r="Q127" s="225">
        <f t="shared" si="26"/>
        <v>14136.76192</v>
      </c>
      <c r="R127" s="225">
        <f t="shared" si="26"/>
        <v>1696.74333</v>
      </c>
      <c r="S127" s="225">
        <f t="shared" si="26"/>
        <v>430.3132703</v>
      </c>
      <c r="T127" s="225">
        <f t="shared" si="26"/>
        <v>917.9441901</v>
      </c>
      <c r="U127" s="225">
        <f t="shared" si="26"/>
        <v>3379.367967</v>
      </c>
      <c r="V127" s="225">
        <f t="shared" si="26"/>
        <v>953.8146882</v>
      </c>
      <c r="W127" s="225">
        <f t="shared" si="26"/>
        <v>980.1808234</v>
      </c>
      <c r="X127" s="225">
        <f t="shared" si="26"/>
        <v>637.1994457</v>
      </c>
      <c r="Y127" s="225">
        <f t="shared" si="26"/>
        <v>317.8215403</v>
      </c>
      <c r="Z127" s="225">
        <f t="shared" si="26"/>
        <v>1387.388187</v>
      </c>
      <c r="AA127" s="225">
        <f t="shared" si="26"/>
        <v>406.5206367</v>
      </c>
      <c r="AB127" s="225">
        <f t="shared" si="26"/>
        <v>1651.511988</v>
      </c>
      <c r="AC127" s="225">
        <f t="shared" si="26"/>
        <v>2483.358147</v>
      </c>
      <c r="AD127" s="225">
        <f t="shared" si="26"/>
        <v>498.1306128</v>
      </c>
      <c r="AE127" s="225">
        <f t="shared" si="26"/>
        <v>859.0712829</v>
      </c>
      <c r="AF127" s="225">
        <f t="shared" si="26"/>
        <v>4342.954485</v>
      </c>
      <c r="AG127" s="225">
        <f t="shared" si="26"/>
        <v>7562.199101</v>
      </c>
      <c r="AH127" s="225">
        <f t="shared" si="26"/>
        <v>12908.68666</v>
      </c>
      <c r="AI127" s="225">
        <f t="shared" si="26"/>
        <v>1722.741599</v>
      </c>
      <c r="AJ127" s="225">
        <f t="shared" si="26"/>
        <v>11194.70615</v>
      </c>
      <c r="AK127" s="226"/>
    </row>
    <row r="128">
      <c r="A128" s="101"/>
      <c r="B128" s="102"/>
      <c r="C128" s="130"/>
      <c r="D128" s="130"/>
      <c r="E128" s="190" t="s">
        <v>529</v>
      </c>
      <c r="F128" s="176" t="s">
        <v>101</v>
      </c>
      <c r="G128" s="177" t="s">
        <v>164</v>
      </c>
      <c r="H128" s="276" t="s">
        <v>165</v>
      </c>
      <c r="I128" s="362">
        <f t="shared" ref="I128:AJ128" si="27">I123-SUM(I124:I125,I127)</f>
        <v>42279.24272</v>
      </c>
      <c r="J128" s="362">
        <f t="shared" si="27"/>
        <v>27268.51595</v>
      </c>
      <c r="K128" s="362">
        <f t="shared" si="27"/>
        <v>23769.0052</v>
      </c>
      <c r="L128" s="362">
        <f t="shared" si="27"/>
        <v>66022.97219</v>
      </c>
      <c r="M128" s="362">
        <f t="shared" si="27"/>
        <v>20146.44719</v>
      </c>
      <c r="N128" s="362">
        <f t="shared" si="27"/>
        <v>17181.28602</v>
      </c>
      <c r="O128" s="362">
        <f t="shared" si="27"/>
        <v>17737.66859</v>
      </c>
      <c r="P128" s="362">
        <f t="shared" si="27"/>
        <v>46841.10299</v>
      </c>
      <c r="Q128" s="362">
        <f t="shared" si="27"/>
        <v>64109.86917</v>
      </c>
      <c r="R128" s="362">
        <f t="shared" si="27"/>
        <v>6050.527578</v>
      </c>
      <c r="S128" s="362">
        <f t="shared" si="27"/>
        <v>1330.113448</v>
      </c>
      <c r="T128" s="362">
        <f t="shared" si="27"/>
        <v>2525.902127</v>
      </c>
      <c r="U128" s="362">
        <f t="shared" si="27"/>
        <v>10329.39927</v>
      </c>
      <c r="V128" s="362">
        <f t="shared" si="27"/>
        <v>2899.255715</v>
      </c>
      <c r="W128" s="362">
        <f t="shared" si="27"/>
        <v>3071.70832</v>
      </c>
      <c r="X128" s="362">
        <f t="shared" si="27"/>
        <v>1863.67727</v>
      </c>
      <c r="Y128" s="362">
        <f t="shared" si="27"/>
        <v>985.8149819</v>
      </c>
      <c r="Z128" s="362">
        <f t="shared" si="27"/>
        <v>3667.758667</v>
      </c>
      <c r="AA128" s="362">
        <f t="shared" si="27"/>
        <v>1244.823346</v>
      </c>
      <c r="AB128" s="362">
        <f t="shared" si="27"/>
        <v>5054.387131</v>
      </c>
      <c r="AC128" s="362">
        <f t="shared" si="27"/>
        <v>6904.60624</v>
      </c>
      <c r="AD128" s="362">
        <f t="shared" si="27"/>
        <v>1418.790288</v>
      </c>
      <c r="AE128" s="362">
        <f t="shared" si="27"/>
        <v>2667.122422</v>
      </c>
      <c r="AF128" s="362">
        <f t="shared" si="27"/>
        <v>14513.41834</v>
      </c>
      <c r="AG128" s="362">
        <f t="shared" si="27"/>
        <v>20436.14352</v>
      </c>
      <c r="AH128" s="362">
        <f t="shared" si="27"/>
        <v>39930.84573</v>
      </c>
      <c r="AI128" s="362">
        <f t="shared" si="27"/>
        <v>6182.433582</v>
      </c>
      <c r="AJ128" s="362">
        <f t="shared" si="27"/>
        <v>31318.99331</v>
      </c>
      <c r="AK128" s="371"/>
    </row>
    <row r="129">
      <c r="A129" s="101"/>
      <c r="B129" s="102"/>
      <c r="C129" s="130"/>
      <c r="D129" s="130"/>
      <c r="E129" s="131"/>
      <c r="F129" s="132"/>
      <c r="G129" s="133"/>
      <c r="H129" s="135"/>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40"/>
      <c r="AF129" s="140"/>
      <c r="AG129" s="140"/>
      <c r="AH129" s="140"/>
      <c r="AI129" s="140"/>
      <c r="AJ129" s="140"/>
      <c r="AK129" s="141"/>
    </row>
    <row r="130">
      <c r="A130" s="101"/>
      <c r="B130" s="102"/>
      <c r="C130" s="130" t="s">
        <v>408</v>
      </c>
      <c r="F130" s="132"/>
      <c r="G130" s="133"/>
      <c r="H130" s="135"/>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40"/>
      <c r="AF130" s="140"/>
      <c r="AG130" s="140"/>
      <c r="AH130" s="140"/>
      <c r="AI130" s="140"/>
      <c r="AJ130" s="140"/>
      <c r="AK130" s="141"/>
    </row>
    <row r="131">
      <c r="A131" s="101"/>
      <c r="B131" s="102"/>
      <c r="C131" s="130"/>
      <c r="D131" s="454"/>
      <c r="E131" s="112" t="s">
        <v>409</v>
      </c>
      <c r="F131" s="114" t="str">
        <f>Inputs!F114</f>
        <v>#</v>
      </c>
      <c r="G131" s="148" t="str">
        <f>Inputs!G114</f>
        <v>input</v>
      </c>
      <c r="H131" s="253" t="str">
        <f>Inputs!H114</f>
        <v>-</v>
      </c>
      <c r="I131" s="212">
        <f>Inputs!I114</f>
        <v>19280.88532</v>
      </c>
      <c r="J131" s="212">
        <f>Inputs!J114</f>
        <v>15687.77267</v>
      </c>
      <c r="K131" s="212">
        <f>Inputs!K114</f>
        <v>23029.54205</v>
      </c>
      <c r="L131" s="212">
        <f>Inputs!L114</f>
        <v>42976.46898</v>
      </c>
      <c r="M131" s="212">
        <f>Inputs!M114</f>
        <v>10932.30342</v>
      </c>
      <c r="N131" s="212">
        <f>Inputs!N114</f>
        <v>18316.72304</v>
      </c>
      <c r="O131" s="212">
        <f>Inputs!O114</f>
        <v>12503.65652</v>
      </c>
      <c r="P131" s="212">
        <f>Inputs!P114</f>
        <v>32005.72789</v>
      </c>
      <c r="Q131" s="212">
        <f>Inputs!Q114</f>
        <v>22545.62864</v>
      </c>
      <c r="R131" s="212">
        <f>Inputs!R114</f>
        <v>3362.015582</v>
      </c>
      <c r="S131" s="212">
        <f>Inputs!S114</f>
        <v>1038.480657</v>
      </c>
      <c r="T131" s="212">
        <f>Inputs!T114</f>
        <v>2861.377272</v>
      </c>
      <c r="U131" s="212">
        <f>Inputs!U114</f>
        <v>7866.124946</v>
      </c>
      <c r="V131" s="212">
        <f>Inputs!V114</f>
        <v>2316.256909</v>
      </c>
      <c r="W131" s="212">
        <f>Inputs!W114</f>
        <v>2261.482853</v>
      </c>
      <c r="X131" s="212">
        <f>Inputs!X114</f>
        <v>1748.086437</v>
      </c>
      <c r="Y131" s="212">
        <f>Inputs!Y114</f>
        <v>800.3554528</v>
      </c>
      <c r="Z131" s="212">
        <f>Inputs!Z114</f>
        <v>4131.503659</v>
      </c>
      <c r="AA131" s="212">
        <f>Inputs!AA114</f>
        <v>1209.444206</v>
      </c>
      <c r="AB131" s="212">
        <f>Inputs!AB114</f>
        <v>3849.674858</v>
      </c>
      <c r="AC131" s="212">
        <f>Inputs!AC114</f>
        <v>6997.868826</v>
      </c>
      <c r="AD131" s="212">
        <f>Inputs!AD114</f>
        <v>1641.275026</v>
      </c>
      <c r="AE131" s="212">
        <f>Inputs!AE114</f>
        <v>1884.805775</v>
      </c>
      <c r="AF131" s="212">
        <f>Inputs!AF114</f>
        <v>8412.074946</v>
      </c>
      <c r="AG131" s="212">
        <f>Inputs!AG114</f>
        <v>18188.84425</v>
      </c>
      <c r="AH131" s="212">
        <f>Inputs!AH114</f>
        <v>17347.00226</v>
      </c>
      <c r="AI131" s="212">
        <f>Inputs!AI114</f>
        <v>4517.930813</v>
      </c>
      <c r="AJ131" s="212">
        <f>Inputs!AJ114</f>
        <v>30954.60232</v>
      </c>
      <c r="AK131" s="221"/>
    </row>
    <row r="132">
      <c r="A132" s="101"/>
      <c r="B132" s="102"/>
      <c r="C132" s="130"/>
      <c r="D132" s="454"/>
      <c r="E132" s="144" t="s">
        <v>414</v>
      </c>
      <c r="F132" s="145" t="str">
        <f>Inputs!F115</f>
        <v>#</v>
      </c>
      <c r="G132" s="217" t="str">
        <f>Inputs!G115</f>
        <v>input</v>
      </c>
      <c r="H132" s="267" t="str">
        <f>Inputs!H115</f>
        <v>-</v>
      </c>
      <c r="I132" s="225">
        <f>Inputs!I115</f>
        <v>15502.6788</v>
      </c>
      <c r="J132" s="225">
        <f>Inputs!J115</f>
        <v>13371.45288</v>
      </c>
      <c r="K132" s="225">
        <f>Inputs!K115</f>
        <v>20270.83575</v>
      </c>
      <c r="L132" s="225">
        <f>Inputs!L115</f>
        <v>39188.56776</v>
      </c>
      <c r="M132" s="225">
        <f>Inputs!M115</f>
        <v>8793.836189</v>
      </c>
      <c r="N132" s="225">
        <f>Inputs!N115</f>
        <v>15618.10382</v>
      </c>
      <c r="O132" s="225">
        <f>Inputs!O115</f>
        <v>10818.30135</v>
      </c>
      <c r="P132" s="225">
        <f>Inputs!P115</f>
        <v>26429.7996</v>
      </c>
      <c r="Q132" s="225">
        <f>Inputs!Q115</f>
        <v>18489.44217</v>
      </c>
      <c r="R132" s="225">
        <f>Inputs!R115</f>
        <v>2948.295794</v>
      </c>
      <c r="S132" s="225">
        <f>Inputs!S115</f>
        <v>975.2040703</v>
      </c>
      <c r="T132" s="225">
        <f>Inputs!T115</f>
        <v>2662.141716</v>
      </c>
      <c r="U132" s="225">
        <f>Inputs!U115</f>
        <v>7017.417331</v>
      </c>
      <c r="V132" s="225">
        <f>Inputs!V115</f>
        <v>2098.355926</v>
      </c>
      <c r="W132" s="225">
        <f>Inputs!W115</f>
        <v>2033.510476</v>
      </c>
      <c r="X132" s="225">
        <f>Inputs!X115</f>
        <v>1609.344906</v>
      </c>
      <c r="Y132" s="225">
        <f>Inputs!Y115</f>
        <v>738.4436004</v>
      </c>
      <c r="Z132" s="225">
        <f>Inputs!Z115</f>
        <v>3883.983124</v>
      </c>
      <c r="AA132" s="225">
        <f>Inputs!AA115</f>
        <v>1116.024653</v>
      </c>
      <c r="AB132" s="225">
        <f>Inputs!AB115</f>
        <v>3435.724413</v>
      </c>
      <c r="AC132" s="225">
        <f>Inputs!AC115</f>
        <v>6392.322875</v>
      </c>
      <c r="AD132" s="225">
        <f>Inputs!AD115</f>
        <v>1541.522823</v>
      </c>
      <c r="AE132" s="225">
        <f>Inputs!AE115</f>
        <v>1729.804881</v>
      </c>
      <c r="AF132" s="225">
        <f>Inputs!AF115</f>
        <v>7301.674866</v>
      </c>
      <c r="AG132" s="225">
        <f>Inputs!AG115</f>
        <v>16249.79464</v>
      </c>
      <c r="AH132" s="225">
        <f>Inputs!AH115</f>
        <v>14735.82198</v>
      </c>
      <c r="AI132" s="225">
        <f>Inputs!AI115</f>
        <v>4133.021645</v>
      </c>
      <c r="AJ132" s="225">
        <f>Inputs!AJ115</f>
        <v>26328.24175</v>
      </c>
      <c r="AK132" s="226"/>
    </row>
    <row r="133">
      <c r="A133" s="101"/>
      <c r="B133" s="102"/>
      <c r="C133" s="130"/>
      <c r="D133" s="130"/>
      <c r="E133" s="144" t="s">
        <v>419</v>
      </c>
      <c r="F133" s="145" t="str">
        <f>Inputs!F116</f>
        <v>#</v>
      </c>
      <c r="G133" s="217" t="str">
        <f>Inputs!G116</f>
        <v>input</v>
      </c>
      <c r="H133" s="267" t="str">
        <f>Inputs!H116</f>
        <v>-</v>
      </c>
      <c r="I133" s="225">
        <f>Inputs!I116</f>
        <v>2871.548327</v>
      </c>
      <c r="J133" s="225">
        <f>Inputs!J116</f>
        <v>1993.632276</v>
      </c>
      <c r="K133" s="225">
        <f>Inputs!K116</f>
        <v>2448.882897</v>
      </c>
      <c r="L133" s="225">
        <f>Inputs!L116</f>
        <v>2774.750799</v>
      </c>
      <c r="M133" s="225">
        <f>Inputs!M116</f>
        <v>1682.633262</v>
      </c>
      <c r="N133" s="225">
        <f>Inputs!N116</f>
        <v>2147.990078</v>
      </c>
      <c r="O133" s="225">
        <f>Inputs!O116</f>
        <v>1190.442477</v>
      </c>
      <c r="P133" s="225">
        <f>Inputs!P116</f>
        <v>3900.950649</v>
      </c>
      <c r="Q133" s="225">
        <f>Inputs!Q116</f>
        <v>3507.607149</v>
      </c>
      <c r="R133" s="225">
        <f>Inputs!R116</f>
        <v>382.1643007</v>
      </c>
      <c r="S133" s="225">
        <f>Inputs!S116</f>
        <v>59.37587154</v>
      </c>
      <c r="T133" s="225">
        <f>Inputs!T116</f>
        <v>185.4924038</v>
      </c>
      <c r="U133" s="225">
        <f>Inputs!U116</f>
        <v>782.5246299</v>
      </c>
      <c r="V133" s="225">
        <f>Inputs!V116</f>
        <v>201.4449966</v>
      </c>
      <c r="W133" s="225">
        <f>Inputs!W116</f>
        <v>211.9590836</v>
      </c>
      <c r="X133" s="225">
        <f>Inputs!X116</f>
        <v>128.6627436</v>
      </c>
      <c r="Y133" s="225">
        <f>Inputs!Y116</f>
        <v>57.53671422</v>
      </c>
      <c r="Z133" s="225">
        <f>Inputs!Z116</f>
        <v>231.9343086</v>
      </c>
      <c r="AA133" s="225">
        <f>Inputs!AA116</f>
        <v>86.7536971</v>
      </c>
      <c r="AB133" s="225">
        <f>Inputs!AB116</f>
        <v>383.3115867</v>
      </c>
      <c r="AC133" s="225">
        <f>Inputs!AC116</f>
        <v>566.2539728</v>
      </c>
      <c r="AD133" s="225">
        <f>Inputs!AD116</f>
        <v>92.99284229</v>
      </c>
      <c r="AE133" s="225">
        <f>Inputs!AE116</f>
        <v>144.3570176</v>
      </c>
      <c r="AF133" s="225">
        <f>Inputs!AF116</f>
        <v>1030.86687</v>
      </c>
      <c r="AG133" s="225">
        <f>Inputs!AG116</f>
        <v>1368.346182</v>
      </c>
      <c r="AH133" s="225">
        <f>Inputs!AH116</f>
        <v>2253.178095</v>
      </c>
      <c r="AI133" s="225">
        <f>Inputs!AI116</f>
        <v>318.3604065</v>
      </c>
      <c r="AJ133" s="225">
        <f>Inputs!AJ116</f>
        <v>3460.287761</v>
      </c>
      <c r="AK133" s="226"/>
    </row>
    <row r="134">
      <c r="A134" s="101"/>
      <c r="B134" s="102"/>
      <c r="C134" s="130"/>
      <c r="D134" s="130"/>
      <c r="E134" s="144" t="s">
        <v>424</v>
      </c>
      <c r="F134" s="145" t="str">
        <f>Inputs!F117</f>
        <v>#</v>
      </c>
      <c r="G134" s="217" t="str">
        <f>Inputs!G117</f>
        <v>input</v>
      </c>
      <c r="H134" s="267" t="str">
        <f>Inputs!H117</f>
        <v>-</v>
      </c>
      <c r="I134" s="225">
        <f>Inputs!I117</f>
        <v>795.514825</v>
      </c>
      <c r="J134" s="225">
        <f>Inputs!J117</f>
        <v>274.2068971</v>
      </c>
      <c r="K134" s="225">
        <f>Inputs!K117</f>
        <v>241.1186002</v>
      </c>
      <c r="L134" s="225">
        <f>Inputs!L117</f>
        <v>914.4215202</v>
      </c>
      <c r="M134" s="225">
        <f>Inputs!M117</f>
        <v>382.6165192</v>
      </c>
      <c r="N134" s="225">
        <f>Inputs!N117</f>
        <v>503.5382165</v>
      </c>
      <c r="O134" s="225">
        <f>Inputs!O117</f>
        <v>438.4947609</v>
      </c>
      <c r="P134" s="225">
        <f>Inputs!P117</f>
        <v>1466.084547</v>
      </c>
      <c r="Q134" s="225">
        <f>Inputs!Q117</f>
        <v>421.2773139</v>
      </c>
      <c r="R134" s="225">
        <f>Inputs!R117</f>
        <v>23.93739897</v>
      </c>
      <c r="S134" s="225">
        <f>Inputs!S117</f>
        <v>3.470194986</v>
      </c>
      <c r="T134" s="225">
        <f>Inputs!T117</f>
        <v>12.40965662</v>
      </c>
      <c r="U134" s="225">
        <f>Inputs!U117</f>
        <v>56.5762361</v>
      </c>
      <c r="V134" s="225">
        <f>Inputs!V117</f>
        <v>13.55421143</v>
      </c>
      <c r="W134" s="225">
        <f>Inputs!W117</f>
        <v>13.08172858</v>
      </c>
      <c r="X134" s="225">
        <f>Inputs!X117</f>
        <v>8.62938334</v>
      </c>
      <c r="Y134" s="225">
        <f>Inputs!Y117</f>
        <v>3.668498765</v>
      </c>
      <c r="Z134" s="225">
        <f>Inputs!Z117</f>
        <v>14.27049462</v>
      </c>
      <c r="AA134" s="225">
        <f>Inputs!AA117</f>
        <v>5.609303214</v>
      </c>
      <c r="AB134" s="225">
        <f>Inputs!AB117</f>
        <v>25.34467223</v>
      </c>
      <c r="AC134" s="225">
        <f>Inputs!AC117</f>
        <v>34.276653</v>
      </c>
      <c r="AD134" s="225">
        <f>Inputs!AD117</f>
        <v>6.023461456</v>
      </c>
      <c r="AE134" s="225">
        <f>Inputs!AE117</f>
        <v>8.99197252</v>
      </c>
      <c r="AF134" s="225">
        <f>Inputs!AF117</f>
        <v>60.96617863</v>
      </c>
      <c r="AG134" s="225">
        <f>Inputs!AG117</f>
        <v>517.050853</v>
      </c>
      <c r="AH134" s="225">
        <f>Inputs!AH117</f>
        <v>297.4094461</v>
      </c>
      <c r="AI134" s="225">
        <f>Inputs!AI117</f>
        <v>54.21432658</v>
      </c>
      <c r="AJ134" s="225">
        <f>Inputs!AJ117</f>
        <v>1067.196919</v>
      </c>
      <c r="AK134" s="226"/>
    </row>
    <row r="135">
      <c r="A135" s="101"/>
      <c r="B135" s="102"/>
      <c r="C135" s="130"/>
      <c r="D135" s="130"/>
      <c r="E135" s="144" t="s">
        <v>540</v>
      </c>
      <c r="F135" s="145" t="s">
        <v>101</v>
      </c>
      <c r="G135" s="217" t="s">
        <v>164</v>
      </c>
      <c r="H135" s="267" t="s">
        <v>165</v>
      </c>
      <c r="I135" s="225">
        <f t="shared" ref="I135:AJ135" si="28">I134*$H$104</f>
        <v>421.6228573</v>
      </c>
      <c r="J135" s="225">
        <f t="shared" si="28"/>
        <v>145.3296555</v>
      </c>
      <c r="K135" s="225">
        <f t="shared" si="28"/>
        <v>127.7928581</v>
      </c>
      <c r="L135" s="225">
        <f t="shared" si="28"/>
        <v>484.6434057</v>
      </c>
      <c r="M135" s="225">
        <f t="shared" si="28"/>
        <v>202.7867552</v>
      </c>
      <c r="N135" s="225">
        <f t="shared" si="28"/>
        <v>266.8752547</v>
      </c>
      <c r="O135" s="225">
        <f t="shared" si="28"/>
        <v>232.4022233</v>
      </c>
      <c r="P135" s="225">
        <f t="shared" si="28"/>
        <v>777.0248099</v>
      </c>
      <c r="Q135" s="225">
        <f t="shared" si="28"/>
        <v>223.2769764</v>
      </c>
      <c r="R135" s="225">
        <f t="shared" si="28"/>
        <v>12.68682145</v>
      </c>
      <c r="S135" s="225">
        <f t="shared" si="28"/>
        <v>1.839203343</v>
      </c>
      <c r="T135" s="225">
        <f t="shared" si="28"/>
        <v>6.577118009</v>
      </c>
      <c r="U135" s="225">
        <f t="shared" si="28"/>
        <v>29.98540513</v>
      </c>
      <c r="V135" s="225">
        <f t="shared" si="28"/>
        <v>7.183732058</v>
      </c>
      <c r="W135" s="225">
        <f t="shared" si="28"/>
        <v>6.933316147</v>
      </c>
      <c r="X135" s="225">
        <f t="shared" si="28"/>
        <v>4.57357317</v>
      </c>
      <c r="Y135" s="225">
        <f t="shared" si="28"/>
        <v>1.944304345</v>
      </c>
      <c r="Z135" s="225">
        <f t="shared" si="28"/>
        <v>7.563362149</v>
      </c>
      <c r="AA135" s="225">
        <f t="shared" si="28"/>
        <v>2.972930703</v>
      </c>
      <c r="AB135" s="225">
        <f t="shared" si="28"/>
        <v>13.43267628</v>
      </c>
      <c r="AC135" s="225">
        <f t="shared" si="28"/>
        <v>18.16662609</v>
      </c>
      <c r="AD135" s="225">
        <f t="shared" si="28"/>
        <v>3.192434572</v>
      </c>
      <c r="AE135" s="225">
        <f t="shared" si="28"/>
        <v>4.765745436</v>
      </c>
      <c r="AF135" s="225">
        <f t="shared" si="28"/>
        <v>32.31207467</v>
      </c>
      <c r="AG135" s="225">
        <f t="shared" si="28"/>
        <v>274.0369521</v>
      </c>
      <c r="AH135" s="225">
        <f t="shared" si="28"/>
        <v>157.6270064</v>
      </c>
      <c r="AI135" s="225">
        <f t="shared" si="28"/>
        <v>28.73359309</v>
      </c>
      <c r="AJ135" s="225">
        <f t="shared" si="28"/>
        <v>565.6143671</v>
      </c>
      <c r="AK135" s="226"/>
    </row>
    <row r="136">
      <c r="A136" s="101"/>
      <c r="B136" s="102"/>
      <c r="C136" s="130"/>
      <c r="D136" s="130"/>
      <c r="E136" s="190" t="s">
        <v>542</v>
      </c>
      <c r="F136" s="176" t="s">
        <v>101</v>
      </c>
      <c r="G136" s="177" t="s">
        <v>164</v>
      </c>
      <c r="H136" s="276" t="s">
        <v>165</v>
      </c>
      <c r="I136" s="362">
        <f t="shared" ref="I136:AJ136" si="29">I131-SUM(I132:I133,I135)</f>
        <v>485.0353358</v>
      </c>
      <c r="J136" s="362">
        <f t="shared" si="29"/>
        <v>177.3578585</v>
      </c>
      <c r="K136" s="362">
        <f t="shared" si="29"/>
        <v>182.0305449</v>
      </c>
      <c r="L136" s="362">
        <f t="shared" si="29"/>
        <v>528.5070153</v>
      </c>
      <c r="M136" s="362">
        <f t="shared" si="29"/>
        <v>253.0472138</v>
      </c>
      <c r="N136" s="362">
        <f t="shared" si="29"/>
        <v>283.7538873</v>
      </c>
      <c r="O136" s="362">
        <f t="shared" si="29"/>
        <v>262.5104697</v>
      </c>
      <c r="P136" s="362">
        <f t="shared" si="29"/>
        <v>897.9528311</v>
      </c>
      <c r="Q136" s="362">
        <f t="shared" si="29"/>
        <v>325.3023446</v>
      </c>
      <c r="R136" s="362">
        <f t="shared" si="29"/>
        <v>18.86866585</v>
      </c>
      <c r="S136" s="362">
        <f t="shared" si="29"/>
        <v>2.061511817</v>
      </c>
      <c r="T136" s="362">
        <f t="shared" si="29"/>
        <v>7.166034191</v>
      </c>
      <c r="U136" s="362">
        <f t="shared" si="29"/>
        <v>36.19757997</v>
      </c>
      <c r="V136" s="362">
        <f t="shared" si="29"/>
        <v>9.272254342</v>
      </c>
      <c r="W136" s="362">
        <f t="shared" si="29"/>
        <v>9.079977253</v>
      </c>
      <c r="X136" s="362">
        <f t="shared" si="29"/>
        <v>5.50521423</v>
      </c>
      <c r="Y136" s="362">
        <f t="shared" si="29"/>
        <v>2.430833835</v>
      </c>
      <c r="Z136" s="362">
        <f t="shared" si="29"/>
        <v>8.022864251</v>
      </c>
      <c r="AA136" s="362">
        <f t="shared" si="29"/>
        <v>3.692925197</v>
      </c>
      <c r="AB136" s="362">
        <f t="shared" si="29"/>
        <v>17.20618202</v>
      </c>
      <c r="AC136" s="362">
        <f t="shared" si="29"/>
        <v>21.12535211</v>
      </c>
      <c r="AD136" s="362">
        <f t="shared" si="29"/>
        <v>3.566926138</v>
      </c>
      <c r="AE136" s="362">
        <f t="shared" si="29"/>
        <v>5.878130964</v>
      </c>
      <c r="AF136" s="362">
        <f t="shared" si="29"/>
        <v>47.22113533</v>
      </c>
      <c r="AG136" s="362">
        <f t="shared" si="29"/>
        <v>296.6664759</v>
      </c>
      <c r="AH136" s="362">
        <f t="shared" si="29"/>
        <v>200.3751786</v>
      </c>
      <c r="AI136" s="362">
        <f t="shared" si="29"/>
        <v>37.81516841</v>
      </c>
      <c r="AJ136" s="362">
        <f t="shared" si="29"/>
        <v>600.4584419</v>
      </c>
      <c r="AK136" s="371"/>
    </row>
    <row r="137">
      <c r="A137" s="101"/>
      <c r="B137" s="102"/>
      <c r="C137" s="130"/>
      <c r="D137" s="130"/>
      <c r="E137" s="131"/>
      <c r="F137" s="132"/>
      <c r="G137" s="133"/>
      <c r="H137" s="135"/>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AD137" s="137"/>
      <c r="AE137" s="140"/>
      <c r="AF137" s="140"/>
      <c r="AG137" s="140"/>
      <c r="AH137" s="140"/>
      <c r="AI137" s="140"/>
      <c r="AJ137" s="140"/>
      <c r="AK137" s="141"/>
    </row>
    <row r="138">
      <c r="A138" s="101"/>
      <c r="B138" s="102"/>
      <c r="C138" s="130" t="s">
        <v>428</v>
      </c>
      <c r="F138" s="132"/>
      <c r="G138" s="133"/>
      <c r="H138" s="135"/>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40"/>
      <c r="AF138" s="140"/>
      <c r="AG138" s="140"/>
      <c r="AH138" s="140"/>
      <c r="AI138" s="140"/>
      <c r="AJ138" s="140"/>
      <c r="AK138" s="141"/>
    </row>
    <row r="139">
      <c r="A139" s="101"/>
      <c r="B139" s="102"/>
      <c r="C139" s="130"/>
      <c r="D139" s="454"/>
      <c r="E139" s="112" t="s">
        <v>430</v>
      </c>
      <c r="F139" s="114" t="str">
        <f>Inputs!F120</f>
        <v>#</v>
      </c>
      <c r="G139" s="148" t="str">
        <f>Inputs!G120</f>
        <v>input</v>
      </c>
      <c r="H139" s="253" t="str">
        <f>Inputs!H120</f>
        <v>-</v>
      </c>
      <c r="I139" s="212">
        <f>Inputs!I120</f>
        <v>3240.766172</v>
      </c>
      <c r="J139" s="212">
        <f>Inputs!J120</f>
        <v>511.8589187</v>
      </c>
      <c r="K139" s="212">
        <f>Inputs!K120</f>
        <v>405.2707627</v>
      </c>
      <c r="L139" s="212">
        <f>Inputs!L120</f>
        <v>3209.696883</v>
      </c>
      <c r="M139" s="212">
        <f>Inputs!M120</f>
        <v>1366.196343</v>
      </c>
      <c r="N139" s="212">
        <f>Inputs!N120</f>
        <v>2228.863407</v>
      </c>
      <c r="O139" s="212">
        <f>Inputs!O120</f>
        <v>2713.235172</v>
      </c>
      <c r="P139" s="212">
        <f>Inputs!P120</f>
        <v>12360.99778</v>
      </c>
      <c r="Q139" s="212">
        <f>Inputs!Q120</f>
        <v>2170.903038</v>
      </c>
      <c r="R139" s="212">
        <f>Inputs!R120</f>
        <v>93.41445483</v>
      </c>
      <c r="S139" s="212">
        <f>Inputs!S120</f>
        <v>7.981324951</v>
      </c>
      <c r="T139" s="212">
        <f>Inputs!T120</f>
        <v>22.19935276</v>
      </c>
      <c r="U139" s="212">
        <f>Inputs!U120</f>
        <v>137.2677538</v>
      </c>
      <c r="V139" s="212">
        <f>Inputs!V120</f>
        <v>42.083102</v>
      </c>
      <c r="W139" s="212">
        <f>Inputs!W120</f>
        <v>41.36376613</v>
      </c>
      <c r="X139" s="212">
        <f>Inputs!X120</f>
        <v>22.16163252</v>
      </c>
      <c r="Y139" s="212">
        <f>Inputs!Y120</f>
        <v>10.94014326</v>
      </c>
      <c r="Z139" s="212">
        <f>Inputs!Z120</f>
        <v>26.03646214</v>
      </c>
      <c r="AA139" s="212">
        <f>Inputs!AA120</f>
        <v>14.90612651</v>
      </c>
      <c r="AB139" s="212">
        <f>Inputs!AB120</f>
        <v>76.47365451</v>
      </c>
      <c r="AC139" s="212">
        <f>Inputs!AC120</f>
        <v>81.16861838</v>
      </c>
      <c r="AD139" s="212">
        <f>Inputs!AD120</f>
        <v>12.07559408</v>
      </c>
      <c r="AE139" s="212">
        <f>Inputs!AE120</f>
        <v>27.24434138</v>
      </c>
      <c r="AF139" s="212">
        <f>Inputs!AF120</f>
        <v>217.9004706</v>
      </c>
      <c r="AG139" s="212">
        <f>Inputs!AG120</f>
        <v>1856.458748</v>
      </c>
      <c r="AH139" s="212">
        <f>Inputs!AH120</f>
        <v>1797.586184</v>
      </c>
      <c r="AI139" s="212">
        <f>Inputs!AI120</f>
        <v>94.18087009</v>
      </c>
      <c r="AJ139" s="212">
        <f>Inputs!AJ120</f>
        <v>2544.791322</v>
      </c>
      <c r="AK139" s="221"/>
    </row>
    <row r="140">
      <c r="A140" s="101"/>
      <c r="B140" s="102"/>
      <c r="C140" s="130"/>
      <c r="D140" s="454"/>
      <c r="E140" s="144" t="s">
        <v>436</v>
      </c>
      <c r="F140" s="145" t="str">
        <f>Inputs!F121</f>
        <v>#</v>
      </c>
      <c r="G140" s="217" t="str">
        <f>Inputs!G121</f>
        <v>input</v>
      </c>
      <c r="H140" s="267" t="str">
        <f>Inputs!H121</f>
        <v>-</v>
      </c>
      <c r="I140" s="225">
        <f>Inputs!I121</f>
        <v>0</v>
      </c>
      <c r="J140" s="225">
        <f>Inputs!J121</f>
        <v>0</v>
      </c>
      <c r="K140" s="225">
        <f>Inputs!K121</f>
        <v>0</v>
      </c>
      <c r="L140" s="225">
        <f>Inputs!L121</f>
        <v>0</v>
      </c>
      <c r="M140" s="225">
        <f>Inputs!M121</f>
        <v>0</v>
      </c>
      <c r="N140" s="225">
        <f>Inputs!N121</f>
        <v>0</v>
      </c>
      <c r="O140" s="225">
        <f>Inputs!O121</f>
        <v>0</v>
      </c>
      <c r="P140" s="225">
        <f>Inputs!P121</f>
        <v>0</v>
      </c>
      <c r="Q140" s="225">
        <f>Inputs!Q121</f>
        <v>0</v>
      </c>
      <c r="R140" s="225" t="str">
        <f>Inputs!R121</f>
        <v>-</v>
      </c>
      <c r="S140" s="225" t="str">
        <f>Inputs!S121</f>
        <v>-</v>
      </c>
      <c r="T140" s="225" t="str">
        <f>Inputs!T121</f>
        <v>-</v>
      </c>
      <c r="U140" s="225" t="str">
        <f>Inputs!U121</f>
        <v>-</v>
      </c>
      <c r="V140" s="225" t="str">
        <f>Inputs!V121</f>
        <v>-</v>
      </c>
      <c r="W140" s="225" t="str">
        <f>Inputs!W121</f>
        <v>-</v>
      </c>
      <c r="X140" s="225" t="str">
        <f>Inputs!X121</f>
        <v>-</v>
      </c>
      <c r="Y140" s="225" t="str">
        <f>Inputs!Y121</f>
        <v>-</v>
      </c>
      <c r="Z140" s="225" t="str">
        <f>Inputs!Z121</f>
        <v>-</v>
      </c>
      <c r="AA140" s="225" t="str">
        <f>Inputs!AA121</f>
        <v>-</v>
      </c>
      <c r="AB140" s="225" t="str">
        <f>Inputs!AB121</f>
        <v>-</v>
      </c>
      <c r="AC140" s="225" t="str">
        <f>Inputs!AC121</f>
        <v>-</v>
      </c>
      <c r="AD140" s="225" t="str">
        <f>Inputs!AD121</f>
        <v>-</v>
      </c>
      <c r="AE140" s="225" t="str">
        <f>Inputs!AE121</f>
        <v>-</v>
      </c>
      <c r="AF140" s="225" t="str">
        <f>Inputs!AF121</f>
        <v>-</v>
      </c>
      <c r="AG140" s="225">
        <f>Inputs!AG121</f>
        <v>0</v>
      </c>
      <c r="AH140" s="225">
        <f>Inputs!AH121</f>
        <v>0</v>
      </c>
      <c r="AI140" s="225">
        <f>Inputs!AI121</f>
        <v>0</v>
      </c>
      <c r="AJ140" s="225">
        <f>Inputs!AJ121</f>
        <v>0</v>
      </c>
      <c r="AK140" s="226"/>
    </row>
    <row r="141">
      <c r="A141" s="101"/>
      <c r="B141" s="102"/>
      <c r="C141" s="130"/>
      <c r="D141" s="130"/>
      <c r="E141" s="144" t="s">
        <v>441</v>
      </c>
      <c r="F141" s="145" t="str">
        <f>Inputs!F122</f>
        <v>#</v>
      </c>
      <c r="G141" s="217" t="str">
        <f>Inputs!G122</f>
        <v>input</v>
      </c>
      <c r="H141" s="267" t="str">
        <f>Inputs!H122</f>
        <v>-</v>
      </c>
      <c r="I141" s="225">
        <f>Inputs!I122</f>
        <v>0</v>
      </c>
      <c r="J141" s="225">
        <f>Inputs!J122</f>
        <v>0</v>
      </c>
      <c r="K141" s="225">
        <f>Inputs!K122</f>
        <v>0</v>
      </c>
      <c r="L141" s="225">
        <f>Inputs!L122</f>
        <v>0</v>
      </c>
      <c r="M141" s="225">
        <f>Inputs!M122</f>
        <v>0</v>
      </c>
      <c r="N141" s="225">
        <f>Inputs!N122</f>
        <v>0</v>
      </c>
      <c r="O141" s="225">
        <f>Inputs!O122</f>
        <v>0</v>
      </c>
      <c r="P141" s="225">
        <f>Inputs!P122</f>
        <v>0</v>
      </c>
      <c r="Q141" s="225">
        <f>Inputs!Q122</f>
        <v>0</v>
      </c>
      <c r="R141" s="225" t="str">
        <f>Inputs!R122</f>
        <v>-</v>
      </c>
      <c r="S141" s="225" t="str">
        <f>Inputs!S122</f>
        <v>-</v>
      </c>
      <c r="T141" s="225" t="str">
        <f>Inputs!T122</f>
        <v>-</v>
      </c>
      <c r="U141" s="225" t="str">
        <f>Inputs!U122</f>
        <v>-</v>
      </c>
      <c r="V141" s="225" t="str">
        <f>Inputs!V122</f>
        <v>-</v>
      </c>
      <c r="W141" s="225" t="str">
        <f>Inputs!W122</f>
        <v>-</v>
      </c>
      <c r="X141" s="225" t="str">
        <f>Inputs!X122</f>
        <v>-</v>
      </c>
      <c r="Y141" s="225" t="str">
        <f>Inputs!Y122</f>
        <v>-</v>
      </c>
      <c r="Z141" s="225" t="str">
        <f>Inputs!Z122</f>
        <v>-</v>
      </c>
      <c r="AA141" s="225" t="str">
        <f>Inputs!AA122</f>
        <v>-</v>
      </c>
      <c r="AB141" s="225" t="str">
        <f>Inputs!AB122</f>
        <v>-</v>
      </c>
      <c r="AC141" s="225" t="str">
        <f>Inputs!AC122</f>
        <v>-</v>
      </c>
      <c r="AD141" s="225" t="str">
        <f>Inputs!AD122</f>
        <v>-</v>
      </c>
      <c r="AE141" s="225" t="str">
        <f>Inputs!AE122</f>
        <v>-</v>
      </c>
      <c r="AF141" s="225" t="str">
        <f>Inputs!AF122</f>
        <v>-</v>
      </c>
      <c r="AG141" s="225">
        <f>Inputs!AG122</f>
        <v>0</v>
      </c>
      <c r="AH141" s="225">
        <f>Inputs!AH122</f>
        <v>0</v>
      </c>
      <c r="AI141" s="225">
        <f>Inputs!AI122</f>
        <v>0</v>
      </c>
      <c r="AJ141" s="225">
        <f>Inputs!AJ122</f>
        <v>0</v>
      </c>
      <c r="AK141" s="226"/>
    </row>
    <row r="142">
      <c r="A142" s="101"/>
      <c r="B142" s="102"/>
      <c r="C142" s="130"/>
      <c r="D142" s="130"/>
      <c r="E142" s="144" t="s">
        <v>446</v>
      </c>
      <c r="F142" s="145" t="str">
        <f>Inputs!F123</f>
        <v>#</v>
      </c>
      <c r="G142" s="217" t="str">
        <f>Inputs!G123</f>
        <v>input</v>
      </c>
      <c r="H142" s="267" t="str">
        <f>Inputs!H123</f>
        <v>-</v>
      </c>
      <c r="I142" s="225">
        <f>Inputs!I123</f>
        <v>1314.619861</v>
      </c>
      <c r="J142" s="225">
        <f>Inputs!J123</f>
        <v>227.6493195</v>
      </c>
      <c r="K142" s="225">
        <f>Inputs!K123</f>
        <v>142.2047</v>
      </c>
      <c r="L142" s="225">
        <f>Inputs!L123</f>
        <v>1750.771129</v>
      </c>
      <c r="M142" s="225">
        <f>Inputs!M123</f>
        <v>474.3186015</v>
      </c>
      <c r="N142" s="225">
        <f>Inputs!N123</f>
        <v>1018.345263</v>
      </c>
      <c r="O142" s="225">
        <f>Inputs!O123</f>
        <v>1197.536301</v>
      </c>
      <c r="P142" s="225">
        <f>Inputs!P123</f>
        <v>3615.922396</v>
      </c>
      <c r="Q142" s="225">
        <f>Inputs!Q123</f>
        <v>666.9676364</v>
      </c>
      <c r="R142" s="225">
        <f>Inputs!R123</f>
        <v>45.85553736</v>
      </c>
      <c r="S142" s="225">
        <f>Inputs!S123</f>
        <v>5.57284467</v>
      </c>
      <c r="T142" s="225">
        <f>Inputs!T123</f>
        <v>15.29420849</v>
      </c>
      <c r="U142" s="225">
        <f>Inputs!U123</f>
        <v>83.94278256</v>
      </c>
      <c r="V142" s="225">
        <f>Inputs!V123</f>
        <v>23.99536706</v>
      </c>
      <c r="W142" s="225">
        <f>Inputs!W123</f>
        <v>23.76993056</v>
      </c>
      <c r="X142" s="225">
        <f>Inputs!X123</f>
        <v>13.79276453</v>
      </c>
      <c r="Y142" s="225">
        <f>Inputs!Y123</f>
        <v>6.504526225</v>
      </c>
      <c r="Z142" s="225">
        <f>Inputs!Z123</f>
        <v>18.98935739</v>
      </c>
      <c r="AA142" s="225">
        <f>Inputs!AA123</f>
        <v>8.749991978</v>
      </c>
      <c r="AB142" s="225">
        <f>Inputs!AB123</f>
        <v>44.7369121</v>
      </c>
      <c r="AC142" s="225">
        <f>Inputs!AC123</f>
        <v>52.91201047</v>
      </c>
      <c r="AD142" s="225">
        <f>Inputs!AD123</f>
        <v>8.016956106</v>
      </c>
      <c r="AE142" s="225">
        <f>Inputs!AE123</f>
        <v>16.93959217</v>
      </c>
      <c r="AF142" s="225">
        <f>Inputs!AF123</f>
        <v>108.4879973</v>
      </c>
      <c r="AG142" s="225">
        <f>Inputs!AG123</f>
        <v>905.6977597</v>
      </c>
      <c r="AH142" s="225">
        <f>Inputs!AH123</f>
        <v>756.7462721</v>
      </c>
      <c r="AI142" s="225">
        <f>Inputs!AI123</f>
        <v>35.94181968</v>
      </c>
      <c r="AJ142" s="225">
        <f>Inputs!AJ123</f>
        <v>1087.170306</v>
      </c>
      <c r="AK142" s="226"/>
    </row>
    <row r="143">
      <c r="A143" s="101"/>
      <c r="B143" s="102"/>
      <c r="C143" s="130"/>
      <c r="D143" s="130"/>
      <c r="E143" s="144" t="s">
        <v>550</v>
      </c>
      <c r="F143" s="145" t="s">
        <v>101</v>
      </c>
      <c r="G143" s="217" t="s">
        <v>164</v>
      </c>
      <c r="H143" s="267" t="s">
        <v>165</v>
      </c>
      <c r="I143" s="225">
        <f t="shared" ref="I143:AJ143" si="30">I142*$H$104</f>
        <v>696.7485263</v>
      </c>
      <c r="J143" s="225">
        <f t="shared" si="30"/>
        <v>120.6541393</v>
      </c>
      <c r="K143" s="225">
        <f t="shared" si="30"/>
        <v>75.368491</v>
      </c>
      <c r="L143" s="225">
        <f t="shared" si="30"/>
        <v>927.9086984</v>
      </c>
      <c r="M143" s="225">
        <f t="shared" si="30"/>
        <v>251.3888588</v>
      </c>
      <c r="N143" s="225">
        <f t="shared" si="30"/>
        <v>539.7229894</v>
      </c>
      <c r="O143" s="225">
        <f t="shared" si="30"/>
        <v>634.6942395</v>
      </c>
      <c r="P143" s="225">
        <f t="shared" si="30"/>
        <v>1916.43887</v>
      </c>
      <c r="Q143" s="225">
        <f t="shared" si="30"/>
        <v>353.4928473</v>
      </c>
      <c r="R143" s="225">
        <f t="shared" si="30"/>
        <v>24.3034348</v>
      </c>
      <c r="S143" s="225">
        <f t="shared" si="30"/>
        <v>2.953607675</v>
      </c>
      <c r="T143" s="225">
        <f t="shared" si="30"/>
        <v>8.1059305</v>
      </c>
      <c r="U143" s="225">
        <f t="shared" si="30"/>
        <v>44.48967476</v>
      </c>
      <c r="V143" s="225">
        <f t="shared" si="30"/>
        <v>12.71754454</v>
      </c>
      <c r="W143" s="225">
        <f t="shared" si="30"/>
        <v>12.5980632</v>
      </c>
      <c r="X143" s="225">
        <f t="shared" si="30"/>
        <v>7.310165201</v>
      </c>
      <c r="Y143" s="225">
        <f t="shared" si="30"/>
        <v>3.447398899</v>
      </c>
      <c r="Z143" s="225">
        <f t="shared" si="30"/>
        <v>10.06435942</v>
      </c>
      <c r="AA143" s="225">
        <f t="shared" si="30"/>
        <v>4.637495748</v>
      </c>
      <c r="AB143" s="225">
        <f t="shared" si="30"/>
        <v>23.71056341</v>
      </c>
      <c r="AC143" s="225">
        <f t="shared" si="30"/>
        <v>28.04336555</v>
      </c>
      <c r="AD143" s="225">
        <f t="shared" si="30"/>
        <v>4.248986736</v>
      </c>
      <c r="AE143" s="225">
        <f t="shared" si="30"/>
        <v>8.97798385</v>
      </c>
      <c r="AF143" s="225">
        <f t="shared" si="30"/>
        <v>57.49863857</v>
      </c>
      <c r="AG143" s="225">
        <f t="shared" si="30"/>
        <v>480.0198126</v>
      </c>
      <c r="AH143" s="225">
        <f t="shared" si="30"/>
        <v>401.0755242</v>
      </c>
      <c r="AI143" s="225">
        <f t="shared" si="30"/>
        <v>19.04916443</v>
      </c>
      <c r="AJ143" s="225">
        <f t="shared" si="30"/>
        <v>576.2002622</v>
      </c>
      <c r="AK143" s="226"/>
    </row>
    <row r="144">
      <c r="A144" s="101"/>
      <c r="B144" s="102"/>
      <c r="C144" s="130"/>
      <c r="D144" s="130"/>
      <c r="E144" s="190" t="s">
        <v>554</v>
      </c>
      <c r="F144" s="176" t="s">
        <v>101</v>
      </c>
      <c r="G144" s="177" t="s">
        <v>164</v>
      </c>
      <c r="H144" s="276" t="s">
        <v>165</v>
      </c>
      <c r="I144" s="362">
        <f t="shared" ref="I144:AJ144" si="31">I139-SUM(I140:I141,I143)</f>
        <v>2544.017646</v>
      </c>
      <c r="J144" s="362">
        <f t="shared" si="31"/>
        <v>391.2047794</v>
      </c>
      <c r="K144" s="362">
        <f t="shared" si="31"/>
        <v>329.9022717</v>
      </c>
      <c r="L144" s="362">
        <f t="shared" si="31"/>
        <v>2281.788185</v>
      </c>
      <c r="M144" s="362">
        <f t="shared" si="31"/>
        <v>1114.807484</v>
      </c>
      <c r="N144" s="362">
        <f t="shared" si="31"/>
        <v>1689.140418</v>
      </c>
      <c r="O144" s="362">
        <f t="shared" si="31"/>
        <v>2078.540932</v>
      </c>
      <c r="P144" s="362">
        <f t="shared" si="31"/>
        <v>10444.55891</v>
      </c>
      <c r="Q144" s="362">
        <f t="shared" si="31"/>
        <v>1817.410191</v>
      </c>
      <c r="R144" s="362">
        <f t="shared" si="31"/>
        <v>69.11102003</v>
      </c>
      <c r="S144" s="362">
        <f t="shared" si="31"/>
        <v>5.027717276</v>
      </c>
      <c r="T144" s="362">
        <f t="shared" si="31"/>
        <v>14.09342226</v>
      </c>
      <c r="U144" s="362">
        <f t="shared" si="31"/>
        <v>92.77807904</v>
      </c>
      <c r="V144" s="362">
        <f t="shared" si="31"/>
        <v>29.36555746</v>
      </c>
      <c r="W144" s="362">
        <f t="shared" si="31"/>
        <v>28.76570293</v>
      </c>
      <c r="X144" s="362">
        <f t="shared" si="31"/>
        <v>14.85146732</v>
      </c>
      <c r="Y144" s="362">
        <f t="shared" si="31"/>
        <v>7.492744361</v>
      </c>
      <c r="Z144" s="362">
        <f t="shared" si="31"/>
        <v>15.97210272</v>
      </c>
      <c r="AA144" s="362">
        <f t="shared" si="31"/>
        <v>10.26863076</v>
      </c>
      <c r="AB144" s="362">
        <f t="shared" si="31"/>
        <v>52.7630911</v>
      </c>
      <c r="AC144" s="362">
        <f t="shared" si="31"/>
        <v>53.12525283</v>
      </c>
      <c r="AD144" s="362">
        <f t="shared" si="31"/>
        <v>7.826607344</v>
      </c>
      <c r="AE144" s="362">
        <f t="shared" si="31"/>
        <v>18.26635753</v>
      </c>
      <c r="AF144" s="362">
        <f t="shared" si="31"/>
        <v>160.401832</v>
      </c>
      <c r="AG144" s="362">
        <f t="shared" si="31"/>
        <v>1376.438935</v>
      </c>
      <c r="AH144" s="362">
        <f t="shared" si="31"/>
        <v>1396.51066</v>
      </c>
      <c r="AI144" s="362">
        <f t="shared" si="31"/>
        <v>75.13170566</v>
      </c>
      <c r="AJ144" s="362">
        <f t="shared" si="31"/>
        <v>1968.59106</v>
      </c>
      <c r="AK144" s="371"/>
    </row>
    <row r="145">
      <c r="A145" s="101"/>
      <c r="B145" s="102"/>
      <c r="C145" s="130"/>
      <c r="D145" s="130"/>
      <c r="E145" s="131"/>
      <c r="F145" s="132"/>
      <c r="G145" s="133"/>
      <c r="H145" s="135"/>
      <c r="I145" s="137"/>
      <c r="J145" s="137"/>
      <c r="K145" s="137"/>
      <c r="L145" s="137"/>
      <c r="M145" s="137"/>
      <c r="N145" s="137"/>
      <c r="O145" s="137"/>
      <c r="P145" s="137"/>
      <c r="Q145" s="137"/>
      <c r="R145" s="137"/>
      <c r="S145" s="137"/>
      <c r="T145" s="137"/>
      <c r="U145" s="137"/>
      <c r="V145" s="137"/>
      <c r="W145" s="137"/>
      <c r="X145" s="137"/>
      <c r="Y145" s="137"/>
      <c r="Z145" s="137"/>
      <c r="AA145" s="137"/>
      <c r="AB145" s="137"/>
      <c r="AC145" s="137"/>
      <c r="AD145" s="137"/>
      <c r="AE145" s="140"/>
      <c r="AF145" s="140"/>
      <c r="AG145" s="140"/>
      <c r="AH145" s="140"/>
      <c r="AI145" s="140"/>
      <c r="AJ145" s="140"/>
      <c r="AK145" s="141"/>
    </row>
    <row r="146">
      <c r="A146" s="101"/>
      <c r="B146" s="102"/>
      <c r="C146" s="130" t="s">
        <v>559</v>
      </c>
      <c r="F146" s="132"/>
      <c r="G146" s="133"/>
      <c r="H146" s="135"/>
      <c r="I146" s="137"/>
      <c r="J146" s="137"/>
      <c r="K146" s="137"/>
      <c r="L146" s="137"/>
      <c r="M146" s="137"/>
      <c r="N146" s="137"/>
      <c r="O146" s="137"/>
      <c r="P146" s="137"/>
      <c r="Q146" s="137"/>
      <c r="R146" s="137"/>
      <c r="S146" s="137"/>
      <c r="T146" s="137"/>
      <c r="U146" s="137"/>
      <c r="V146" s="137"/>
      <c r="W146" s="137"/>
      <c r="X146" s="137"/>
      <c r="Y146" s="137"/>
      <c r="Z146" s="137"/>
      <c r="AA146" s="137"/>
      <c r="AB146" s="137"/>
      <c r="AC146" s="137"/>
      <c r="AD146" s="137"/>
      <c r="AE146" s="140"/>
      <c r="AF146" s="140"/>
      <c r="AG146" s="140"/>
      <c r="AH146" s="140"/>
      <c r="AI146" s="140"/>
      <c r="AJ146" s="140"/>
      <c r="AK146" s="141"/>
    </row>
    <row r="147">
      <c r="A147" s="101"/>
      <c r="B147" s="102"/>
      <c r="C147" s="130"/>
      <c r="D147" s="454"/>
      <c r="E147" s="112" t="s">
        <v>560</v>
      </c>
      <c r="F147" s="114" t="s">
        <v>101</v>
      </c>
      <c r="G147" s="148" t="s">
        <v>164</v>
      </c>
      <c r="H147" s="151" t="s">
        <v>165</v>
      </c>
      <c r="I147" s="212">
        <f t="shared" ref="I147:AJ147" si="32">I123-SUM(I131,I139)</f>
        <v>56329.44881</v>
      </c>
      <c r="J147" s="212">
        <f t="shared" si="32"/>
        <v>39600.53887</v>
      </c>
      <c r="K147" s="212">
        <f t="shared" si="32"/>
        <v>33863.04191</v>
      </c>
      <c r="L147" s="212">
        <f t="shared" si="32"/>
        <v>100799.5901</v>
      </c>
      <c r="M147" s="212">
        <f t="shared" si="32"/>
        <v>26504.66484</v>
      </c>
      <c r="N147" s="212">
        <f t="shared" si="32"/>
        <v>27310.45464</v>
      </c>
      <c r="O147" s="212">
        <f t="shared" si="32"/>
        <v>27662.72282</v>
      </c>
      <c r="P147" s="212">
        <f t="shared" si="32"/>
        <v>50394.64515</v>
      </c>
      <c r="Q147" s="212">
        <f t="shared" si="32"/>
        <v>81602.62082</v>
      </c>
      <c r="R147" s="212">
        <f t="shared" si="32"/>
        <v>8676.149063</v>
      </c>
      <c r="S147" s="212">
        <f t="shared" si="32"/>
        <v>2145.095361</v>
      </c>
      <c r="T147" s="212">
        <f t="shared" si="32"/>
        <v>4258.53365</v>
      </c>
      <c r="U147" s="212">
        <f t="shared" si="32"/>
        <v>15698.68679</v>
      </c>
      <c r="V147" s="212">
        <f t="shared" si="32"/>
        <v>4555.295606</v>
      </c>
      <c r="W147" s="212">
        <f t="shared" si="32"/>
        <v>4691.142182</v>
      </c>
      <c r="X147" s="212">
        <f t="shared" si="32"/>
        <v>3042.557865</v>
      </c>
      <c r="Y147" s="212">
        <f t="shared" si="32"/>
        <v>1556.990571</v>
      </c>
      <c r="Z147" s="212">
        <f t="shared" si="32"/>
        <v>6332.362009</v>
      </c>
      <c r="AA147" s="212">
        <f t="shared" si="32"/>
        <v>2022.212273</v>
      </c>
      <c r="AB147" s="212">
        <f t="shared" si="32"/>
        <v>7712.358817</v>
      </c>
      <c r="AC147" s="212">
        <f t="shared" si="32"/>
        <v>11208.10705</v>
      </c>
      <c r="AD147" s="212">
        <f t="shared" si="32"/>
        <v>2460.204261</v>
      </c>
      <c r="AE147" s="212">
        <f t="shared" si="32"/>
        <v>4154.558877</v>
      </c>
      <c r="AF147" s="212">
        <f t="shared" si="32"/>
        <v>21056.62454</v>
      </c>
      <c r="AG147" s="212">
        <f t="shared" si="32"/>
        <v>29674.43499</v>
      </c>
      <c r="AH147" s="212">
        <f t="shared" si="32"/>
        <v>57201.23231</v>
      </c>
      <c r="AI147" s="212">
        <f t="shared" si="32"/>
        <v>8748.138547</v>
      </c>
      <c r="AJ147" s="212">
        <f t="shared" si="32"/>
        <v>46459.89963</v>
      </c>
      <c r="AK147" s="221"/>
    </row>
    <row r="148">
      <c r="A148" s="101"/>
      <c r="B148" s="102"/>
      <c r="C148" s="130"/>
      <c r="D148" s="454"/>
      <c r="E148" s="144" t="s">
        <v>562</v>
      </c>
      <c r="F148" s="145" t="s">
        <v>101</v>
      </c>
      <c r="G148" s="217" t="s">
        <v>164</v>
      </c>
      <c r="H148" s="219" t="s">
        <v>165</v>
      </c>
      <c r="I148" s="225">
        <f t="shared" ref="I148:AJ148" si="33">I124-SUM(I132,I140)</f>
        <v>2426.6661</v>
      </c>
      <c r="J148" s="225">
        <f t="shared" si="33"/>
        <v>2286.772</v>
      </c>
      <c r="K148" s="225">
        <f t="shared" si="33"/>
        <v>2979.44186</v>
      </c>
      <c r="L148" s="225">
        <f t="shared" si="33"/>
        <v>8675.68496</v>
      </c>
      <c r="M148" s="225">
        <f t="shared" si="33"/>
        <v>1294.424831</v>
      </c>
      <c r="N148" s="225">
        <f t="shared" si="33"/>
        <v>3259.09923</v>
      </c>
      <c r="O148" s="225">
        <f t="shared" si="33"/>
        <v>3695.21521</v>
      </c>
      <c r="P148" s="225">
        <f t="shared" si="33"/>
        <v>2776.82859</v>
      </c>
      <c r="Q148" s="225">
        <f t="shared" si="33"/>
        <v>2710.14815</v>
      </c>
      <c r="R148" s="225">
        <f t="shared" si="33"/>
        <v>587.090073</v>
      </c>
      <c r="S148" s="225">
        <f t="shared" si="33"/>
        <v>248.0578067</v>
      </c>
      <c r="T148" s="225">
        <f t="shared" si="33"/>
        <v>526.860192</v>
      </c>
      <c r="U148" s="225">
        <f t="shared" si="33"/>
        <v>1302.89722</v>
      </c>
      <c r="V148" s="225">
        <f t="shared" si="33"/>
        <v>469.932177</v>
      </c>
      <c r="W148" s="225">
        <f t="shared" si="33"/>
        <v>399.8436</v>
      </c>
      <c r="X148" s="225">
        <f t="shared" si="33"/>
        <v>362.12667</v>
      </c>
      <c r="Y148" s="225">
        <f t="shared" si="33"/>
        <v>159.3930002</v>
      </c>
      <c r="Z148" s="225">
        <f t="shared" si="33"/>
        <v>776.996379</v>
      </c>
      <c r="AA148" s="225">
        <f t="shared" si="33"/>
        <v>252.285447</v>
      </c>
      <c r="AB148" s="225">
        <f t="shared" si="33"/>
        <v>656.251747</v>
      </c>
      <c r="AC148" s="225">
        <f t="shared" si="33"/>
        <v>1148.578404</v>
      </c>
      <c r="AD148" s="225">
        <f t="shared" si="33"/>
        <v>358.105129</v>
      </c>
      <c r="AE148" s="225">
        <f t="shared" si="33"/>
        <v>396.36298</v>
      </c>
      <c r="AF148" s="225">
        <f t="shared" si="33"/>
        <v>1347.268383</v>
      </c>
      <c r="AG148" s="225">
        <f t="shared" si="33"/>
        <v>2675.80679</v>
      </c>
      <c r="AH148" s="225">
        <f t="shared" si="33"/>
        <v>3388.07149</v>
      </c>
      <c r="AI148" s="225">
        <f t="shared" si="33"/>
        <v>585.35729</v>
      </c>
      <c r="AJ148" s="225">
        <f t="shared" si="33"/>
        <v>4758.61352</v>
      </c>
      <c r="AK148" s="226"/>
    </row>
    <row r="149">
      <c r="A149" s="101"/>
      <c r="B149" s="102"/>
      <c r="C149" s="130"/>
      <c r="D149" s="130"/>
      <c r="E149" s="144" t="s">
        <v>564</v>
      </c>
      <c r="F149" s="145" t="s">
        <v>101</v>
      </c>
      <c r="G149" s="217" t="s">
        <v>164</v>
      </c>
      <c r="H149" s="219" t="s">
        <v>165</v>
      </c>
      <c r="I149" s="225">
        <f t="shared" ref="I149:AJ149" si="34">I125-SUM(I133,I141)</f>
        <v>3033.931567</v>
      </c>
      <c r="J149" s="225">
        <f t="shared" si="34"/>
        <v>2188.688376</v>
      </c>
      <c r="K149" s="225">
        <f t="shared" si="34"/>
        <v>2304.505495</v>
      </c>
      <c r="L149" s="225">
        <f t="shared" si="34"/>
        <v>6731.297136</v>
      </c>
      <c r="M149" s="225">
        <f t="shared" si="34"/>
        <v>1516.020697</v>
      </c>
      <c r="N149" s="225">
        <f t="shared" si="34"/>
        <v>2548.958415</v>
      </c>
      <c r="O149" s="225">
        <f t="shared" si="34"/>
        <v>2268.011082</v>
      </c>
      <c r="P149" s="225">
        <f t="shared" si="34"/>
        <v>2224.123073</v>
      </c>
      <c r="Q149" s="225">
        <f t="shared" si="34"/>
        <v>3365.323944</v>
      </c>
      <c r="R149" s="225">
        <f t="shared" si="34"/>
        <v>466.7580236</v>
      </c>
      <c r="S149" s="225">
        <f t="shared" si="34"/>
        <v>148.4928762</v>
      </c>
      <c r="T149" s="225">
        <f t="shared" si="34"/>
        <v>323.7696464</v>
      </c>
      <c r="U149" s="225">
        <f t="shared" si="34"/>
        <v>890.4730681</v>
      </c>
      <c r="V149" s="225">
        <f t="shared" si="34"/>
        <v>290.832114</v>
      </c>
      <c r="W149" s="225">
        <f t="shared" si="34"/>
        <v>296.7864981</v>
      </c>
      <c r="X149" s="225">
        <f t="shared" si="34"/>
        <v>211.7948996</v>
      </c>
      <c r="Y149" s="225">
        <f t="shared" si="34"/>
        <v>109.27633</v>
      </c>
      <c r="Z149" s="225">
        <f t="shared" si="34"/>
        <v>541.8414636</v>
      </c>
      <c r="AA149" s="225">
        <f t="shared" si="34"/>
        <v>140.1548262</v>
      </c>
      <c r="AB149" s="225">
        <f t="shared" si="34"/>
        <v>457.320465</v>
      </c>
      <c r="AC149" s="225">
        <f t="shared" si="34"/>
        <v>792.0248512</v>
      </c>
      <c r="AD149" s="225">
        <f t="shared" si="34"/>
        <v>204.013186</v>
      </c>
      <c r="AE149" s="225">
        <f t="shared" si="34"/>
        <v>269.8904097</v>
      </c>
      <c r="AF149" s="225">
        <f t="shared" si="34"/>
        <v>1150.417011</v>
      </c>
      <c r="AG149" s="225">
        <f t="shared" si="34"/>
        <v>1427.447757</v>
      </c>
      <c r="AH149" s="225">
        <f t="shared" si="34"/>
        <v>3129.216801</v>
      </c>
      <c r="AI149" s="225">
        <f t="shared" si="34"/>
        <v>418.3357079</v>
      </c>
      <c r="AJ149" s="225">
        <f t="shared" si="34"/>
        <v>2898.450786</v>
      </c>
      <c r="AK149" s="226"/>
    </row>
    <row r="150">
      <c r="A150" s="101"/>
      <c r="B150" s="102"/>
      <c r="C150" s="130"/>
      <c r="D150" s="130"/>
      <c r="E150" s="144" t="s">
        <v>565</v>
      </c>
      <c r="F150" s="145" t="s">
        <v>101</v>
      </c>
      <c r="G150" s="217" t="s">
        <v>164</v>
      </c>
      <c r="H150" s="219" t="s">
        <v>165</v>
      </c>
      <c r="I150" s="225">
        <f t="shared" ref="I150:AJ150" si="35">I126-SUM(I134,I142)</f>
        <v>21922.00265</v>
      </c>
      <c r="J150" s="225">
        <f t="shared" si="35"/>
        <v>15896.4626</v>
      </c>
      <c r="K150" s="225">
        <f t="shared" si="35"/>
        <v>10041.55127</v>
      </c>
      <c r="L150" s="225">
        <f t="shared" si="35"/>
        <v>41848.92651</v>
      </c>
      <c r="M150" s="225">
        <f t="shared" si="35"/>
        <v>9274.767579</v>
      </c>
      <c r="N150" s="225">
        <f t="shared" si="35"/>
        <v>11875.48166</v>
      </c>
      <c r="O150" s="225">
        <f t="shared" si="35"/>
        <v>11892.22516</v>
      </c>
      <c r="P150" s="225">
        <f t="shared" si="35"/>
        <v>18670.00423</v>
      </c>
      <c r="Q150" s="225">
        <f t="shared" si="35"/>
        <v>25584.89074</v>
      </c>
      <c r="R150" s="225">
        <f t="shared" si="35"/>
        <v>3131.609574</v>
      </c>
      <c r="S150" s="225">
        <f t="shared" si="35"/>
        <v>802.8687911</v>
      </c>
      <c r="T150" s="225">
        <f t="shared" si="35"/>
        <v>1704.266305</v>
      </c>
      <c r="U150" s="225">
        <f t="shared" si="35"/>
        <v>6235.646957</v>
      </c>
      <c r="V150" s="225">
        <f t="shared" si="35"/>
        <v>1762.100777</v>
      </c>
      <c r="W150" s="225">
        <f t="shared" si="35"/>
        <v>1812.546121</v>
      </c>
      <c r="X150" s="225">
        <f t="shared" si="35"/>
        <v>1179.840957</v>
      </c>
      <c r="Y150" s="225">
        <f t="shared" si="35"/>
        <v>589.4902585</v>
      </c>
      <c r="Z150" s="225">
        <f t="shared" si="35"/>
        <v>2584.453709</v>
      </c>
      <c r="AA150" s="225">
        <f t="shared" si="35"/>
        <v>752.660774</v>
      </c>
      <c r="AB150" s="225">
        <f t="shared" si="35"/>
        <v>3045.97877</v>
      </c>
      <c r="AC150" s="225">
        <f t="shared" si="35"/>
        <v>4598.392746</v>
      </c>
      <c r="AD150" s="225">
        <f t="shared" si="35"/>
        <v>925.8286631</v>
      </c>
      <c r="AE150" s="225">
        <f t="shared" si="35"/>
        <v>1594.957648</v>
      </c>
      <c r="AF150" s="225">
        <f t="shared" si="35"/>
        <v>8024.79957</v>
      </c>
      <c r="AG150" s="225">
        <f t="shared" si="35"/>
        <v>12845.55158</v>
      </c>
      <c r="AH150" s="225">
        <f t="shared" si="35"/>
        <v>23301.85684</v>
      </c>
      <c r="AI150" s="225">
        <f t="shared" si="35"/>
        <v>3160.299701</v>
      </c>
      <c r="AJ150" s="225">
        <f t="shared" si="35"/>
        <v>18967.71985</v>
      </c>
      <c r="AK150" s="226"/>
    </row>
    <row r="151">
      <c r="A151" s="101"/>
      <c r="B151" s="102"/>
      <c r="C151" s="130"/>
      <c r="D151" s="130"/>
      <c r="E151" s="144" t="s">
        <v>567</v>
      </c>
      <c r="F151" s="145" t="s">
        <v>101</v>
      </c>
      <c r="G151" s="217" t="s">
        <v>164</v>
      </c>
      <c r="H151" s="219" t="s">
        <v>165</v>
      </c>
      <c r="I151" s="225">
        <f t="shared" ref="I151:AJ151" si="36">I150*$H$104</f>
        <v>11618.66141</v>
      </c>
      <c r="J151" s="225">
        <f t="shared" si="36"/>
        <v>8425.12518</v>
      </c>
      <c r="K151" s="225">
        <f t="shared" si="36"/>
        <v>5322.022173</v>
      </c>
      <c r="L151" s="225">
        <f t="shared" si="36"/>
        <v>22179.93105</v>
      </c>
      <c r="M151" s="225">
        <f t="shared" si="36"/>
        <v>4915.626817</v>
      </c>
      <c r="N151" s="225">
        <f t="shared" si="36"/>
        <v>6294.00528</v>
      </c>
      <c r="O151" s="225">
        <f t="shared" si="36"/>
        <v>6302.879334</v>
      </c>
      <c r="P151" s="225">
        <f t="shared" si="36"/>
        <v>9895.10224</v>
      </c>
      <c r="Q151" s="225">
        <f t="shared" si="36"/>
        <v>13559.99209</v>
      </c>
      <c r="R151" s="225">
        <f t="shared" si="36"/>
        <v>1659.753074</v>
      </c>
      <c r="S151" s="225">
        <f t="shared" si="36"/>
        <v>425.5204593</v>
      </c>
      <c r="T151" s="225">
        <f t="shared" si="36"/>
        <v>903.2611416</v>
      </c>
      <c r="U151" s="225">
        <f t="shared" si="36"/>
        <v>3304.892887</v>
      </c>
      <c r="V151" s="225">
        <f t="shared" si="36"/>
        <v>933.9134116</v>
      </c>
      <c r="W151" s="225">
        <f t="shared" si="36"/>
        <v>960.6494441</v>
      </c>
      <c r="X151" s="225">
        <f t="shared" si="36"/>
        <v>625.3157073</v>
      </c>
      <c r="Y151" s="225">
        <f t="shared" si="36"/>
        <v>312.429837</v>
      </c>
      <c r="Z151" s="225">
        <f t="shared" si="36"/>
        <v>1369.760466</v>
      </c>
      <c r="AA151" s="225">
        <f t="shared" si="36"/>
        <v>398.9102102</v>
      </c>
      <c r="AB151" s="225">
        <f t="shared" si="36"/>
        <v>1614.368748</v>
      </c>
      <c r="AC151" s="225">
        <f t="shared" si="36"/>
        <v>2437.148155</v>
      </c>
      <c r="AD151" s="225">
        <f t="shared" si="36"/>
        <v>490.6891915</v>
      </c>
      <c r="AE151" s="225">
        <f t="shared" si="36"/>
        <v>845.3275536</v>
      </c>
      <c r="AF151" s="225">
        <f t="shared" si="36"/>
        <v>4253.143772</v>
      </c>
      <c r="AG151" s="225">
        <f t="shared" si="36"/>
        <v>6808.142336</v>
      </c>
      <c r="AH151" s="225">
        <f t="shared" si="36"/>
        <v>12349.98413</v>
      </c>
      <c r="AI151" s="225">
        <f t="shared" si="36"/>
        <v>1674.958841</v>
      </c>
      <c r="AJ151" s="225">
        <f t="shared" si="36"/>
        <v>10052.89152</v>
      </c>
      <c r="AK151" s="226"/>
    </row>
    <row r="152">
      <c r="A152" s="101"/>
      <c r="B152" s="102"/>
      <c r="C152" s="130"/>
      <c r="D152" s="130"/>
      <c r="E152" s="190" t="s">
        <v>570</v>
      </c>
      <c r="F152" s="176" t="s">
        <v>101</v>
      </c>
      <c r="G152" s="177" t="s">
        <v>164</v>
      </c>
      <c r="H152" s="179" t="s">
        <v>165</v>
      </c>
      <c r="I152" s="362">
        <f t="shared" ref="I152:AJ152" si="37">I147-SUM(I148:I149,I151)</f>
        <v>39250.18973</v>
      </c>
      <c r="J152" s="362">
        <f t="shared" si="37"/>
        <v>26699.95332</v>
      </c>
      <c r="K152" s="362">
        <f t="shared" si="37"/>
        <v>23257.07238</v>
      </c>
      <c r="L152" s="362">
        <f t="shared" si="37"/>
        <v>63212.67699</v>
      </c>
      <c r="M152" s="362">
        <f t="shared" si="37"/>
        <v>18778.59249</v>
      </c>
      <c r="N152" s="362">
        <f t="shared" si="37"/>
        <v>15208.39172</v>
      </c>
      <c r="O152" s="362">
        <f t="shared" si="37"/>
        <v>15396.61719</v>
      </c>
      <c r="P152" s="362">
        <f t="shared" si="37"/>
        <v>35498.59125</v>
      </c>
      <c r="Q152" s="362">
        <f t="shared" si="37"/>
        <v>61967.15664</v>
      </c>
      <c r="R152" s="362">
        <f t="shared" si="37"/>
        <v>5962.547893</v>
      </c>
      <c r="S152" s="362">
        <f t="shared" si="37"/>
        <v>1323.024219</v>
      </c>
      <c r="T152" s="362">
        <f t="shared" si="37"/>
        <v>2504.64267</v>
      </c>
      <c r="U152" s="362">
        <f t="shared" si="37"/>
        <v>10200.42361</v>
      </c>
      <c r="V152" s="362">
        <f t="shared" si="37"/>
        <v>2860.617903</v>
      </c>
      <c r="W152" s="362">
        <f t="shared" si="37"/>
        <v>3033.86264</v>
      </c>
      <c r="X152" s="362">
        <f t="shared" si="37"/>
        <v>1843.320589</v>
      </c>
      <c r="Y152" s="362">
        <f t="shared" si="37"/>
        <v>975.8914037</v>
      </c>
      <c r="Z152" s="362">
        <f t="shared" si="37"/>
        <v>3643.7637</v>
      </c>
      <c r="AA152" s="362">
        <f t="shared" si="37"/>
        <v>1230.86179</v>
      </c>
      <c r="AB152" s="362">
        <f t="shared" si="37"/>
        <v>4984.417858</v>
      </c>
      <c r="AC152" s="362">
        <f t="shared" si="37"/>
        <v>6830.355635</v>
      </c>
      <c r="AD152" s="362">
        <f t="shared" si="37"/>
        <v>1407.396754</v>
      </c>
      <c r="AE152" s="362">
        <f t="shared" si="37"/>
        <v>2642.977933</v>
      </c>
      <c r="AF152" s="362">
        <f t="shared" si="37"/>
        <v>14305.79538</v>
      </c>
      <c r="AG152" s="362">
        <f t="shared" si="37"/>
        <v>18763.03811</v>
      </c>
      <c r="AH152" s="362">
        <f t="shared" si="37"/>
        <v>38333.95989</v>
      </c>
      <c r="AI152" s="362">
        <f t="shared" si="37"/>
        <v>6069.486708</v>
      </c>
      <c r="AJ152" s="362">
        <f t="shared" si="37"/>
        <v>28749.9438</v>
      </c>
      <c r="AK152" s="371"/>
    </row>
    <row r="153">
      <c r="A153" s="101"/>
      <c r="B153" s="102"/>
      <c r="C153" s="130"/>
      <c r="D153" s="130"/>
      <c r="E153" s="131"/>
      <c r="F153" s="132"/>
      <c r="G153" s="133"/>
      <c r="H153" s="135"/>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AD153" s="137"/>
      <c r="AE153" s="140"/>
      <c r="AF153" s="140"/>
      <c r="AG153" s="140"/>
      <c r="AH153" s="140"/>
      <c r="AI153" s="140"/>
      <c r="AJ153" s="140"/>
      <c r="AK153" s="141"/>
    </row>
    <row r="154">
      <c r="A154" s="101"/>
      <c r="B154" s="102"/>
      <c r="C154" s="130" t="s">
        <v>572</v>
      </c>
      <c r="D154" s="130"/>
      <c r="E154" s="203"/>
      <c r="F154" s="132"/>
      <c r="G154" s="133"/>
      <c r="H154" s="135"/>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AD154" s="137"/>
      <c r="AE154" s="140"/>
      <c r="AF154" s="140"/>
      <c r="AG154" s="140"/>
      <c r="AH154" s="140"/>
      <c r="AI154" s="140"/>
      <c r="AJ154" s="140"/>
      <c r="AK154" s="141"/>
    </row>
    <row r="155">
      <c r="A155" s="101"/>
      <c r="B155" s="102"/>
      <c r="C155" s="130"/>
      <c r="D155" s="130"/>
      <c r="E155" s="683" t="s">
        <v>573</v>
      </c>
      <c r="F155" s="114" t="s">
        <v>112</v>
      </c>
      <c r="G155" s="148" t="s">
        <v>164</v>
      </c>
      <c r="H155" s="151" t="s">
        <v>165</v>
      </c>
      <c r="I155" s="161">
        <f t="shared" ref="I155:AJ155" si="38">SUM(I112,I120)/I101</f>
        <v>0.1462316909</v>
      </c>
      <c r="J155" s="161">
        <f t="shared" si="38"/>
        <v>0.3430920996</v>
      </c>
      <c r="K155" s="161">
        <f t="shared" si="38"/>
        <v>0.1084418388</v>
      </c>
      <c r="L155" s="161">
        <f t="shared" si="38"/>
        <v>0.1836141666</v>
      </c>
      <c r="M155" s="161">
        <f t="shared" si="38"/>
        <v>0.1164240721</v>
      </c>
      <c r="N155" s="161">
        <f t="shared" si="38"/>
        <v>0.2339713573</v>
      </c>
      <c r="O155" s="161">
        <f t="shared" si="38"/>
        <v>0.4341853594</v>
      </c>
      <c r="P155" s="161">
        <f t="shared" si="38"/>
        <v>0.1153770035</v>
      </c>
      <c r="Q155" s="161">
        <f t="shared" si="38"/>
        <v>0.349845462</v>
      </c>
      <c r="R155" s="161">
        <f t="shared" si="38"/>
        <v>0.1839137849</v>
      </c>
      <c r="S155" s="161">
        <f t="shared" si="38"/>
        <v>0.09862645879</v>
      </c>
      <c r="T155" s="161">
        <f t="shared" si="38"/>
        <v>0.1139477947</v>
      </c>
      <c r="U155" s="161">
        <f t="shared" si="38"/>
        <v>0.1476157491</v>
      </c>
      <c r="V155" s="161">
        <f t="shared" si="38"/>
        <v>0.1839931495</v>
      </c>
      <c r="W155" s="161">
        <f t="shared" si="38"/>
        <v>0.1637481287</v>
      </c>
      <c r="X155" s="161">
        <f t="shared" si="38"/>
        <v>0.1599814596</v>
      </c>
      <c r="Y155" s="161">
        <f t="shared" si="38"/>
        <v>0.1552245027</v>
      </c>
      <c r="Z155" s="161">
        <f t="shared" si="38"/>
        <v>0.09795079038</v>
      </c>
      <c r="AA155" s="161">
        <f t="shared" si="38"/>
        <v>0.1663156269</v>
      </c>
      <c r="AB155" s="161">
        <f t="shared" si="38"/>
        <v>0.170800635</v>
      </c>
      <c r="AC155" s="161">
        <f t="shared" si="38"/>
        <v>0.1569999769</v>
      </c>
      <c r="AD155" s="161">
        <f t="shared" si="38"/>
        <v>0.1271584022</v>
      </c>
      <c r="AE155" s="161">
        <f t="shared" si="38"/>
        <v>0.1517727209</v>
      </c>
      <c r="AF155" s="161">
        <f t="shared" si="38"/>
        <v>0.206376063</v>
      </c>
      <c r="AG155" s="161">
        <f t="shared" si="38"/>
        <v>0.2142385873</v>
      </c>
      <c r="AH155" s="161">
        <f t="shared" si="38"/>
        <v>0.4288299702</v>
      </c>
      <c r="AI155" s="161">
        <f t="shared" si="38"/>
        <v>0.4215810539</v>
      </c>
      <c r="AJ155" s="161">
        <f t="shared" si="38"/>
        <v>0.1635334504</v>
      </c>
      <c r="AK155" s="264"/>
    </row>
    <row r="156">
      <c r="A156" s="101"/>
      <c r="B156" s="102"/>
      <c r="C156" s="130"/>
      <c r="D156" s="130"/>
      <c r="E156" s="571" t="s">
        <v>575</v>
      </c>
      <c r="F156" s="176" t="s">
        <v>112</v>
      </c>
      <c r="G156" s="177" t="s">
        <v>164</v>
      </c>
      <c r="H156" s="179" t="s">
        <v>165</v>
      </c>
      <c r="I156" s="236">
        <f t="shared" ref="I156:AJ156" si="39">I152/I101</f>
        <v>0.7049866077</v>
      </c>
      <c r="J156" s="236">
        <f t="shared" si="39"/>
        <v>0.8317863313</v>
      </c>
      <c r="K156" s="236">
        <f t="shared" si="39"/>
        <v>0.8329087836</v>
      </c>
      <c r="L156" s="236">
        <f t="shared" si="39"/>
        <v>0.8203965349</v>
      </c>
      <c r="M156" s="236">
        <f t="shared" si="39"/>
        <v>0.7690435991</v>
      </c>
      <c r="N156" s="236">
        <f t="shared" si="39"/>
        <v>0.7770611736</v>
      </c>
      <c r="O156" s="236">
        <f t="shared" si="39"/>
        <v>0.764201418</v>
      </c>
      <c r="P156" s="236">
        <f t="shared" si="39"/>
        <v>0.6277716233</v>
      </c>
      <c r="Q156" s="236">
        <f t="shared" si="39"/>
        <v>0.8424171834</v>
      </c>
      <c r="R156" s="236">
        <f t="shared" si="39"/>
        <v>0.8397292051</v>
      </c>
      <c r="S156" s="236">
        <f t="shared" si="39"/>
        <v>0.9270436088</v>
      </c>
      <c r="T156" s="236">
        <f t="shared" si="39"/>
        <v>0.893408105</v>
      </c>
      <c r="U156" s="236">
        <f t="shared" si="39"/>
        <v>0.8535877871</v>
      </c>
      <c r="V156" s="236">
        <f t="shared" si="39"/>
        <v>0.8448814223</v>
      </c>
      <c r="W156" s="236">
        <f t="shared" si="39"/>
        <v>0.8508716995</v>
      </c>
      <c r="X156" s="236">
        <f t="shared" si="39"/>
        <v>0.8643091742</v>
      </c>
      <c r="Y156" s="236">
        <f t="shared" si="39"/>
        <v>0.8809319976</v>
      </c>
      <c r="Z156" s="236">
        <f t="shared" si="39"/>
        <v>0.919773903</v>
      </c>
      <c r="AA156" s="236">
        <f t="shared" si="39"/>
        <v>0.8556085529</v>
      </c>
      <c r="AB156" s="236">
        <f t="shared" si="39"/>
        <v>0.8406419577</v>
      </c>
      <c r="AC156" s="236">
        <f t="shared" si="39"/>
        <v>0.8675757533</v>
      </c>
      <c r="AD156" s="236">
        <f t="shared" si="39"/>
        <v>0.8967624316</v>
      </c>
      <c r="AE156" s="236">
        <f t="shared" si="39"/>
        <v>0.8908727523</v>
      </c>
      <c r="AF156" s="236">
        <f t="shared" si="39"/>
        <v>0.8338357192</v>
      </c>
      <c r="AG156" s="236">
        <f t="shared" si="39"/>
        <v>0.7296870406</v>
      </c>
      <c r="AH156" s="236">
        <f t="shared" si="39"/>
        <v>0.8396775907</v>
      </c>
      <c r="AI156" s="236">
        <f t="shared" si="39"/>
        <v>0.8512936964</v>
      </c>
      <c r="AJ156" s="236">
        <f t="shared" si="39"/>
        <v>0.7645592919</v>
      </c>
      <c r="AK156" s="237"/>
    </row>
    <row r="157">
      <c r="A157" s="101"/>
      <c r="B157" s="102"/>
      <c r="C157" s="130"/>
      <c r="D157" s="130"/>
      <c r="E157" s="203"/>
      <c r="F157" s="132"/>
      <c r="G157" s="133"/>
      <c r="H157" s="135"/>
      <c r="I157" s="137"/>
      <c r="J157" s="137"/>
      <c r="K157" s="137"/>
      <c r="L157" s="137"/>
      <c r="M157" s="137"/>
      <c r="N157" s="137"/>
      <c r="O157" s="137"/>
      <c r="P157" s="137"/>
      <c r="Q157" s="137"/>
      <c r="R157" s="137"/>
      <c r="S157" s="137"/>
      <c r="T157" s="137"/>
      <c r="U157" s="137"/>
      <c r="V157" s="137"/>
      <c r="W157" s="137"/>
      <c r="X157" s="137"/>
      <c r="Y157" s="137"/>
      <c r="Z157" s="137"/>
      <c r="AA157" s="137"/>
      <c r="AB157" s="137"/>
      <c r="AC157" s="137"/>
      <c r="AD157" s="137"/>
      <c r="AE157" s="140"/>
      <c r="AF157" s="140"/>
      <c r="AG157" s="140"/>
      <c r="AH157" s="140"/>
      <c r="AI157" s="140"/>
      <c r="AJ157" s="140"/>
      <c r="AK157" s="141"/>
    </row>
    <row r="158">
      <c r="A158" s="99" t="s">
        <v>456</v>
      </c>
      <c r="B158" s="12"/>
      <c r="C158" s="12"/>
      <c r="D158" s="12"/>
      <c r="E158" s="12"/>
      <c r="F158" s="12"/>
      <c r="G158" s="12"/>
      <c r="H158" s="97"/>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c r="AK158" s="100"/>
    </row>
    <row r="159">
      <c r="A159" s="101"/>
      <c r="B159" s="102"/>
      <c r="C159" s="130"/>
      <c r="D159" s="130"/>
      <c r="E159" s="203"/>
      <c r="F159" s="132"/>
      <c r="G159" s="133"/>
      <c r="H159" s="135"/>
      <c r="I159" s="137"/>
      <c r="J159" s="137"/>
      <c r="K159" s="137"/>
      <c r="L159" s="137"/>
      <c r="M159" s="137"/>
      <c r="N159" s="137"/>
      <c r="O159" s="137"/>
      <c r="P159" s="137"/>
      <c r="Q159" s="137"/>
      <c r="R159" s="137"/>
      <c r="S159" s="137"/>
      <c r="T159" s="137"/>
      <c r="U159" s="137"/>
      <c r="V159" s="137"/>
      <c r="W159" s="137"/>
      <c r="X159" s="137"/>
      <c r="Y159" s="137"/>
      <c r="Z159" s="137"/>
      <c r="AA159" s="137"/>
      <c r="AB159" s="137"/>
      <c r="AC159" s="137"/>
      <c r="AD159" s="137"/>
      <c r="AE159" s="140"/>
      <c r="AF159" s="140"/>
      <c r="AG159" s="140"/>
      <c r="AH159" s="140"/>
      <c r="AI159" s="140"/>
      <c r="AJ159" s="140"/>
      <c r="AK159" s="141"/>
    </row>
    <row r="160">
      <c r="A160" s="101"/>
      <c r="B160" s="102"/>
      <c r="C160" s="203" t="s">
        <v>453</v>
      </c>
      <c r="F160" s="132"/>
      <c r="G160" s="133"/>
      <c r="H160" s="135"/>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40"/>
      <c r="AF160" s="140"/>
      <c r="AG160" s="140"/>
      <c r="AH160" s="140"/>
      <c r="AI160" s="140"/>
      <c r="AJ160" s="140"/>
      <c r="AK160" s="141"/>
    </row>
    <row r="161">
      <c r="A161" s="101"/>
      <c r="B161" s="102"/>
      <c r="C161" s="130"/>
      <c r="D161" s="130"/>
      <c r="E161" s="112" t="s">
        <v>454</v>
      </c>
      <c r="F161" s="114" t="str">
        <f>Inputs!F126</f>
        <v>%</v>
      </c>
      <c r="G161" s="148" t="str">
        <f>Inputs!G126</f>
        <v>input</v>
      </c>
      <c r="H161" s="211">
        <f>Inputs!H126</f>
        <v>0.3367407</v>
      </c>
      <c r="I161" s="154" t="str">
        <f>Inputs!I126</f>
        <v>-</v>
      </c>
      <c r="J161" s="154" t="str">
        <f>Inputs!J126</f>
        <v>-</v>
      </c>
      <c r="K161" s="154" t="str">
        <f>Inputs!K126</f>
        <v>-</v>
      </c>
      <c r="L161" s="154" t="str">
        <f>Inputs!L126</f>
        <v>-</v>
      </c>
      <c r="M161" s="154" t="str">
        <f>Inputs!M126</f>
        <v>-</v>
      </c>
      <c r="N161" s="154" t="str">
        <f>Inputs!N126</f>
        <v>-</v>
      </c>
      <c r="O161" s="154" t="str">
        <f>Inputs!O126</f>
        <v>-</v>
      </c>
      <c r="P161" s="154" t="str">
        <f>Inputs!P126</f>
        <v>-</v>
      </c>
      <c r="Q161" s="154" t="str">
        <f>Inputs!Q126</f>
        <v>-</v>
      </c>
      <c r="R161" s="154" t="str">
        <f>Inputs!R126</f>
        <v>-</v>
      </c>
      <c r="S161" s="154" t="str">
        <f>Inputs!S126</f>
        <v>-</v>
      </c>
      <c r="T161" s="154" t="str">
        <f>Inputs!T126</f>
        <v>-</v>
      </c>
      <c r="U161" s="154" t="str">
        <f>Inputs!U126</f>
        <v>-</v>
      </c>
      <c r="V161" s="154" t="str">
        <f>Inputs!V126</f>
        <v>-</v>
      </c>
      <c r="W161" s="154" t="str">
        <f>Inputs!W126</f>
        <v>-</v>
      </c>
      <c r="X161" s="154" t="str">
        <f>Inputs!X126</f>
        <v>-</v>
      </c>
      <c r="Y161" s="154" t="str">
        <f>Inputs!Y126</f>
        <v>-</v>
      </c>
      <c r="Z161" s="154" t="str">
        <f>Inputs!Z126</f>
        <v>-</v>
      </c>
      <c r="AA161" s="154" t="str">
        <f>Inputs!AA126</f>
        <v>-</v>
      </c>
      <c r="AB161" s="154" t="str">
        <f>Inputs!AB126</f>
        <v>-</v>
      </c>
      <c r="AC161" s="154" t="str">
        <f>Inputs!AC126</f>
        <v>-</v>
      </c>
      <c r="AD161" s="154" t="str">
        <f>Inputs!AD126</f>
        <v>-</v>
      </c>
      <c r="AE161" s="169" t="str">
        <f>Inputs!AE126</f>
        <v>-</v>
      </c>
      <c r="AF161" s="169" t="str">
        <f>Inputs!AF126</f>
        <v>-</v>
      </c>
      <c r="AG161" s="169" t="str">
        <f>Inputs!AG126</f>
        <v>-</v>
      </c>
      <c r="AH161" s="169" t="str">
        <f>Inputs!AH126</f>
        <v>-</v>
      </c>
      <c r="AI161" s="169" t="str">
        <f>Inputs!AI126</f>
        <v>-</v>
      </c>
      <c r="AJ161" s="169" t="str">
        <f>Inputs!AJ126</f>
        <v>-</v>
      </c>
      <c r="AK161" s="173"/>
    </row>
    <row r="162">
      <c r="A162" s="101"/>
      <c r="B162" s="102"/>
      <c r="C162" s="130"/>
      <c r="D162" s="130"/>
      <c r="E162" s="190" t="s">
        <v>455</v>
      </c>
      <c r="F162" s="176" t="str">
        <f>Inputs!F127</f>
        <v>%</v>
      </c>
      <c r="G162" s="177" t="str">
        <f>Inputs!G127</f>
        <v>input</v>
      </c>
      <c r="H162" s="356">
        <f>Inputs!H127</f>
        <v>0.7512944</v>
      </c>
      <c r="I162" s="181" t="str">
        <f>Inputs!I127</f>
        <v>-</v>
      </c>
      <c r="J162" s="181" t="str">
        <f>Inputs!J127</f>
        <v>-</v>
      </c>
      <c r="K162" s="181" t="str">
        <f>Inputs!K127</f>
        <v>-</v>
      </c>
      <c r="L162" s="181" t="str">
        <f>Inputs!L127</f>
        <v>-</v>
      </c>
      <c r="M162" s="181" t="str">
        <f>Inputs!M127</f>
        <v>-</v>
      </c>
      <c r="N162" s="181" t="str">
        <f>Inputs!N127</f>
        <v>-</v>
      </c>
      <c r="O162" s="181" t="str">
        <f>Inputs!O127</f>
        <v>-</v>
      </c>
      <c r="P162" s="181" t="str">
        <f>Inputs!P127</f>
        <v>-</v>
      </c>
      <c r="Q162" s="181" t="str">
        <f>Inputs!Q127</f>
        <v>-</v>
      </c>
      <c r="R162" s="181" t="str">
        <f>Inputs!R127</f>
        <v>-</v>
      </c>
      <c r="S162" s="181" t="str">
        <f>Inputs!S127</f>
        <v>-</v>
      </c>
      <c r="T162" s="181" t="str">
        <f>Inputs!T127</f>
        <v>-</v>
      </c>
      <c r="U162" s="181" t="str">
        <f>Inputs!U127</f>
        <v>-</v>
      </c>
      <c r="V162" s="181" t="str">
        <f>Inputs!V127</f>
        <v>-</v>
      </c>
      <c r="W162" s="181" t="str">
        <f>Inputs!W127</f>
        <v>-</v>
      </c>
      <c r="X162" s="181" t="str">
        <f>Inputs!X127</f>
        <v>-</v>
      </c>
      <c r="Y162" s="181" t="str">
        <f>Inputs!Y127</f>
        <v>-</v>
      </c>
      <c r="Z162" s="181" t="str">
        <f>Inputs!Z127</f>
        <v>-</v>
      </c>
      <c r="AA162" s="181" t="str">
        <f>Inputs!AA127</f>
        <v>-</v>
      </c>
      <c r="AB162" s="181" t="str">
        <f>Inputs!AB127</f>
        <v>-</v>
      </c>
      <c r="AC162" s="181" t="str">
        <f>Inputs!AC127</f>
        <v>-</v>
      </c>
      <c r="AD162" s="181" t="str">
        <f>Inputs!AD127</f>
        <v>-</v>
      </c>
      <c r="AE162" s="194" t="str">
        <f>Inputs!AE127</f>
        <v>-</v>
      </c>
      <c r="AF162" s="194" t="str">
        <f>Inputs!AF127</f>
        <v>-</v>
      </c>
      <c r="AG162" s="194" t="str">
        <f>Inputs!AG127</f>
        <v>-</v>
      </c>
      <c r="AH162" s="194" t="str">
        <f>Inputs!AH127</f>
        <v>-</v>
      </c>
      <c r="AI162" s="194" t="str">
        <f>Inputs!AI127</f>
        <v>-</v>
      </c>
      <c r="AJ162" s="194" t="str">
        <f>Inputs!AJ127</f>
        <v>-</v>
      </c>
      <c r="AK162" s="201"/>
    </row>
    <row r="163">
      <c r="A163" s="101"/>
      <c r="B163" s="102"/>
      <c r="C163" s="130"/>
      <c r="D163" s="130"/>
      <c r="E163" s="131"/>
      <c r="F163" s="132"/>
      <c r="G163" s="133"/>
      <c r="H163" s="135"/>
      <c r="I163" s="137"/>
      <c r="J163" s="137"/>
      <c r="K163" s="137"/>
      <c r="L163" s="137"/>
      <c r="M163" s="137"/>
      <c r="N163" s="137"/>
      <c r="O163" s="137"/>
      <c r="P163" s="137"/>
      <c r="Q163" s="137"/>
      <c r="R163" s="137"/>
      <c r="S163" s="137"/>
      <c r="T163" s="137"/>
      <c r="U163" s="137"/>
      <c r="V163" s="137"/>
      <c r="W163" s="137"/>
      <c r="X163" s="137"/>
      <c r="Y163" s="137"/>
      <c r="Z163" s="137"/>
      <c r="AA163" s="137"/>
      <c r="AB163" s="137"/>
      <c r="AC163" s="137"/>
      <c r="AD163" s="137"/>
      <c r="AE163" s="140"/>
      <c r="AF163" s="140"/>
      <c r="AG163" s="140"/>
      <c r="AH163" s="140"/>
      <c r="AI163" s="140"/>
      <c r="AJ163" s="140"/>
      <c r="AK163" s="141"/>
    </row>
    <row r="164">
      <c r="A164" s="101"/>
      <c r="B164" s="102"/>
      <c r="C164" s="203" t="s">
        <v>456</v>
      </c>
      <c r="F164" s="132"/>
      <c r="G164" s="133"/>
      <c r="H164" s="135"/>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40"/>
      <c r="AF164" s="140"/>
      <c r="AG164" s="140"/>
      <c r="AH164" s="140"/>
      <c r="AI164" s="140"/>
      <c r="AJ164" s="140"/>
      <c r="AK164" s="141"/>
    </row>
    <row r="165">
      <c r="A165" s="101"/>
      <c r="B165" s="102"/>
      <c r="C165" s="130"/>
      <c r="D165" s="130"/>
      <c r="E165" s="112" t="s">
        <v>581</v>
      </c>
      <c r="F165" s="114" t="s">
        <v>112</v>
      </c>
      <c r="G165" s="148" t="s">
        <v>164</v>
      </c>
      <c r="H165" s="151" t="s">
        <v>165</v>
      </c>
      <c r="I165" s="161">
        <f t="shared" ref="I165:AJ165" si="40">(I155/$H161)-1</f>
        <v>-0.5657439361</v>
      </c>
      <c r="J165" s="161">
        <f t="shared" si="40"/>
        <v>0.01886139574</v>
      </c>
      <c r="K165" s="161">
        <f t="shared" si="40"/>
        <v>-0.6779663437</v>
      </c>
      <c r="L165" s="161">
        <f t="shared" si="40"/>
        <v>-0.4547312913</v>
      </c>
      <c r="M165" s="161">
        <f t="shared" si="40"/>
        <v>-0.6542619526</v>
      </c>
      <c r="N165" s="161">
        <f t="shared" si="40"/>
        <v>-0.305188362</v>
      </c>
      <c r="O165" s="161">
        <f t="shared" si="40"/>
        <v>0.2893759483</v>
      </c>
      <c r="P165" s="161">
        <f t="shared" si="40"/>
        <v>-0.6573713735</v>
      </c>
      <c r="Q165" s="161">
        <f t="shared" si="40"/>
        <v>0.03891647801</v>
      </c>
      <c r="R165" s="161">
        <f t="shared" si="40"/>
        <v>-0.4538415318</v>
      </c>
      <c r="S165" s="161">
        <f t="shared" si="40"/>
        <v>-0.7071145282</v>
      </c>
      <c r="T165" s="161">
        <f t="shared" si="40"/>
        <v>-0.661615615</v>
      </c>
      <c r="U165" s="161">
        <f t="shared" si="40"/>
        <v>-0.5616337762</v>
      </c>
      <c r="V165" s="161">
        <f t="shared" si="40"/>
        <v>-0.4536058473</v>
      </c>
      <c r="W165" s="161">
        <f t="shared" si="40"/>
        <v>-0.5137263518</v>
      </c>
      <c r="X165" s="161">
        <f t="shared" si="40"/>
        <v>-0.5249120179</v>
      </c>
      <c r="Y165" s="161">
        <f t="shared" si="40"/>
        <v>-0.5390384866</v>
      </c>
      <c r="Z165" s="161">
        <f t="shared" si="40"/>
        <v>-0.7091210229</v>
      </c>
      <c r="AA165" s="161">
        <f t="shared" si="40"/>
        <v>-0.506101796</v>
      </c>
      <c r="AB165" s="161">
        <f t="shared" si="40"/>
        <v>-0.4927829188</v>
      </c>
      <c r="AC165" s="161">
        <f t="shared" si="40"/>
        <v>-0.5337659602</v>
      </c>
      <c r="AD165" s="161">
        <f t="shared" si="40"/>
        <v>-0.6223848136</v>
      </c>
      <c r="AE165" s="161">
        <f t="shared" si="40"/>
        <v>-0.5492890498</v>
      </c>
      <c r="AF165" s="161">
        <f t="shared" si="40"/>
        <v>-0.3871365625</v>
      </c>
      <c r="AG165" s="161">
        <f t="shared" si="40"/>
        <v>-0.3637876643</v>
      </c>
      <c r="AH165" s="161">
        <f t="shared" si="40"/>
        <v>0.2734723489</v>
      </c>
      <c r="AI165" s="161">
        <f t="shared" si="40"/>
        <v>0.2519456482</v>
      </c>
      <c r="AJ165" s="161">
        <f t="shared" si="40"/>
        <v>-0.5143638697</v>
      </c>
      <c r="AK165" s="264"/>
    </row>
    <row r="166">
      <c r="A166" s="101"/>
      <c r="B166" s="102"/>
      <c r="C166" s="130"/>
      <c r="D166" s="130"/>
      <c r="E166" s="144" t="s">
        <v>583</v>
      </c>
      <c r="F166" s="145" t="s">
        <v>112</v>
      </c>
      <c r="G166" s="217" t="s">
        <v>164</v>
      </c>
      <c r="H166" s="219" t="s">
        <v>165</v>
      </c>
      <c r="I166" s="222">
        <f t="shared" ref="I166:AJ166" si="41">(I156/$H162)-1</f>
        <v>-0.06163734525</v>
      </c>
      <c r="J166" s="222">
        <f t="shared" si="41"/>
        <v>0.1071376698</v>
      </c>
      <c r="K166" s="222">
        <f t="shared" si="41"/>
        <v>0.1086316943</v>
      </c>
      <c r="L166" s="222">
        <f t="shared" si="41"/>
        <v>0.09197743909</v>
      </c>
      <c r="M166" s="222">
        <f t="shared" si="41"/>
        <v>0.0236248255</v>
      </c>
      <c r="N166" s="222">
        <f t="shared" si="41"/>
        <v>0.03429650696</v>
      </c>
      <c r="O166" s="222">
        <f t="shared" si="41"/>
        <v>0.01717970751</v>
      </c>
      <c r="P166" s="222">
        <f t="shared" si="41"/>
        <v>-0.1644132802</v>
      </c>
      <c r="Q166" s="222">
        <f t="shared" si="41"/>
        <v>0.1212877181</v>
      </c>
      <c r="R166" s="222">
        <f t="shared" si="41"/>
        <v>0.1177099218</v>
      </c>
      <c r="S166" s="222">
        <f t="shared" si="41"/>
        <v>0.2339285489</v>
      </c>
      <c r="T166" s="222">
        <f t="shared" si="41"/>
        <v>0.1891584777</v>
      </c>
      <c r="U166" s="222">
        <f t="shared" si="41"/>
        <v>0.1361561954</v>
      </c>
      <c r="V166" s="222">
        <f t="shared" si="41"/>
        <v>0.1245677092</v>
      </c>
      <c r="W166" s="222">
        <f t="shared" si="41"/>
        <v>0.1325409846</v>
      </c>
      <c r="X166" s="222">
        <f t="shared" si="41"/>
        <v>0.1504267491</v>
      </c>
      <c r="Y166" s="222">
        <f t="shared" si="41"/>
        <v>0.1725523279</v>
      </c>
      <c r="Z166" s="222">
        <f t="shared" si="41"/>
        <v>0.2242523078</v>
      </c>
      <c r="AA166" s="222">
        <f t="shared" si="41"/>
        <v>0.1388459076</v>
      </c>
      <c r="AB166" s="222">
        <f t="shared" si="41"/>
        <v>0.1189248286</v>
      </c>
      <c r="AC166" s="222">
        <f t="shared" si="41"/>
        <v>0.1547746839</v>
      </c>
      <c r="AD166" s="222">
        <f t="shared" si="41"/>
        <v>0.1936232077</v>
      </c>
      <c r="AE166" s="222">
        <f t="shared" si="41"/>
        <v>0.1857838316</v>
      </c>
      <c r="AF166" s="222">
        <f t="shared" si="41"/>
        <v>0.1098654791</v>
      </c>
      <c r="AG166" s="222">
        <f t="shared" si="41"/>
        <v>-0.02876017629</v>
      </c>
      <c r="AH166" s="222">
        <f t="shared" si="41"/>
        <v>0.1176412212</v>
      </c>
      <c r="AI166" s="222">
        <f t="shared" si="41"/>
        <v>0.1331026778</v>
      </c>
      <c r="AJ166" s="222">
        <f t="shared" si="41"/>
        <v>0.01765605049</v>
      </c>
      <c r="AK166" s="457"/>
    </row>
    <row r="167">
      <c r="A167" s="101"/>
      <c r="B167" s="102"/>
      <c r="C167" s="130"/>
      <c r="D167" s="130"/>
      <c r="E167" s="144" t="s">
        <v>457</v>
      </c>
      <c r="F167" s="145" t="str">
        <f>Inputs!F130</f>
        <v>%</v>
      </c>
      <c r="G167" s="217" t="str">
        <f>Inputs!G130</f>
        <v>input</v>
      </c>
      <c r="H167" s="316">
        <f>Inputs!H130</f>
        <v>0.8</v>
      </c>
      <c r="I167" s="220" t="str">
        <f>Inputs!I130</f>
        <v>-</v>
      </c>
      <c r="J167" s="220" t="str">
        <f>Inputs!J130</f>
        <v>-</v>
      </c>
      <c r="K167" s="220" t="str">
        <f>Inputs!K130</f>
        <v>-</v>
      </c>
      <c r="L167" s="220" t="str">
        <f>Inputs!L130</f>
        <v>-</v>
      </c>
      <c r="M167" s="220" t="str">
        <f>Inputs!M130</f>
        <v>-</v>
      </c>
      <c r="N167" s="220" t="str">
        <f>Inputs!N130</f>
        <v>-</v>
      </c>
      <c r="O167" s="220" t="str">
        <f>Inputs!O130</f>
        <v>-</v>
      </c>
      <c r="P167" s="220" t="str">
        <f>Inputs!P130</f>
        <v>-</v>
      </c>
      <c r="Q167" s="220" t="str">
        <f>Inputs!Q130</f>
        <v>-</v>
      </c>
      <c r="R167" s="220" t="str">
        <f>Inputs!R130</f>
        <v>-</v>
      </c>
      <c r="S167" s="220" t="str">
        <f>Inputs!S130</f>
        <v>-</v>
      </c>
      <c r="T167" s="220" t="str">
        <f>Inputs!T130</f>
        <v>-</v>
      </c>
      <c r="U167" s="220" t="str">
        <f>Inputs!U130</f>
        <v>-</v>
      </c>
      <c r="V167" s="220" t="str">
        <f>Inputs!V130</f>
        <v>-</v>
      </c>
      <c r="W167" s="220" t="str">
        <f>Inputs!W130</f>
        <v>-</v>
      </c>
      <c r="X167" s="220" t="str">
        <f>Inputs!X130</f>
        <v>-</v>
      </c>
      <c r="Y167" s="220" t="str">
        <f>Inputs!Y130</f>
        <v>-</v>
      </c>
      <c r="Z167" s="220" t="str">
        <f>Inputs!Z130</f>
        <v>-</v>
      </c>
      <c r="AA167" s="220" t="str">
        <f>Inputs!AA130</f>
        <v>-</v>
      </c>
      <c r="AB167" s="220" t="str">
        <f>Inputs!AB130</f>
        <v>-</v>
      </c>
      <c r="AC167" s="220" t="str">
        <f>Inputs!AC130</f>
        <v>-</v>
      </c>
      <c r="AD167" s="220" t="str">
        <f>Inputs!AD130</f>
        <v>-</v>
      </c>
      <c r="AE167" s="228" t="str">
        <f>Inputs!AE130</f>
        <v>-</v>
      </c>
      <c r="AF167" s="228" t="str">
        <f>Inputs!AF130</f>
        <v>-</v>
      </c>
      <c r="AG167" s="228" t="str">
        <f>Inputs!AG130</f>
        <v>-</v>
      </c>
      <c r="AH167" s="228" t="str">
        <f>Inputs!AH130</f>
        <v>-</v>
      </c>
      <c r="AI167" s="228" t="str">
        <f>Inputs!AI130</f>
        <v>-</v>
      </c>
      <c r="AJ167" s="228" t="str">
        <f>Inputs!AJ130</f>
        <v>-</v>
      </c>
      <c r="AK167" s="232"/>
    </row>
    <row r="168">
      <c r="A168" s="101"/>
      <c r="B168" s="102"/>
      <c r="C168" s="130"/>
      <c r="D168" s="130"/>
      <c r="E168" s="144" t="s">
        <v>458</v>
      </c>
      <c r="F168" s="145" t="str">
        <f>Inputs!F131</f>
        <v>%</v>
      </c>
      <c r="G168" s="217" t="str">
        <f>Inputs!G131</f>
        <v>input</v>
      </c>
      <c r="H168" s="316">
        <f>Inputs!H131</f>
        <v>0.2</v>
      </c>
      <c r="I168" s="220" t="str">
        <f>Inputs!I131</f>
        <v>-</v>
      </c>
      <c r="J168" s="220" t="str">
        <f>Inputs!J131</f>
        <v>-</v>
      </c>
      <c r="K168" s="220" t="str">
        <f>Inputs!K131</f>
        <v>-</v>
      </c>
      <c r="L168" s="220" t="str">
        <f>Inputs!L131</f>
        <v>-</v>
      </c>
      <c r="M168" s="220" t="str">
        <f>Inputs!M131</f>
        <v>-</v>
      </c>
      <c r="N168" s="220" t="str">
        <f>Inputs!N131</f>
        <v>-</v>
      </c>
      <c r="O168" s="220" t="str">
        <f>Inputs!O131</f>
        <v>-</v>
      </c>
      <c r="P168" s="220" t="str">
        <f>Inputs!P131</f>
        <v>-</v>
      </c>
      <c r="Q168" s="220" t="str">
        <f>Inputs!Q131</f>
        <v>-</v>
      </c>
      <c r="R168" s="220" t="str">
        <f>Inputs!R131</f>
        <v>-</v>
      </c>
      <c r="S168" s="220" t="str">
        <f>Inputs!S131</f>
        <v>-</v>
      </c>
      <c r="T168" s="220" t="str">
        <f>Inputs!T131</f>
        <v>-</v>
      </c>
      <c r="U168" s="220" t="str">
        <f>Inputs!U131</f>
        <v>-</v>
      </c>
      <c r="V168" s="220" t="str">
        <f>Inputs!V131</f>
        <v>-</v>
      </c>
      <c r="W168" s="220" t="str">
        <f>Inputs!W131</f>
        <v>-</v>
      </c>
      <c r="X168" s="220" t="str">
        <f>Inputs!X131</f>
        <v>-</v>
      </c>
      <c r="Y168" s="220" t="str">
        <f>Inputs!Y131</f>
        <v>-</v>
      </c>
      <c r="Z168" s="220" t="str">
        <f>Inputs!Z131</f>
        <v>-</v>
      </c>
      <c r="AA168" s="220" t="str">
        <f>Inputs!AA131</f>
        <v>-</v>
      </c>
      <c r="AB168" s="220" t="str">
        <f>Inputs!AB131</f>
        <v>-</v>
      </c>
      <c r="AC168" s="220" t="str">
        <f>Inputs!AC131</f>
        <v>-</v>
      </c>
      <c r="AD168" s="220" t="str">
        <f>Inputs!AD131</f>
        <v>-</v>
      </c>
      <c r="AE168" s="228" t="str">
        <f>Inputs!AE131</f>
        <v>-</v>
      </c>
      <c r="AF168" s="228" t="str">
        <f>Inputs!AF131</f>
        <v>-</v>
      </c>
      <c r="AG168" s="228" t="str">
        <f>Inputs!AG131</f>
        <v>-</v>
      </c>
      <c r="AH168" s="228" t="str">
        <f>Inputs!AH131</f>
        <v>-</v>
      </c>
      <c r="AI168" s="228" t="str">
        <f>Inputs!AI131</f>
        <v>-</v>
      </c>
      <c r="AJ168" s="228" t="str">
        <f>Inputs!AJ131</f>
        <v>-</v>
      </c>
      <c r="AK168" s="232"/>
    </row>
    <row r="169">
      <c r="A169" s="101"/>
      <c r="B169" s="102"/>
      <c r="C169" s="130"/>
      <c r="D169" s="130"/>
      <c r="E169" s="190" t="s">
        <v>590</v>
      </c>
      <c r="F169" s="176" t="s">
        <v>112</v>
      </c>
      <c r="G169" s="177" t="s">
        <v>164</v>
      </c>
      <c r="H169" s="179" t="s">
        <v>165</v>
      </c>
      <c r="I169" s="236">
        <f t="shared" ref="I169:AJ169" si="42">SUMPRODUCT(I165:I166,$H167:$H168)</f>
        <v>-0.4649226179</v>
      </c>
      <c r="J169" s="236">
        <f t="shared" si="42"/>
        <v>0.03651665055</v>
      </c>
      <c r="K169" s="236">
        <f t="shared" si="42"/>
        <v>-0.5206467361</v>
      </c>
      <c r="L169" s="236">
        <f t="shared" si="42"/>
        <v>-0.3453895452</v>
      </c>
      <c r="M169" s="236">
        <f t="shared" si="42"/>
        <v>-0.518684597</v>
      </c>
      <c r="N169" s="236">
        <f t="shared" si="42"/>
        <v>-0.2372913882</v>
      </c>
      <c r="O169" s="236">
        <f t="shared" si="42"/>
        <v>0.2349367001</v>
      </c>
      <c r="P169" s="236">
        <f t="shared" si="42"/>
        <v>-0.5587797548</v>
      </c>
      <c r="Q169" s="236">
        <f t="shared" si="42"/>
        <v>0.05539072602</v>
      </c>
      <c r="R169" s="236">
        <f t="shared" si="42"/>
        <v>-0.3395312411</v>
      </c>
      <c r="S169" s="236">
        <f t="shared" si="42"/>
        <v>-0.5189059128</v>
      </c>
      <c r="T169" s="236">
        <f t="shared" si="42"/>
        <v>-0.4914607964</v>
      </c>
      <c r="U169" s="236">
        <f t="shared" si="42"/>
        <v>-0.4220757819</v>
      </c>
      <c r="V169" s="236">
        <f t="shared" si="42"/>
        <v>-0.337971136</v>
      </c>
      <c r="W169" s="236">
        <f t="shared" si="42"/>
        <v>-0.3844728845</v>
      </c>
      <c r="X169" s="236">
        <f t="shared" si="42"/>
        <v>-0.3898442645</v>
      </c>
      <c r="Y169" s="236">
        <f t="shared" si="42"/>
        <v>-0.3967203237</v>
      </c>
      <c r="Z169" s="236">
        <f t="shared" si="42"/>
        <v>-0.5224463567</v>
      </c>
      <c r="AA169" s="236">
        <f t="shared" si="42"/>
        <v>-0.3771122553</v>
      </c>
      <c r="AB169" s="236">
        <f t="shared" si="42"/>
        <v>-0.3704413693</v>
      </c>
      <c r="AC169" s="236">
        <f t="shared" si="42"/>
        <v>-0.3960578314</v>
      </c>
      <c r="AD169" s="236">
        <f t="shared" si="42"/>
        <v>-0.4591832093</v>
      </c>
      <c r="AE169" s="236">
        <f t="shared" si="42"/>
        <v>-0.4022744735</v>
      </c>
      <c r="AF169" s="236">
        <f t="shared" si="42"/>
        <v>-0.2877361541</v>
      </c>
      <c r="AG169" s="236">
        <f t="shared" si="42"/>
        <v>-0.2967821667</v>
      </c>
      <c r="AH169" s="236">
        <f t="shared" si="42"/>
        <v>0.2423061234</v>
      </c>
      <c r="AI169" s="236">
        <f t="shared" si="42"/>
        <v>0.2281770541</v>
      </c>
      <c r="AJ169" s="236">
        <f t="shared" si="42"/>
        <v>-0.4079598857</v>
      </c>
      <c r="AK169" s="237"/>
    </row>
    <row r="170">
      <c r="A170" s="101"/>
      <c r="B170" s="102"/>
      <c r="C170" s="130"/>
      <c r="D170" s="130"/>
      <c r="E170" s="131"/>
      <c r="F170" s="132"/>
      <c r="G170" s="133"/>
      <c r="H170" s="135"/>
      <c r="I170" s="137"/>
      <c r="J170" s="137"/>
      <c r="K170" s="137"/>
      <c r="L170" s="137"/>
      <c r="M170" s="137"/>
      <c r="N170" s="137"/>
      <c r="O170" s="137"/>
      <c r="P170" s="137"/>
      <c r="Q170" s="137"/>
      <c r="R170" s="137"/>
      <c r="S170" s="137"/>
      <c r="T170" s="137"/>
      <c r="U170" s="137"/>
      <c r="V170" s="137"/>
      <c r="W170" s="137"/>
      <c r="X170" s="137"/>
      <c r="Y170" s="137"/>
      <c r="Z170" s="137"/>
      <c r="AA170" s="137"/>
      <c r="AB170" s="137"/>
      <c r="AC170" s="137"/>
      <c r="AD170" s="137"/>
      <c r="AE170" s="140"/>
      <c r="AF170" s="140"/>
      <c r="AG170" s="140"/>
      <c r="AH170" s="140"/>
      <c r="AI170" s="140"/>
      <c r="AJ170" s="140"/>
      <c r="AK170" s="141"/>
    </row>
    <row r="171">
      <c r="A171" s="99" t="s">
        <v>459</v>
      </c>
      <c r="B171" s="12"/>
      <c r="C171" s="12"/>
      <c r="D171" s="12"/>
      <c r="E171" s="12"/>
      <c r="F171" s="12"/>
      <c r="G171" s="12"/>
      <c r="H171" s="318"/>
      <c r="I171" s="319"/>
      <c r="J171" s="319"/>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20"/>
    </row>
    <row r="172">
      <c r="A172" s="101"/>
      <c r="B172" s="102"/>
      <c r="C172" s="374"/>
      <c r="D172" s="102"/>
      <c r="E172" s="103"/>
      <c r="F172" s="104"/>
      <c r="G172" s="104"/>
      <c r="H172" s="105"/>
      <c r="I172" s="323"/>
      <c r="J172" s="323"/>
      <c r="K172" s="323"/>
      <c r="L172" s="323"/>
      <c r="M172" s="323"/>
      <c r="N172" s="323"/>
      <c r="O172" s="323"/>
      <c r="P172" s="323"/>
      <c r="Q172" s="323"/>
      <c r="R172" s="323"/>
      <c r="S172" s="323"/>
      <c r="T172" s="323"/>
      <c r="U172" s="323"/>
      <c r="V172" s="323"/>
      <c r="W172" s="323"/>
      <c r="X172" s="323"/>
      <c r="Y172" s="323"/>
      <c r="Z172" s="323"/>
      <c r="AA172" s="323"/>
      <c r="AB172" s="323"/>
      <c r="AC172" s="323"/>
      <c r="AD172" s="323"/>
      <c r="AE172" s="106"/>
      <c r="AF172" s="106"/>
      <c r="AG172" s="106"/>
      <c r="AH172" s="106"/>
      <c r="AI172" s="106"/>
      <c r="AJ172" s="106"/>
      <c r="AK172" s="107"/>
    </row>
    <row r="173">
      <c r="A173" s="101"/>
      <c r="B173" s="102"/>
      <c r="C173" s="130" t="s">
        <v>591</v>
      </c>
      <c r="F173" s="104"/>
      <c r="G173" s="110"/>
      <c r="H173" s="430"/>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7"/>
    </row>
    <row r="174">
      <c r="A174" s="101"/>
      <c r="B174" s="102"/>
      <c r="C174" s="377"/>
      <c r="D174" s="377"/>
      <c r="E174" s="112" t="s">
        <v>407</v>
      </c>
      <c r="F174" s="114" t="str">
        <f>F96</f>
        <v>%</v>
      </c>
      <c r="G174" s="114" t="s">
        <v>60</v>
      </c>
      <c r="H174" s="256" t="str">
        <f t="shared" ref="H174:AJ174" si="43">H96</f>
        <v>-</v>
      </c>
      <c r="I174" s="161">
        <f t="shared" si="43"/>
        <v>-0.5220675891</v>
      </c>
      <c r="J174" s="161">
        <f t="shared" si="43"/>
        <v>-0.4928041927</v>
      </c>
      <c r="K174" s="161">
        <f t="shared" si="43"/>
        <v>-0.5820886695</v>
      </c>
      <c r="L174" s="161">
        <f t="shared" si="43"/>
        <v>-0.3628867521</v>
      </c>
      <c r="M174" s="161">
        <f t="shared" si="43"/>
        <v>-0.5290482517</v>
      </c>
      <c r="N174" s="161">
        <f t="shared" si="43"/>
        <v>-0.6262081566</v>
      </c>
      <c r="O174" s="161">
        <f t="shared" si="43"/>
        <v>-0.52299989</v>
      </c>
      <c r="P174" s="161">
        <f t="shared" si="43"/>
        <v>-0.3930931489</v>
      </c>
      <c r="Q174" s="161">
        <f t="shared" si="43"/>
        <v>-0.4521624101</v>
      </c>
      <c r="R174" s="161">
        <f t="shared" si="43"/>
        <v>-0.6034222967</v>
      </c>
      <c r="S174" s="161">
        <f t="shared" si="43"/>
        <v>-0.7370331135</v>
      </c>
      <c r="T174" s="161">
        <f t="shared" si="43"/>
        <v>-0.8022184048</v>
      </c>
      <c r="U174" s="161">
        <f t="shared" si="43"/>
        <v>-0.6868928884</v>
      </c>
      <c r="V174" s="161">
        <f t="shared" si="43"/>
        <v>-0.809386552</v>
      </c>
      <c r="W174" s="161">
        <f t="shared" si="43"/>
        <v>-0.5941428516</v>
      </c>
      <c r="X174" s="161">
        <f t="shared" si="43"/>
        <v>-0.8027051068</v>
      </c>
      <c r="Y174" s="161">
        <f t="shared" si="43"/>
        <v>-0.7438550495</v>
      </c>
      <c r="Z174" s="161">
        <f t="shared" si="43"/>
        <v>-0.722004449</v>
      </c>
      <c r="AA174" s="161">
        <f t="shared" si="43"/>
        <v>-0.750935903</v>
      </c>
      <c r="AB174" s="161">
        <f t="shared" si="43"/>
        <v>-0.6300791392</v>
      </c>
      <c r="AC174" s="161">
        <f t="shared" si="43"/>
        <v>-0.7595172297</v>
      </c>
      <c r="AD174" s="161">
        <f t="shared" si="43"/>
        <v>-0.7868339727</v>
      </c>
      <c r="AE174" s="161">
        <f t="shared" si="43"/>
        <v>-0.7156850409</v>
      </c>
      <c r="AF174" s="161">
        <f t="shared" si="43"/>
        <v>-0.5360523926</v>
      </c>
      <c r="AG174" s="161">
        <f t="shared" si="43"/>
        <v>-0.5512190394</v>
      </c>
      <c r="AH174" s="161">
        <f t="shared" si="43"/>
        <v>-0.5306134147</v>
      </c>
      <c r="AI174" s="161">
        <f t="shared" si="43"/>
        <v>-0.5526085856</v>
      </c>
      <c r="AJ174" s="161">
        <f t="shared" si="43"/>
        <v>-0.6021753432</v>
      </c>
      <c r="AK174" s="264"/>
    </row>
    <row r="175">
      <c r="A175" s="101"/>
      <c r="B175" s="102"/>
      <c r="C175" s="377"/>
      <c r="D175" s="377"/>
      <c r="E175" s="190" t="s">
        <v>590</v>
      </c>
      <c r="F175" s="176" t="str">
        <f>F169</f>
        <v>%</v>
      </c>
      <c r="G175" s="176" t="s">
        <v>60</v>
      </c>
      <c r="H175" s="179" t="str">
        <f t="shared" ref="H175:AJ175" si="44">H169</f>
        <v>-</v>
      </c>
      <c r="I175" s="236">
        <f t="shared" si="44"/>
        <v>-0.4649226179</v>
      </c>
      <c r="J175" s="236">
        <f t="shared" si="44"/>
        <v>0.03651665055</v>
      </c>
      <c r="K175" s="236">
        <f t="shared" si="44"/>
        <v>-0.5206467361</v>
      </c>
      <c r="L175" s="236">
        <f t="shared" si="44"/>
        <v>-0.3453895452</v>
      </c>
      <c r="M175" s="236">
        <f t="shared" si="44"/>
        <v>-0.518684597</v>
      </c>
      <c r="N175" s="236">
        <f t="shared" si="44"/>
        <v>-0.2372913882</v>
      </c>
      <c r="O175" s="236">
        <f t="shared" si="44"/>
        <v>0.2349367001</v>
      </c>
      <c r="P175" s="236">
        <f t="shared" si="44"/>
        <v>-0.5587797548</v>
      </c>
      <c r="Q175" s="236">
        <f t="shared" si="44"/>
        <v>0.05539072602</v>
      </c>
      <c r="R175" s="236">
        <f t="shared" si="44"/>
        <v>-0.3395312411</v>
      </c>
      <c r="S175" s="236">
        <f t="shared" si="44"/>
        <v>-0.5189059128</v>
      </c>
      <c r="T175" s="236">
        <f t="shared" si="44"/>
        <v>-0.4914607964</v>
      </c>
      <c r="U175" s="236">
        <f t="shared" si="44"/>
        <v>-0.4220757819</v>
      </c>
      <c r="V175" s="236">
        <f t="shared" si="44"/>
        <v>-0.337971136</v>
      </c>
      <c r="W175" s="236">
        <f t="shared" si="44"/>
        <v>-0.3844728845</v>
      </c>
      <c r="X175" s="236">
        <f t="shared" si="44"/>
        <v>-0.3898442645</v>
      </c>
      <c r="Y175" s="236">
        <f t="shared" si="44"/>
        <v>-0.3967203237</v>
      </c>
      <c r="Z175" s="236">
        <f t="shared" si="44"/>
        <v>-0.5224463567</v>
      </c>
      <c r="AA175" s="236">
        <f t="shared" si="44"/>
        <v>-0.3771122553</v>
      </c>
      <c r="AB175" s="236">
        <f t="shared" si="44"/>
        <v>-0.3704413693</v>
      </c>
      <c r="AC175" s="236">
        <f t="shared" si="44"/>
        <v>-0.3960578314</v>
      </c>
      <c r="AD175" s="236">
        <f t="shared" si="44"/>
        <v>-0.4591832093</v>
      </c>
      <c r="AE175" s="236">
        <f t="shared" si="44"/>
        <v>-0.4022744735</v>
      </c>
      <c r="AF175" s="236">
        <f t="shared" si="44"/>
        <v>-0.2877361541</v>
      </c>
      <c r="AG175" s="236">
        <f t="shared" si="44"/>
        <v>-0.2967821667</v>
      </c>
      <c r="AH175" s="236">
        <f t="shared" si="44"/>
        <v>0.2423061234</v>
      </c>
      <c r="AI175" s="236">
        <f t="shared" si="44"/>
        <v>0.2281770541</v>
      </c>
      <c r="AJ175" s="236">
        <f t="shared" si="44"/>
        <v>-0.4079598857</v>
      </c>
      <c r="AK175" s="237"/>
    </row>
    <row r="176">
      <c r="A176" s="101"/>
      <c r="B176" s="102"/>
      <c r="C176" s="377"/>
      <c r="D176" s="377"/>
      <c r="E176" s="131"/>
      <c r="F176" s="132"/>
      <c r="G176" s="132"/>
      <c r="H176" s="712"/>
      <c r="I176" s="244"/>
      <c r="J176" s="244"/>
      <c r="K176" s="244"/>
      <c r="L176" s="244"/>
      <c r="M176" s="244"/>
      <c r="N176" s="244"/>
      <c r="O176" s="244"/>
      <c r="P176" s="244"/>
      <c r="Q176" s="244"/>
      <c r="R176" s="244"/>
      <c r="S176" s="244"/>
      <c r="T176" s="244"/>
      <c r="U176" s="244"/>
      <c r="V176" s="244"/>
      <c r="W176" s="244"/>
      <c r="X176" s="244"/>
      <c r="Y176" s="244"/>
      <c r="Z176" s="244"/>
      <c r="AA176" s="244"/>
      <c r="AB176" s="244"/>
      <c r="AC176" s="244"/>
      <c r="AD176" s="244"/>
      <c r="AE176" s="244"/>
      <c r="AF176" s="244"/>
      <c r="AG176" s="244"/>
      <c r="AH176" s="244"/>
      <c r="AI176" s="244"/>
      <c r="AJ176" s="244"/>
      <c r="AK176" s="245"/>
    </row>
    <row r="177">
      <c r="A177" s="101"/>
      <c r="B177" s="102"/>
      <c r="C177" s="377" t="s">
        <v>460</v>
      </c>
      <c r="F177" s="132"/>
      <c r="G177" s="132"/>
      <c r="H177" s="712"/>
      <c r="I177" s="244"/>
      <c r="J177" s="244"/>
      <c r="K177" s="244"/>
      <c r="L177" s="244"/>
      <c r="M177" s="244"/>
      <c r="N177" s="244"/>
      <c r="O177" s="244"/>
      <c r="P177" s="244"/>
      <c r="Q177" s="244"/>
      <c r="R177" s="244"/>
      <c r="S177" s="244"/>
      <c r="T177" s="244"/>
      <c r="U177" s="244"/>
      <c r="V177" s="244"/>
      <c r="W177" s="244"/>
      <c r="X177" s="244"/>
      <c r="Y177" s="244"/>
      <c r="Z177" s="244"/>
      <c r="AA177" s="244"/>
      <c r="AB177" s="244"/>
      <c r="AC177" s="244"/>
      <c r="AD177" s="244"/>
      <c r="AE177" s="244"/>
      <c r="AF177" s="244"/>
      <c r="AG177" s="244"/>
      <c r="AH177" s="244"/>
      <c r="AI177" s="244"/>
      <c r="AJ177" s="244"/>
      <c r="AK177" s="245"/>
    </row>
    <row r="178">
      <c r="A178" s="101"/>
      <c r="B178" s="102"/>
      <c r="C178" s="377"/>
      <c r="D178" s="377"/>
      <c r="E178" s="112" t="s">
        <v>460</v>
      </c>
      <c r="F178" s="114" t="str">
        <f>Inputs!F134</f>
        <v>%</v>
      </c>
      <c r="G178" s="116" t="str">
        <f>Inputs!G134</f>
        <v>input</v>
      </c>
      <c r="H178" s="211">
        <f>Inputs!H134</f>
        <v>-0.25</v>
      </c>
      <c r="I178" s="161" t="str">
        <f>Inputs!I134</f>
        <v>-</v>
      </c>
      <c r="J178" s="161" t="str">
        <f>Inputs!J134</f>
        <v>-</v>
      </c>
      <c r="K178" s="161" t="str">
        <f>Inputs!K134</f>
        <v>-</v>
      </c>
      <c r="L178" s="161" t="str">
        <f>Inputs!L134</f>
        <v>-</v>
      </c>
      <c r="M178" s="161" t="str">
        <f>Inputs!M134</f>
        <v>-</v>
      </c>
      <c r="N178" s="161" t="str">
        <f>Inputs!N134</f>
        <v>-</v>
      </c>
      <c r="O178" s="161" t="str">
        <f>Inputs!O134</f>
        <v>-</v>
      </c>
      <c r="P178" s="161" t="str">
        <f>Inputs!P134</f>
        <v>-</v>
      </c>
      <c r="Q178" s="161" t="str">
        <f>Inputs!Q134</f>
        <v>-</v>
      </c>
      <c r="R178" s="161" t="str">
        <f>Inputs!R134</f>
        <v>-</v>
      </c>
      <c r="S178" s="161" t="str">
        <f>Inputs!S134</f>
        <v>-</v>
      </c>
      <c r="T178" s="161" t="str">
        <f>Inputs!T134</f>
        <v>-</v>
      </c>
      <c r="U178" s="161" t="str">
        <f>Inputs!U134</f>
        <v>-</v>
      </c>
      <c r="V178" s="161" t="str">
        <f>Inputs!V134</f>
        <v>-</v>
      </c>
      <c r="W178" s="161" t="str">
        <f>Inputs!W134</f>
        <v>-</v>
      </c>
      <c r="X178" s="161" t="str">
        <f>Inputs!X134</f>
        <v>-</v>
      </c>
      <c r="Y178" s="161" t="str">
        <f>Inputs!Y134</f>
        <v>-</v>
      </c>
      <c r="Z178" s="161" t="str">
        <f>Inputs!Z134</f>
        <v>-</v>
      </c>
      <c r="AA178" s="161" t="str">
        <f>Inputs!AA134</f>
        <v>-</v>
      </c>
      <c r="AB178" s="161" t="str">
        <f>Inputs!AB134</f>
        <v>-</v>
      </c>
      <c r="AC178" s="161" t="str">
        <f>Inputs!AC134</f>
        <v>-</v>
      </c>
      <c r="AD178" s="161" t="str">
        <f>Inputs!AD134</f>
        <v>-</v>
      </c>
      <c r="AE178" s="161" t="str">
        <f>Inputs!AE134</f>
        <v>-</v>
      </c>
      <c r="AF178" s="161" t="str">
        <f>Inputs!AF134</f>
        <v>-</v>
      </c>
      <c r="AG178" s="161" t="str">
        <f>Inputs!AG134</f>
        <v>-</v>
      </c>
      <c r="AH178" s="161" t="str">
        <f>Inputs!AH134</f>
        <v>-</v>
      </c>
      <c r="AI178" s="161" t="str">
        <f>Inputs!AI134</f>
        <v>-</v>
      </c>
      <c r="AJ178" s="161" t="str">
        <f>Inputs!AJ134</f>
        <v>-</v>
      </c>
      <c r="AK178" s="264"/>
    </row>
    <row r="179">
      <c r="A179" s="101"/>
      <c r="B179" s="102"/>
      <c r="C179" s="377"/>
      <c r="D179" s="377"/>
      <c r="E179" s="190" t="s">
        <v>597</v>
      </c>
      <c r="F179" s="176" t="s">
        <v>112</v>
      </c>
      <c r="G179" s="176" t="s">
        <v>164</v>
      </c>
      <c r="H179" s="235" t="s">
        <v>165</v>
      </c>
      <c r="I179" s="236">
        <f t="shared" ref="I179:AJ179" si="45">IF(I175&lt;0,I175*(1+$H178),I175)</f>
        <v>-0.3486919635</v>
      </c>
      <c r="J179" s="236">
        <f t="shared" si="45"/>
        <v>0.03651665055</v>
      </c>
      <c r="K179" s="236">
        <f t="shared" si="45"/>
        <v>-0.3904850521</v>
      </c>
      <c r="L179" s="236">
        <f t="shared" si="45"/>
        <v>-0.2590421589</v>
      </c>
      <c r="M179" s="236">
        <f t="shared" si="45"/>
        <v>-0.3890134478</v>
      </c>
      <c r="N179" s="236">
        <f t="shared" si="45"/>
        <v>-0.1779685412</v>
      </c>
      <c r="O179" s="236">
        <f t="shared" si="45"/>
        <v>0.2349367001</v>
      </c>
      <c r="P179" s="236">
        <f t="shared" si="45"/>
        <v>-0.4190848161</v>
      </c>
      <c r="Q179" s="236">
        <f t="shared" si="45"/>
        <v>0.05539072602</v>
      </c>
      <c r="R179" s="236">
        <f t="shared" si="45"/>
        <v>-0.2546484308</v>
      </c>
      <c r="S179" s="236">
        <f t="shared" si="45"/>
        <v>-0.3891794346</v>
      </c>
      <c r="T179" s="236">
        <f t="shared" si="45"/>
        <v>-0.3685955973</v>
      </c>
      <c r="U179" s="236">
        <f t="shared" si="45"/>
        <v>-0.3165568364</v>
      </c>
      <c r="V179" s="236">
        <f t="shared" si="45"/>
        <v>-0.253478352</v>
      </c>
      <c r="W179" s="236">
        <f t="shared" si="45"/>
        <v>-0.2883546634</v>
      </c>
      <c r="X179" s="236">
        <f t="shared" si="45"/>
        <v>-0.2923831984</v>
      </c>
      <c r="Y179" s="236">
        <f t="shared" si="45"/>
        <v>-0.2975402428</v>
      </c>
      <c r="Z179" s="236">
        <f t="shared" si="45"/>
        <v>-0.3918347676</v>
      </c>
      <c r="AA179" s="236">
        <f t="shared" si="45"/>
        <v>-0.2828341915</v>
      </c>
      <c r="AB179" s="236">
        <f t="shared" si="45"/>
        <v>-0.277831027</v>
      </c>
      <c r="AC179" s="236">
        <f t="shared" si="45"/>
        <v>-0.2970433735</v>
      </c>
      <c r="AD179" s="236">
        <f t="shared" si="45"/>
        <v>-0.344387407</v>
      </c>
      <c r="AE179" s="236">
        <f t="shared" si="45"/>
        <v>-0.3017058551</v>
      </c>
      <c r="AF179" s="236">
        <f t="shared" si="45"/>
        <v>-0.2158021156</v>
      </c>
      <c r="AG179" s="236">
        <f t="shared" si="45"/>
        <v>-0.222586625</v>
      </c>
      <c r="AH179" s="236">
        <f t="shared" si="45"/>
        <v>0.2423061234</v>
      </c>
      <c r="AI179" s="236">
        <f t="shared" si="45"/>
        <v>0.2281770541</v>
      </c>
      <c r="AJ179" s="236">
        <f t="shared" si="45"/>
        <v>-0.3059699143</v>
      </c>
      <c r="AK179" s="237"/>
    </row>
    <row r="180">
      <c r="A180" s="101"/>
      <c r="B180" s="102"/>
      <c r="C180" s="377"/>
      <c r="D180" s="377"/>
      <c r="E180" s="131"/>
      <c r="F180" s="132"/>
      <c r="G180" s="132"/>
      <c r="H180" s="712"/>
      <c r="I180" s="244"/>
      <c r="J180" s="244"/>
      <c r="K180" s="244"/>
      <c r="L180" s="244"/>
      <c r="M180" s="244"/>
      <c r="N180" s="244"/>
      <c r="O180" s="244"/>
      <c r="P180" s="244"/>
      <c r="Q180" s="244"/>
      <c r="R180" s="244"/>
      <c r="S180" s="244"/>
      <c r="T180" s="244"/>
      <c r="U180" s="244"/>
      <c r="V180" s="244"/>
      <c r="W180" s="244"/>
      <c r="X180" s="244"/>
      <c r="Y180" s="244"/>
      <c r="Z180" s="244"/>
      <c r="AA180" s="244"/>
      <c r="AB180" s="244"/>
      <c r="AC180" s="244"/>
      <c r="AD180" s="244"/>
      <c r="AE180" s="244"/>
      <c r="AF180" s="244"/>
      <c r="AG180" s="244"/>
      <c r="AH180" s="244"/>
      <c r="AI180" s="244"/>
      <c r="AJ180" s="244"/>
      <c r="AK180" s="245"/>
    </row>
    <row r="181">
      <c r="A181" s="101"/>
      <c r="B181" s="102"/>
      <c r="C181" s="377" t="s">
        <v>459</v>
      </c>
      <c r="F181" s="132"/>
      <c r="G181" s="132"/>
      <c r="H181" s="712"/>
      <c r="I181" s="244"/>
      <c r="J181" s="244"/>
      <c r="K181" s="244"/>
      <c r="L181" s="244"/>
      <c r="M181" s="244"/>
      <c r="N181" s="244"/>
      <c r="O181" s="244"/>
      <c r="P181" s="244"/>
      <c r="Q181" s="244"/>
      <c r="R181" s="244"/>
      <c r="S181" s="244"/>
      <c r="T181" s="244"/>
      <c r="U181" s="244"/>
      <c r="V181" s="244"/>
      <c r="W181" s="244"/>
      <c r="X181" s="244"/>
      <c r="Y181" s="244"/>
      <c r="Z181" s="244"/>
      <c r="AA181" s="244"/>
      <c r="AB181" s="244"/>
      <c r="AC181" s="244"/>
      <c r="AD181" s="244"/>
      <c r="AE181" s="244"/>
      <c r="AF181" s="244"/>
      <c r="AG181" s="244"/>
      <c r="AH181" s="244"/>
      <c r="AI181" s="244"/>
      <c r="AJ181" s="244"/>
      <c r="AK181" s="245"/>
    </row>
    <row r="182">
      <c r="A182" s="101"/>
      <c r="B182" s="102"/>
      <c r="C182" s="377"/>
      <c r="D182" s="377"/>
      <c r="E182" s="246" t="s">
        <v>230</v>
      </c>
      <c r="F182" s="121" t="s">
        <v>112</v>
      </c>
      <c r="G182" s="121" t="s">
        <v>164</v>
      </c>
      <c r="H182" s="249" t="s">
        <v>165</v>
      </c>
      <c r="I182" s="290">
        <f t="shared" ref="I182:AJ182" si="46">(1+I174)*(1+I179)-1</f>
        <v>-0.6887187799</v>
      </c>
      <c r="J182" s="290">
        <f t="shared" si="46"/>
        <v>-0.4742831007</v>
      </c>
      <c r="K182" s="290">
        <f t="shared" si="46"/>
        <v>-0.7452767972</v>
      </c>
      <c r="L182" s="290">
        <f t="shared" si="46"/>
        <v>-0.5279259433</v>
      </c>
      <c r="M182" s="290">
        <f t="shared" si="46"/>
        <v>-0.712254815</v>
      </c>
      <c r="N182" s="290">
        <f t="shared" si="46"/>
        <v>-0.6927313457</v>
      </c>
      <c r="O182" s="290">
        <f t="shared" si="46"/>
        <v>-0.4109350582</v>
      </c>
      <c r="P182" s="290">
        <f t="shared" si="46"/>
        <v>-0.647438595</v>
      </c>
      <c r="Q182" s="290">
        <f t="shared" si="46"/>
        <v>-0.4218172882</v>
      </c>
      <c r="R182" s="290">
        <f t="shared" si="46"/>
        <v>-0.7044101865</v>
      </c>
      <c r="S182" s="290">
        <f t="shared" si="46"/>
        <v>-0.8393744177</v>
      </c>
      <c r="T182" s="290">
        <f t="shared" si="46"/>
        <v>-0.87511983</v>
      </c>
      <c r="U182" s="290">
        <f t="shared" si="46"/>
        <v>-0.7860090851</v>
      </c>
      <c r="V182" s="290">
        <f t="shared" si="46"/>
        <v>-0.8577029347</v>
      </c>
      <c r="W182" s="290">
        <f t="shared" si="46"/>
        <v>-0.711173653</v>
      </c>
      <c r="X182" s="290">
        <f t="shared" si="46"/>
        <v>-0.8603908187</v>
      </c>
      <c r="Y182" s="290">
        <f t="shared" si="46"/>
        <v>-0.8200684803</v>
      </c>
      <c r="Z182" s="290">
        <f t="shared" si="46"/>
        <v>-0.8309327711</v>
      </c>
      <c r="AA182" s="290">
        <f t="shared" si="46"/>
        <v>-0.8213797455</v>
      </c>
      <c r="AB182" s="290">
        <f t="shared" si="46"/>
        <v>-0.7328546319</v>
      </c>
      <c r="AC182" s="290">
        <f t="shared" si="46"/>
        <v>-0.8309510431</v>
      </c>
      <c r="AD182" s="290">
        <f t="shared" si="46"/>
        <v>-0.8602456681</v>
      </c>
      <c r="AE182" s="290">
        <f t="shared" si="46"/>
        <v>-0.8014645287</v>
      </c>
      <c r="AF182" s="290">
        <f t="shared" si="46"/>
        <v>-0.6361732678</v>
      </c>
      <c r="AG182" s="290">
        <f t="shared" si="46"/>
        <v>-0.6511116788</v>
      </c>
      <c r="AH182" s="290">
        <f t="shared" si="46"/>
        <v>-0.4168781709</v>
      </c>
      <c r="AI182" s="290">
        <f t="shared" si="46"/>
        <v>-0.4505241306</v>
      </c>
      <c r="AJ182" s="290">
        <f t="shared" si="46"/>
        <v>-0.7238977193</v>
      </c>
      <c r="AK182" s="686"/>
    </row>
    <row r="183">
      <c r="A183" s="206"/>
      <c r="B183" s="93"/>
      <c r="C183" s="93"/>
      <c r="D183" s="93"/>
      <c r="E183" s="287"/>
      <c r="F183" s="93"/>
      <c r="G183" s="93"/>
      <c r="H183" s="288"/>
      <c r="I183" s="289"/>
      <c r="J183" s="289"/>
      <c r="K183" s="289"/>
      <c r="L183" s="289"/>
      <c r="M183" s="289"/>
      <c r="N183" s="289"/>
      <c r="O183" s="289"/>
      <c r="P183" s="289"/>
      <c r="Q183" s="289"/>
      <c r="R183" s="289"/>
      <c r="S183" s="289"/>
      <c r="T183" s="289"/>
      <c r="U183" s="289"/>
      <c r="V183" s="289"/>
      <c r="W183" s="289"/>
      <c r="X183" s="289"/>
      <c r="Y183" s="289"/>
      <c r="Z183" s="289"/>
      <c r="AA183" s="289"/>
      <c r="AB183" s="289"/>
      <c r="AC183" s="289"/>
      <c r="AD183" s="289"/>
      <c r="AE183" s="289"/>
      <c r="AF183" s="289"/>
      <c r="AG183" s="289"/>
      <c r="AH183" s="289"/>
      <c r="AI183" s="289"/>
      <c r="AJ183" s="289"/>
      <c r="AK183" s="292"/>
    </row>
  </sheetData>
  <mergeCells count="41">
    <mergeCell ref="I1:P1"/>
    <mergeCell ref="Q1:X1"/>
    <mergeCell ref="Y1:AF1"/>
    <mergeCell ref="AG1:AJ1"/>
    <mergeCell ref="A3:E3"/>
    <mergeCell ref="A5:G5"/>
    <mergeCell ref="C7:E7"/>
    <mergeCell ref="C11:E11"/>
    <mergeCell ref="C18:E18"/>
    <mergeCell ref="C22:E22"/>
    <mergeCell ref="C25:E25"/>
    <mergeCell ref="C33:E33"/>
    <mergeCell ref="C43:E43"/>
    <mergeCell ref="C46:E46"/>
    <mergeCell ref="C51:E51"/>
    <mergeCell ref="C54:E54"/>
    <mergeCell ref="C65:F65"/>
    <mergeCell ref="A68:G68"/>
    <mergeCell ref="C70:E70"/>
    <mergeCell ref="C79:E79"/>
    <mergeCell ref="C82:E82"/>
    <mergeCell ref="C86:F86"/>
    <mergeCell ref="A89:G89"/>
    <mergeCell ref="C91:E91"/>
    <mergeCell ref="C94:E94"/>
    <mergeCell ref="A98:G98"/>
    <mergeCell ref="C100:E100"/>
    <mergeCell ref="C103:E103"/>
    <mergeCell ref="C160:E160"/>
    <mergeCell ref="C164:E164"/>
    <mergeCell ref="A171:G171"/>
    <mergeCell ref="C173:E173"/>
    <mergeCell ref="C177:E177"/>
    <mergeCell ref="C181:E181"/>
    <mergeCell ref="C106:E106"/>
    <mergeCell ref="C114:E114"/>
    <mergeCell ref="C122:E122"/>
    <mergeCell ref="C130:E130"/>
    <mergeCell ref="C138:E138"/>
    <mergeCell ref="C146:E146"/>
    <mergeCell ref="A158:G158"/>
  </mergeCells>
  <hyperlinks>
    <hyperlink display="Vitamin A deficiency prevalence in Nigeria according to the latest national survey" location="Inputs!E42" ref="E8"/>
    <hyperlink display="Year of latest national vitamin A deficiency survey in Nigeria" location="Inputs!E43" ref="E9"/>
    <hyperlink display="National proportion of people under age 5 who were experiencing stunting in 2003" location="Inputs!E46" ref="E12"/>
    <hyperlink display="National proportion of people under age 5 who were experiencing wasting in 2003" location="Inputs!E47" ref="E13"/>
    <hyperlink display="National proportion of people under age 5 who were experiencing stunting in 2018" location="Inputs!E48" ref="E14"/>
    <hyperlink display="National proportion of people under age 5 who were experiencing wasting in 2018" location="Inputs!E49" ref="E15"/>
    <hyperlink display="National proportion of 6-59-month-olds who were experiencing anemia in 2018" location="Inputs!E50" ref="E16"/>
    <hyperlink display="National proportion of the population below the international poverty line in 2003" location="Inputs!E53" ref="E19"/>
    <hyperlink display="National proportion of the population below the international poverty line in 2018" location="Inputs!E54" ref="E20"/>
    <hyperlink display="National proportion of the population below Nigeria's poverty line in 2019" location="Inputs!E57" ref="E23"/>
    <hyperlink display="State-level proportion of people under age 5 who were experiencing stunting in 2018" location="Inputs!E70" ref="E47"/>
    <hyperlink display="State-level proportion of people under age 5 who were experiencing wasting in 2018" location="Inputs!E71" ref="E48"/>
    <hyperlink display="State-level proportion of 6-59-month-olds who were experiencing anemia in 2018" location="Inputs!E72" ref="E49"/>
    <hyperlink display="State-level proportion of the population below Nigeria's poverty line in 2019" location="Inputs!E75" ref="E52"/>
    <hyperlink display="Weight placed on change in rates of stunting as a proxy for changes in vitamin A deficiency" location="Inputs!E78" ref="E59"/>
    <hyperlink display="Weight placed on change in rates of wasting as a proxy for changes in vitamin A deficiency" location="Inputs!E79" ref="E60"/>
    <hyperlink display="Weight placed on change in rates of anemia as a proxy for changes in vitamin A deficiency" location="Inputs!E80" ref="E61"/>
    <hyperlink display="Weight placed on change in poverty rates as a proxy for changes in vitamin A deficiency" location="Inputs!E81" ref="E62"/>
    <hyperlink display="Vitamin A deficiency prevalence found in most recent survey of people under age 5" location="Inputs!E84" ref="E71"/>
    <hyperlink display="Year of most recent vitamin A deficiency survey of people under age 5" location="Inputs!E85" ref="E72"/>
    <hyperlink display="Expected year of the grantee's VAS campaign" location="Inputs!E67" ref="E73"/>
    <hyperlink display="Vitamin A deficiency prevalence rate among 6-59-month-olds, derived from GBD 2017" location="Inputs!E86" ref="E80"/>
    <hyperlink display="Weight assigned to vitamin A deficiency rates found in the most recent surveys" location="Inputs!E89" ref="E83"/>
    <hyperlink display="Weight assigned to vitamin A deficiency rates from GBD 2017" location="Inputs!E90" ref="E84"/>
    <hyperlink display="Vitamin A deficiency prevalence in the populations studied by trials from Imdad et al. 2017" location="Inputs!E93" ref="E95"/>
    <hyperlink display="Total mortalities per year among 6-59-month-olds" location="'Counterfactual mortality'!E16" ref="E101"/>
    <hyperlink display="Measles mortalities per year among people under age 5" location="Inputs!E96" ref="E107"/>
    <hyperlink display="Early neonatal measles mortalities per year (babies under 7 days old)" location="Inputs!E97" ref="E108"/>
    <hyperlink display="Late neonatal measles mortalities per year (babies between 7 and 27 days old)" location="Inputs!E98" ref="E109"/>
    <hyperlink display="Post-neonatal measles mortalities per year (babies between 28 and 364 days old)" location="Inputs!E99" ref="E110"/>
    <hyperlink display="Diarrheal disease mortalities per year among people under age 5" location="Inputs!E102" ref="E115"/>
    <hyperlink display="Early neonatal diarrheal disease mortalities per year (babies under 7 days old)" location="Inputs!E103" ref="E116"/>
    <hyperlink display="Late neonatal diarrheal disease mortalities per year (babies between 7 and 27 days old)" location="Inputs!E104" ref="E117"/>
    <hyperlink display="Post-neonatal diarrheal disease mortalities per year (babies between 28 and 364 days old)" location="Inputs!E105" ref="E118"/>
    <hyperlink display="Communicable, maternal, maternal, neonatal, and nutritional disease mortalities per year among people under age 5" location="Inputs!E108" ref="E123"/>
    <hyperlink display="Early neonatal communicable, maternal, maternal, neonatal, and nutritional disease mortalities per year (babies under 7 days old)" location="Inputs!E109" ref="E124"/>
    <hyperlink display="Late neonatal communicable, maternal, maternal, neonatal, and nutritional disease mortalities per year (babies between 7 and 27 days old)" location="Inputs!E110" ref="E125"/>
    <hyperlink display="Post-neonatal communicable, maternal, maternal, neonatal, and nutritional disease mortalities per year (babies between 28 and 364 days old)" location="Inputs!E111" ref="E126"/>
    <hyperlink display="Maternal and neonatal disease mortalities per year among people under age 5" location="Inputs!E114" ref="E131"/>
    <hyperlink display="Early neonatal maternal and neonatal disease mortalities per year (babies under 7 days old)" location="Inputs!E115" ref="E132"/>
    <hyperlink display="Late neonatal maternal and neonatal disease mortalities per year (babies between 7 and 27 days old)" location="Inputs!E116" ref="E133"/>
    <hyperlink display="Post-neonatal maternal and neonatal disease mortalities per year (babies between 28 and 364 days old)" location="Inputs!E117" ref="E134"/>
    <hyperlink display="Nutritional deficiency mortalities per year among people under age 5" location="Inputs!E120" ref="E139"/>
    <hyperlink display="Early neonatal nutritional deficiency mortalities per year (babies under 7 days old)" location="Inputs!E121" ref="E140"/>
    <hyperlink display="Late neonatal nutritional deficiency mortalities per year (babies between 7 and 27 days old)" location="Inputs!E122" ref="E141"/>
    <hyperlink display="Post-neonatal nutritional deficiency mortalities per year (babies between 28 and 364 days old)" location="Inputs!E123" ref="E142"/>
    <hyperlink display="Proportion of mortalities among 6-59-month-olds attributed to measles or diarrheal disease for the populations studied by trials from Imdad et al. 2017" location="Inputs!E126" ref="E161"/>
    <hyperlink display="Proportion of mortalities among 6-59-month-olds attributed to any infectious disease for the populations studied by trials from Imdad et al. 2017" location="Inputs!E127" ref="E162"/>
    <hyperlink display="Weight placed on the assumption that VAS-susceptible mortalities are best approximated by mortalities attributed to measles and diarrheal disease" location="Inputs!E130" ref="E167"/>
    <hyperlink display="Weight placed on the assumption that VAS-susceptible mortalities are best approximated by mortalities attributed to any infectious disease" location="Inputs!E131" ref="E168"/>
    <hyperlink display="External validity adjustment based on vitamin A deficiency prevalence" location="'External validity'!E96" ref="E174"/>
    <hyperlink display="External validity adjustment based on the proportion of mortalities that are susceptible to prevention through VAS" location="'External validity'!E169" ref="E175"/>
    <hyperlink display="Adjustment for non-independence of changes in rates of vitamin A deficiency and child mortality" location="Inputs!E134" ref="E178"/>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6" width="12.13"/>
    <col customWidth="1" min="37" max="37" width="3.63"/>
  </cols>
  <sheetData>
    <row r="1">
      <c r="A1" s="1"/>
      <c r="B1" s="4"/>
      <c r="C1" s="4"/>
      <c r="D1" s="4"/>
      <c r="E1" s="209"/>
      <c r="F1" s="7"/>
      <c r="G1" s="14"/>
      <c r="H1" s="8"/>
      <c r="I1" s="210" t="s">
        <v>1</v>
      </c>
      <c r="J1" s="12"/>
      <c r="K1" s="12"/>
      <c r="L1" s="12"/>
      <c r="M1" s="12"/>
      <c r="N1" s="12"/>
      <c r="O1" s="12"/>
      <c r="P1" s="12"/>
      <c r="Q1" s="13" t="s">
        <v>1</v>
      </c>
      <c r="R1" s="3"/>
      <c r="S1" s="3"/>
      <c r="T1" s="3"/>
      <c r="U1" s="3"/>
      <c r="V1" s="3"/>
      <c r="W1" s="3"/>
      <c r="X1" s="3"/>
      <c r="Y1" s="210" t="s">
        <v>1</v>
      </c>
      <c r="Z1" s="12"/>
      <c r="AA1" s="12"/>
      <c r="AB1" s="12"/>
      <c r="AC1" s="12"/>
      <c r="AD1" s="12"/>
      <c r="AE1" s="12"/>
      <c r="AF1" s="12"/>
      <c r="AG1" s="20" t="s">
        <v>3</v>
      </c>
      <c r="AH1" s="12"/>
      <c r="AI1" s="12"/>
      <c r="AJ1" s="30"/>
      <c r="AK1" s="21"/>
    </row>
    <row r="2">
      <c r="A2" s="23"/>
      <c r="B2" s="24"/>
      <c r="C2" s="24"/>
      <c r="D2" s="24"/>
      <c r="E2" s="213"/>
      <c r="F2" s="27"/>
      <c r="G2" s="35"/>
      <c r="H2" s="28"/>
      <c r="I2" s="41" t="s">
        <v>5</v>
      </c>
      <c r="J2" s="41" t="s">
        <v>6</v>
      </c>
      <c r="K2" s="41" t="s">
        <v>7</v>
      </c>
      <c r="L2" s="41" t="s">
        <v>8</v>
      </c>
      <c r="M2" s="41" t="s">
        <v>9</v>
      </c>
      <c r="N2" s="41" t="s">
        <v>10</v>
      </c>
      <c r="O2" s="41" t="s">
        <v>11</v>
      </c>
      <c r="P2" s="29" t="s">
        <v>12</v>
      </c>
      <c r="Q2" s="13" t="s">
        <v>13</v>
      </c>
      <c r="R2" s="29" t="s">
        <v>14</v>
      </c>
      <c r="S2" s="29" t="s">
        <v>14</v>
      </c>
      <c r="T2" s="29" t="s">
        <v>14</v>
      </c>
      <c r="U2" s="29" t="s">
        <v>14</v>
      </c>
      <c r="V2" s="29" t="s">
        <v>14</v>
      </c>
      <c r="W2" s="29" t="s">
        <v>14</v>
      </c>
      <c r="X2" s="29" t="s">
        <v>14</v>
      </c>
      <c r="Y2" s="10" t="s">
        <v>14</v>
      </c>
      <c r="Z2" s="41" t="s">
        <v>14</v>
      </c>
      <c r="AA2" s="41" t="s">
        <v>14</v>
      </c>
      <c r="AB2" s="41" t="s">
        <v>14</v>
      </c>
      <c r="AC2" s="41" t="s">
        <v>14</v>
      </c>
      <c r="AD2" s="41" t="s">
        <v>14</v>
      </c>
      <c r="AE2" s="41" t="s">
        <v>14</v>
      </c>
      <c r="AF2" s="41" t="s">
        <v>14</v>
      </c>
      <c r="AG2" s="39" t="s">
        <v>17</v>
      </c>
      <c r="AH2" s="41" t="s">
        <v>19</v>
      </c>
      <c r="AI2" s="41" t="s">
        <v>20</v>
      </c>
      <c r="AJ2" s="63" t="s">
        <v>21</v>
      </c>
      <c r="AK2" s="45"/>
    </row>
    <row r="3">
      <c r="A3" s="46" t="s">
        <v>162</v>
      </c>
      <c r="B3" s="47"/>
      <c r="C3" s="47"/>
      <c r="D3" s="47"/>
      <c r="E3" s="47"/>
      <c r="F3" s="48" t="s">
        <v>50</v>
      </c>
      <c r="G3" s="59" t="s">
        <v>52</v>
      </c>
      <c r="H3" s="49" t="s">
        <v>25</v>
      </c>
      <c r="I3" s="50"/>
      <c r="J3" s="50"/>
      <c r="K3" s="50"/>
      <c r="L3" s="50"/>
      <c r="M3" s="50"/>
      <c r="N3" s="50"/>
      <c r="O3" s="50"/>
      <c r="P3" s="50"/>
      <c r="Q3" s="51"/>
      <c r="R3" s="50" t="s">
        <v>27</v>
      </c>
      <c r="S3" s="50" t="s">
        <v>28</v>
      </c>
      <c r="T3" s="50" t="s">
        <v>30</v>
      </c>
      <c r="U3" s="50" t="s">
        <v>31</v>
      </c>
      <c r="V3" s="50" t="s">
        <v>32</v>
      </c>
      <c r="W3" s="50" t="s">
        <v>33</v>
      </c>
      <c r="X3" s="50" t="s">
        <v>34</v>
      </c>
      <c r="Y3" s="51" t="s">
        <v>35</v>
      </c>
      <c r="Z3" s="50" t="s">
        <v>36</v>
      </c>
      <c r="AA3" s="50" t="s">
        <v>37</v>
      </c>
      <c r="AB3" s="50" t="s">
        <v>38</v>
      </c>
      <c r="AC3" s="50" t="s">
        <v>40</v>
      </c>
      <c r="AD3" s="50" t="s">
        <v>41</v>
      </c>
      <c r="AE3" s="50" t="s">
        <v>42</v>
      </c>
      <c r="AF3" s="50" t="s">
        <v>43</v>
      </c>
      <c r="AG3" s="53"/>
      <c r="AH3" s="50"/>
      <c r="AI3" s="50"/>
      <c r="AJ3" s="70"/>
      <c r="AK3" s="55"/>
    </row>
    <row r="4">
      <c r="A4" s="56"/>
      <c r="B4" s="57"/>
      <c r="C4" s="57"/>
      <c r="D4" s="57"/>
      <c r="E4" s="224" t="s">
        <v>48</v>
      </c>
      <c r="F4" s="67" t="str">
        <f>'Main CEA'!F149</f>
        <v>xbenchmark</v>
      </c>
      <c r="G4" s="67" t="s">
        <v>55</v>
      </c>
      <c r="H4" s="71" t="str">
        <f>'Main CEA'!H149</f>
        <v>-</v>
      </c>
      <c r="I4" s="76">
        <f>'Main CEA'!I149</f>
        <v>22.60415752</v>
      </c>
      <c r="J4" s="76">
        <f>'Main CEA'!J149</f>
        <v>15.90795125</v>
      </c>
      <c r="K4" s="76">
        <f>'Main CEA'!K149</f>
        <v>8.539170255</v>
      </c>
      <c r="L4" s="76">
        <f>'Main CEA'!L149</f>
        <v>16.91453322</v>
      </c>
      <c r="M4" s="76">
        <f>'Main CEA'!M149</f>
        <v>10.93220737</v>
      </c>
      <c r="N4" s="76">
        <f>'Main CEA'!N149</f>
        <v>4.797449632</v>
      </c>
      <c r="O4" s="76">
        <f>'Main CEA'!O149</f>
        <v>15.91291055</v>
      </c>
      <c r="P4" s="76">
        <f>'Main CEA'!P149</f>
        <v>32.8307888</v>
      </c>
      <c r="Q4" s="76">
        <f>'Main CEA'!Q149</f>
        <v>59.34334121</v>
      </c>
      <c r="R4" s="76">
        <f>'Main CEA'!R149</f>
        <v>21.47896702</v>
      </c>
      <c r="S4" s="76">
        <f>'Main CEA'!S149</f>
        <v>4.41378032</v>
      </c>
      <c r="T4" s="76">
        <f>'Main CEA'!T149</f>
        <v>2.306263162</v>
      </c>
      <c r="U4" s="76">
        <f>'Main CEA'!U149</f>
        <v>9.528711546</v>
      </c>
      <c r="V4" s="76">
        <f>'Main CEA'!V149</f>
        <v>5.198055163</v>
      </c>
      <c r="W4" s="76">
        <f>'Main CEA'!W149</f>
        <v>13.5193518</v>
      </c>
      <c r="X4" s="76">
        <f>'Main CEA'!X149</f>
        <v>3.812617409</v>
      </c>
      <c r="Y4" s="76">
        <f>'Main CEA'!Y149</f>
        <v>5.895050222</v>
      </c>
      <c r="Z4" s="76">
        <f>'Main CEA'!Z149</f>
        <v>3.155973833</v>
      </c>
      <c r="AA4" s="76">
        <f>'Main CEA'!AA149</f>
        <v>4.188151971</v>
      </c>
      <c r="AB4" s="76">
        <f>'Main CEA'!AB149</f>
        <v>11.97636056</v>
      </c>
      <c r="AC4" s="76">
        <f>'Main CEA'!AC149</f>
        <v>4.828298764</v>
      </c>
      <c r="AD4" s="76">
        <f>'Main CEA'!AD149</f>
        <v>2.328547655</v>
      </c>
      <c r="AE4" s="76">
        <f>'Main CEA'!AE149</f>
        <v>7.686300139</v>
      </c>
      <c r="AF4" s="76">
        <f>'Main CEA'!AF149</f>
        <v>28.9613448</v>
      </c>
      <c r="AG4" s="76">
        <f>'Main CEA'!AG149</f>
        <v>5.627604036</v>
      </c>
      <c r="AH4" s="76">
        <f>'Main CEA'!AH149</f>
        <v>20.12427722</v>
      </c>
      <c r="AI4" s="76">
        <f>'Main CEA'!AI149</f>
        <v>14.89433335</v>
      </c>
      <c r="AJ4" s="76">
        <f>'Main CEA'!AJ149</f>
        <v>6.31059923</v>
      </c>
      <c r="AK4" s="94"/>
    </row>
    <row r="5">
      <c r="A5" s="99" t="s">
        <v>79</v>
      </c>
      <c r="B5" s="12"/>
      <c r="C5" s="12"/>
      <c r="D5" s="12"/>
      <c r="E5" s="12"/>
      <c r="F5" s="12"/>
      <c r="G5" s="30"/>
      <c r="H5" s="97"/>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100"/>
    </row>
    <row r="6">
      <c r="A6" s="101"/>
      <c r="B6" s="102"/>
      <c r="C6" s="102"/>
      <c r="D6" s="102"/>
      <c r="E6" s="241"/>
      <c r="F6" s="104"/>
      <c r="G6" s="111"/>
      <c r="H6" s="105"/>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7"/>
    </row>
    <row r="7">
      <c r="A7" s="101"/>
      <c r="B7" s="102"/>
      <c r="C7" s="113" t="s">
        <v>91</v>
      </c>
      <c r="F7" s="104"/>
      <c r="G7" s="115"/>
      <c r="H7" s="105"/>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7"/>
    </row>
    <row r="8">
      <c r="A8" s="101"/>
      <c r="B8" s="102"/>
      <c r="C8" s="102"/>
      <c r="D8" s="102"/>
      <c r="E8" s="246" t="s">
        <v>96</v>
      </c>
      <c r="F8" s="121" t="str">
        <f>Inputs!F8</f>
        <v>$</v>
      </c>
      <c r="G8" s="122" t="str">
        <f>Inputs!G8</f>
        <v>input</v>
      </c>
      <c r="H8" s="250">
        <f>Inputs!H8</f>
        <v>1000000</v>
      </c>
      <c r="I8" s="251" t="str">
        <f>Inputs!I8</f>
        <v>-</v>
      </c>
      <c r="J8" s="251" t="str">
        <f>Inputs!J8</f>
        <v>-</v>
      </c>
      <c r="K8" s="251" t="str">
        <f>Inputs!K8</f>
        <v>-</v>
      </c>
      <c r="L8" s="251" t="str">
        <f>Inputs!L8</f>
        <v>-</v>
      </c>
      <c r="M8" s="251" t="str">
        <f>Inputs!M8</f>
        <v>-</v>
      </c>
      <c r="N8" s="251" t="str">
        <f>Inputs!N8</f>
        <v>-</v>
      </c>
      <c r="O8" s="251" t="str">
        <f>Inputs!O8</f>
        <v>-</v>
      </c>
      <c r="P8" s="251" t="str">
        <f>Inputs!P8</f>
        <v>-</v>
      </c>
      <c r="Q8" s="251" t="str">
        <f>Inputs!Q8</f>
        <v>-</v>
      </c>
      <c r="R8" s="251" t="str">
        <f>Inputs!R8</f>
        <v>-</v>
      </c>
      <c r="S8" s="251" t="str">
        <f>Inputs!S8</f>
        <v>-</v>
      </c>
      <c r="T8" s="251" t="str">
        <f>Inputs!T8</f>
        <v>-</v>
      </c>
      <c r="U8" s="251" t="str">
        <f>Inputs!U8</f>
        <v>-</v>
      </c>
      <c r="V8" s="251" t="str">
        <f>Inputs!V8</f>
        <v>-</v>
      </c>
      <c r="W8" s="251" t="str">
        <f>Inputs!W8</f>
        <v>-</v>
      </c>
      <c r="X8" s="251" t="str">
        <f>Inputs!X8</f>
        <v>-</v>
      </c>
      <c r="Y8" s="251" t="str">
        <f>Inputs!Y8</f>
        <v>-</v>
      </c>
      <c r="Z8" s="251" t="str">
        <f>Inputs!Z8</f>
        <v>-</v>
      </c>
      <c r="AA8" s="251" t="str">
        <f>Inputs!AA8</f>
        <v>-</v>
      </c>
      <c r="AB8" s="251" t="str">
        <f>Inputs!AB8</f>
        <v>-</v>
      </c>
      <c r="AC8" s="251" t="str">
        <f>Inputs!AC8</f>
        <v>-</v>
      </c>
      <c r="AD8" s="251" t="str">
        <f>Inputs!AD8</f>
        <v>-</v>
      </c>
      <c r="AE8" s="251" t="str">
        <f>Inputs!AE8</f>
        <v>-</v>
      </c>
      <c r="AF8" s="251" t="str">
        <f>Inputs!AF8</f>
        <v>-</v>
      </c>
      <c r="AG8" s="251" t="str">
        <f>Inputs!AG8</f>
        <v>-</v>
      </c>
      <c r="AH8" s="251" t="str">
        <f>Inputs!AH8</f>
        <v>-</v>
      </c>
      <c r="AI8" s="251" t="str">
        <f>Inputs!AI8</f>
        <v>-</v>
      </c>
      <c r="AJ8" s="251" t="str">
        <f>Inputs!AJ8</f>
        <v>-</v>
      </c>
      <c r="AK8" s="252"/>
    </row>
    <row r="9">
      <c r="A9" s="101"/>
      <c r="B9" s="102"/>
      <c r="C9" s="123"/>
      <c r="D9" s="123"/>
      <c r="E9" s="254"/>
      <c r="F9" s="156"/>
      <c r="G9" s="157"/>
      <c r="H9" s="105"/>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7"/>
    </row>
    <row r="10">
      <c r="A10" s="101"/>
      <c r="B10" s="102"/>
      <c r="C10" s="123" t="s">
        <v>136</v>
      </c>
      <c r="F10" s="156"/>
      <c r="G10" s="157"/>
      <c r="H10" s="105"/>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7"/>
    </row>
    <row r="11">
      <c r="A11" s="101"/>
      <c r="B11" s="102"/>
      <c r="C11" s="22"/>
      <c r="D11" s="22"/>
      <c r="E11" s="258" t="s">
        <v>137</v>
      </c>
      <c r="F11" s="162" t="str">
        <f>Inputs!F11</f>
        <v>%</v>
      </c>
      <c r="G11" s="163" t="str">
        <f>Inputs!G11</f>
        <v>input</v>
      </c>
      <c r="H11" s="256" t="str">
        <f>Inputs!H11</f>
        <v>-</v>
      </c>
      <c r="I11" s="161">
        <f>Inputs!I11</f>
        <v>0.4310638</v>
      </c>
      <c r="J11" s="161">
        <f>Inputs!J11</f>
        <v>0.6403403</v>
      </c>
      <c r="K11" s="161">
        <f>Inputs!K11</f>
        <v>0.4659904</v>
      </c>
      <c r="L11" s="161">
        <f>Inputs!L11</f>
        <v>0.4659904</v>
      </c>
      <c r="M11" s="161">
        <f>Inputs!M11</f>
        <v>0.5527665</v>
      </c>
      <c r="N11" s="161">
        <f>Inputs!N11</f>
        <v>0.4659904</v>
      </c>
      <c r="O11" s="161">
        <f>Inputs!O11</f>
        <v>0.5983099</v>
      </c>
      <c r="P11" s="161">
        <f>Inputs!P11</f>
        <v>0.4324667</v>
      </c>
      <c r="Q11" s="161">
        <f>Inputs!Q11</f>
        <v>0.3616872</v>
      </c>
      <c r="R11" s="161">
        <f>Inputs!R11</f>
        <v>0.4659904</v>
      </c>
      <c r="S11" s="161">
        <f>Inputs!S11</f>
        <v>0.4659904</v>
      </c>
      <c r="T11" s="161">
        <f>Inputs!T11</f>
        <v>0.4659904</v>
      </c>
      <c r="U11" s="161">
        <f>Inputs!U11</f>
        <v>0.4659904</v>
      </c>
      <c r="V11" s="161">
        <f>Inputs!V11</f>
        <v>0.4659904</v>
      </c>
      <c r="W11" s="161">
        <f>Inputs!W11</f>
        <v>0.4659904</v>
      </c>
      <c r="X11" s="161">
        <f>Inputs!X11</f>
        <v>0.4659904</v>
      </c>
      <c r="Y11" s="161">
        <f>Inputs!Y11</f>
        <v>0.4659904</v>
      </c>
      <c r="Z11" s="161">
        <f>Inputs!Z11</f>
        <v>0.4659904</v>
      </c>
      <c r="AA11" s="161">
        <f>Inputs!AA11</f>
        <v>0.4659904</v>
      </c>
      <c r="AB11" s="161">
        <f>Inputs!AB11</f>
        <v>0.4659904</v>
      </c>
      <c r="AC11" s="161">
        <f>Inputs!AC11</f>
        <v>0.4659904</v>
      </c>
      <c r="AD11" s="161">
        <f>Inputs!AD11</f>
        <v>0.4659904</v>
      </c>
      <c r="AE11" s="161">
        <f>Inputs!AE11</f>
        <v>0.4659904</v>
      </c>
      <c r="AF11" s="161">
        <f>Inputs!AF11</f>
        <v>0.4659904</v>
      </c>
      <c r="AG11" s="161">
        <f>Inputs!AG11</f>
        <v>0.7</v>
      </c>
      <c r="AH11" s="161">
        <f>Inputs!AH11</f>
        <v>0.7</v>
      </c>
      <c r="AI11" s="161">
        <f>Inputs!AI11</f>
        <v>0.7</v>
      </c>
      <c r="AJ11" s="161">
        <f>Inputs!AJ11</f>
        <v>0.7</v>
      </c>
      <c r="AK11" s="264"/>
    </row>
    <row r="12">
      <c r="A12" s="101"/>
      <c r="B12" s="102"/>
      <c r="C12" s="22"/>
      <c r="D12" s="22"/>
      <c r="E12" s="265" t="s">
        <v>147</v>
      </c>
      <c r="F12" s="183" t="str">
        <f>Inputs!F12</f>
        <v>%</v>
      </c>
      <c r="G12" s="184" t="str">
        <f>Inputs!G12</f>
        <v>input</v>
      </c>
      <c r="H12" s="223" t="str">
        <f>Inputs!H12</f>
        <v>-</v>
      </c>
      <c r="I12" s="187">
        <f>Inputs!I12</f>
        <v>0.0642112</v>
      </c>
      <c r="J12" s="187">
        <f>Inputs!J12</f>
        <v>0.0596597</v>
      </c>
      <c r="K12" s="187">
        <f>Inputs!K12</f>
        <v>0.0697078</v>
      </c>
      <c r="L12" s="187">
        <f>Inputs!L12</f>
        <v>0.0697078</v>
      </c>
      <c r="M12" s="187">
        <f>Inputs!M12</f>
        <v>0.0486625</v>
      </c>
      <c r="N12" s="187">
        <f>Inputs!N12</f>
        <v>0.0697078</v>
      </c>
      <c r="O12" s="187">
        <f>Inputs!O12</f>
        <v>0.0697078</v>
      </c>
      <c r="P12" s="187">
        <f>Inputs!P12</f>
        <v>0.0845829</v>
      </c>
      <c r="Q12" s="187">
        <f>Inputs!Q12</f>
        <v>0.078881</v>
      </c>
      <c r="R12" s="187">
        <f>Inputs!R12</f>
        <v>0.0697078</v>
      </c>
      <c r="S12" s="187">
        <f>Inputs!S12</f>
        <v>0.0697078</v>
      </c>
      <c r="T12" s="187">
        <f>Inputs!T12</f>
        <v>0.0697078</v>
      </c>
      <c r="U12" s="187">
        <f>Inputs!U12</f>
        <v>0.0697078</v>
      </c>
      <c r="V12" s="187">
        <f>Inputs!V12</f>
        <v>0.0697078</v>
      </c>
      <c r="W12" s="187">
        <f>Inputs!W12</f>
        <v>0.0697078</v>
      </c>
      <c r="X12" s="187">
        <f>Inputs!X12</f>
        <v>0.0697078</v>
      </c>
      <c r="Y12" s="187">
        <f>Inputs!Y12</f>
        <v>0.0697078</v>
      </c>
      <c r="Z12" s="187">
        <f>Inputs!Z12</f>
        <v>0.0697078</v>
      </c>
      <c r="AA12" s="187">
        <f>Inputs!AA12</f>
        <v>0.0697078</v>
      </c>
      <c r="AB12" s="187">
        <f>Inputs!AB12</f>
        <v>0.0697078</v>
      </c>
      <c r="AC12" s="187">
        <f>Inputs!AC12</f>
        <v>0.0697078</v>
      </c>
      <c r="AD12" s="187">
        <f>Inputs!AD12</f>
        <v>0.0697078</v>
      </c>
      <c r="AE12" s="187">
        <f>Inputs!AE12</f>
        <v>0.0697078</v>
      </c>
      <c r="AF12" s="187">
        <f>Inputs!AF12</f>
        <v>0.0697078</v>
      </c>
      <c r="AG12" s="187">
        <f>Inputs!AG12</f>
        <v>0</v>
      </c>
      <c r="AH12" s="187">
        <f>Inputs!AH12</f>
        <v>0</v>
      </c>
      <c r="AI12" s="187">
        <f>Inputs!AI12</f>
        <v>0</v>
      </c>
      <c r="AJ12" s="187">
        <f>Inputs!AJ12</f>
        <v>0</v>
      </c>
      <c r="AK12" s="204"/>
    </row>
    <row r="13">
      <c r="A13" s="101"/>
      <c r="B13" s="102"/>
      <c r="C13" s="22"/>
      <c r="D13" s="22"/>
      <c r="E13" s="265" t="s">
        <v>158</v>
      </c>
      <c r="F13" s="183" t="str">
        <f>Inputs!F13</f>
        <v>%</v>
      </c>
      <c r="G13" s="184" t="str">
        <f>Inputs!G13</f>
        <v>input</v>
      </c>
      <c r="H13" s="223" t="str">
        <f>Inputs!H13</f>
        <v>-</v>
      </c>
      <c r="I13" s="187">
        <f>Inputs!I13</f>
        <v>0.0565391</v>
      </c>
      <c r="J13" s="187">
        <f>Inputs!J13</f>
        <v>0</v>
      </c>
      <c r="K13" s="187">
        <f>Inputs!K13</f>
        <v>0.1323195</v>
      </c>
      <c r="L13" s="187">
        <f>Inputs!L13</f>
        <v>0.1323195</v>
      </c>
      <c r="M13" s="187">
        <f>Inputs!M13</f>
        <v>0.098571</v>
      </c>
      <c r="N13" s="187">
        <f>Inputs!N13</f>
        <v>0.1323195</v>
      </c>
      <c r="O13" s="187">
        <f>Inputs!O13</f>
        <v>0</v>
      </c>
      <c r="P13" s="187">
        <f>Inputs!P13</f>
        <v>0.1829504</v>
      </c>
      <c r="Q13" s="187">
        <f>Inputs!Q13</f>
        <v>0.2594317</v>
      </c>
      <c r="R13" s="187">
        <f>Inputs!R13</f>
        <v>0.1323195</v>
      </c>
      <c r="S13" s="187">
        <f>Inputs!S13</f>
        <v>0.1323195</v>
      </c>
      <c r="T13" s="187">
        <f>Inputs!T13</f>
        <v>0.1323195</v>
      </c>
      <c r="U13" s="187">
        <f>Inputs!U13</f>
        <v>0.1323195</v>
      </c>
      <c r="V13" s="187">
        <f>Inputs!V13</f>
        <v>0.1323195</v>
      </c>
      <c r="W13" s="187">
        <f>Inputs!W13</f>
        <v>0.1323195</v>
      </c>
      <c r="X13" s="187">
        <f>Inputs!X13</f>
        <v>0.1323195</v>
      </c>
      <c r="Y13" s="187">
        <f>Inputs!Y13</f>
        <v>0.1323195</v>
      </c>
      <c r="Z13" s="187">
        <f>Inputs!Z13</f>
        <v>0.1323195</v>
      </c>
      <c r="AA13" s="187">
        <f>Inputs!AA13</f>
        <v>0.1323195</v>
      </c>
      <c r="AB13" s="187">
        <f>Inputs!AB13</f>
        <v>0.1323195</v>
      </c>
      <c r="AC13" s="187">
        <f>Inputs!AC13</f>
        <v>0.1323195</v>
      </c>
      <c r="AD13" s="187">
        <f>Inputs!AD13</f>
        <v>0.1323195</v>
      </c>
      <c r="AE13" s="187">
        <f>Inputs!AE13</f>
        <v>0.1323195</v>
      </c>
      <c r="AF13" s="187">
        <f>Inputs!AF13</f>
        <v>0.1323195</v>
      </c>
      <c r="AG13" s="187">
        <f>Inputs!AG13</f>
        <v>0</v>
      </c>
      <c r="AH13" s="187">
        <f>Inputs!AH13</f>
        <v>0</v>
      </c>
      <c r="AI13" s="187">
        <f>Inputs!AI13</f>
        <v>0</v>
      </c>
      <c r="AJ13" s="187">
        <f>Inputs!AJ13</f>
        <v>0</v>
      </c>
      <c r="AK13" s="204"/>
    </row>
    <row r="14">
      <c r="A14" s="101"/>
      <c r="B14" s="102"/>
      <c r="C14" s="22"/>
      <c r="D14" s="22"/>
      <c r="E14" s="265" t="s">
        <v>160</v>
      </c>
      <c r="F14" s="183" t="str">
        <f>Inputs!F14</f>
        <v>%</v>
      </c>
      <c r="G14" s="184" t="str">
        <f>Inputs!G14</f>
        <v>input</v>
      </c>
      <c r="H14" s="277" t="str">
        <f>Inputs!H14</f>
        <v>-</v>
      </c>
      <c r="I14" s="218">
        <f>Inputs!I14</f>
        <v>0.1481859</v>
      </c>
      <c r="J14" s="218">
        <f>Inputs!J14</f>
        <v>0</v>
      </c>
      <c r="K14" s="218">
        <f>Inputs!K14</f>
        <v>0.0319823</v>
      </c>
      <c r="L14" s="218">
        <f>Inputs!L14</f>
        <v>0.0319823</v>
      </c>
      <c r="M14" s="218">
        <f>Inputs!M14</f>
        <v>0</v>
      </c>
      <c r="N14" s="218">
        <f>Inputs!N14</f>
        <v>0.0319823</v>
      </c>
      <c r="O14" s="218">
        <f>Inputs!O14</f>
        <v>0.0319823</v>
      </c>
      <c r="P14" s="218">
        <f>Inputs!P14</f>
        <v>0</v>
      </c>
      <c r="Q14" s="218">
        <f>Inputs!Q14</f>
        <v>0</v>
      </c>
      <c r="R14" s="218">
        <f>Inputs!R14</f>
        <v>0.0319823</v>
      </c>
      <c r="S14" s="218">
        <f>Inputs!S14</f>
        <v>0.0319823</v>
      </c>
      <c r="T14" s="218">
        <f>Inputs!T14</f>
        <v>0.0319823</v>
      </c>
      <c r="U14" s="218">
        <f>Inputs!U14</f>
        <v>0.0319823</v>
      </c>
      <c r="V14" s="218">
        <f>Inputs!V14</f>
        <v>0.0319823</v>
      </c>
      <c r="W14" s="218">
        <f>Inputs!W14</f>
        <v>0.0319823</v>
      </c>
      <c r="X14" s="218">
        <f>Inputs!X14</f>
        <v>0.0319823</v>
      </c>
      <c r="Y14" s="218">
        <f>Inputs!Y14</f>
        <v>0.0319823</v>
      </c>
      <c r="Z14" s="218">
        <f>Inputs!Z14</f>
        <v>0.0319823</v>
      </c>
      <c r="AA14" s="218">
        <f>Inputs!AA14</f>
        <v>0.0319823</v>
      </c>
      <c r="AB14" s="218">
        <f>Inputs!AB14</f>
        <v>0.0319823</v>
      </c>
      <c r="AC14" s="218">
        <f>Inputs!AC14</f>
        <v>0.0319823</v>
      </c>
      <c r="AD14" s="218">
        <f>Inputs!AD14</f>
        <v>0.0319823</v>
      </c>
      <c r="AE14" s="218">
        <f>Inputs!AE14</f>
        <v>0.0319823</v>
      </c>
      <c r="AF14" s="218">
        <f>Inputs!AF14</f>
        <v>0.0319823</v>
      </c>
      <c r="AG14" s="218">
        <f>Inputs!AG14</f>
        <v>0</v>
      </c>
      <c r="AH14" s="218">
        <f>Inputs!AH14</f>
        <v>0</v>
      </c>
      <c r="AI14" s="218">
        <f>Inputs!AI14</f>
        <v>0</v>
      </c>
      <c r="AJ14" s="218">
        <f>Inputs!AJ14</f>
        <v>0</v>
      </c>
      <c r="AK14" s="227"/>
    </row>
    <row r="15">
      <c r="A15" s="101"/>
      <c r="B15" s="102"/>
      <c r="C15" s="22"/>
      <c r="D15" s="22"/>
      <c r="E15" s="293" t="s">
        <v>167</v>
      </c>
      <c r="F15" s="230" t="str">
        <f>Inputs!F15</f>
        <v>%</v>
      </c>
      <c r="G15" s="231" t="str">
        <f>Inputs!G15</f>
        <v>input</v>
      </c>
      <c r="H15" s="235" t="str">
        <f>Inputs!H15</f>
        <v>-</v>
      </c>
      <c r="I15" s="233">
        <f>Inputs!I15</f>
        <v>0.3</v>
      </c>
      <c r="J15" s="233">
        <f>Inputs!J15</f>
        <v>0.3</v>
      </c>
      <c r="K15" s="233">
        <f>Inputs!K15</f>
        <v>0.3</v>
      </c>
      <c r="L15" s="233">
        <f>Inputs!L15</f>
        <v>0.3</v>
      </c>
      <c r="M15" s="233">
        <f>Inputs!M15</f>
        <v>0.3</v>
      </c>
      <c r="N15" s="233">
        <f>Inputs!N15</f>
        <v>0.3</v>
      </c>
      <c r="O15" s="233">
        <f>Inputs!O15</f>
        <v>0.3</v>
      </c>
      <c r="P15" s="233">
        <f>Inputs!P15</f>
        <v>0.3</v>
      </c>
      <c r="Q15" s="233">
        <f>Inputs!Q15</f>
        <v>0.3</v>
      </c>
      <c r="R15" s="233">
        <f>Inputs!R15</f>
        <v>0.3</v>
      </c>
      <c r="S15" s="233">
        <f>Inputs!S15</f>
        <v>0.3</v>
      </c>
      <c r="T15" s="233">
        <f>Inputs!T15</f>
        <v>0.3</v>
      </c>
      <c r="U15" s="233">
        <f>Inputs!U15</f>
        <v>0.3</v>
      </c>
      <c r="V15" s="233">
        <f>Inputs!V15</f>
        <v>0.3</v>
      </c>
      <c r="W15" s="233">
        <f>Inputs!W15</f>
        <v>0.3</v>
      </c>
      <c r="X15" s="233">
        <f>Inputs!X15</f>
        <v>0.3</v>
      </c>
      <c r="Y15" s="233">
        <f>Inputs!Y15</f>
        <v>0.3</v>
      </c>
      <c r="Z15" s="233">
        <f>Inputs!Z15</f>
        <v>0.3</v>
      </c>
      <c r="AA15" s="233">
        <f>Inputs!AA15</f>
        <v>0.3</v>
      </c>
      <c r="AB15" s="233">
        <f>Inputs!AB15</f>
        <v>0.3</v>
      </c>
      <c r="AC15" s="233">
        <f>Inputs!AC15</f>
        <v>0.3</v>
      </c>
      <c r="AD15" s="233">
        <f>Inputs!AD15</f>
        <v>0.3</v>
      </c>
      <c r="AE15" s="233">
        <f>Inputs!AE15</f>
        <v>0.3</v>
      </c>
      <c r="AF15" s="233">
        <f>Inputs!AF15</f>
        <v>0.3</v>
      </c>
      <c r="AG15" s="233">
        <f>Inputs!AG15</f>
        <v>0.3</v>
      </c>
      <c r="AH15" s="233">
        <f>Inputs!AH15</f>
        <v>0.3</v>
      </c>
      <c r="AI15" s="233">
        <f>Inputs!AI15</f>
        <v>0.3</v>
      </c>
      <c r="AJ15" s="233">
        <f>Inputs!AJ15</f>
        <v>0.3</v>
      </c>
      <c r="AK15" s="239"/>
    </row>
    <row r="16">
      <c r="A16" s="101"/>
      <c r="B16" s="102"/>
      <c r="C16" s="102"/>
      <c r="D16" s="102"/>
      <c r="E16" s="299"/>
      <c r="F16" s="132"/>
      <c r="G16" s="271"/>
      <c r="H16" s="302"/>
      <c r="I16" s="303"/>
      <c r="J16" s="303"/>
      <c r="K16" s="303"/>
      <c r="L16" s="303"/>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5"/>
    </row>
    <row r="17">
      <c r="A17" s="101"/>
      <c r="B17" s="102"/>
      <c r="C17" s="109" t="s">
        <v>171</v>
      </c>
      <c r="F17" s="132"/>
      <c r="G17" s="242"/>
      <c r="H17" s="135"/>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1"/>
    </row>
    <row r="18">
      <c r="A18" s="101"/>
      <c r="B18" s="102"/>
      <c r="C18" s="109"/>
      <c r="D18" s="102"/>
      <c r="E18" s="274" t="s">
        <v>174</v>
      </c>
      <c r="F18" s="121" t="str">
        <f>'Main CEA'!F18</f>
        <v>$</v>
      </c>
      <c r="G18" s="248" t="s">
        <v>55</v>
      </c>
      <c r="H18" s="281" t="str">
        <f>'Main CEA'!H18</f>
        <v>-</v>
      </c>
      <c r="I18" s="251">
        <f>'Main CEA'!I18</f>
        <v>2319842.214</v>
      </c>
      <c r="J18" s="251">
        <f>'Main CEA'!J18</f>
        <v>1561669.631</v>
      </c>
      <c r="K18" s="251">
        <f>'Main CEA'!K18</f>
        <v>2145966.956</v>
      </c>
      <c r="L18" s="251">
        <f>'Main CEA'!L18</f>
        <v>2145966.956</v>
      </c>
      <c r="M18" s="251">
        <f>'Main CEA'!M18</f>
        <v>1809082.135</v>
      </c>
      <c r="N18" s="251">
        <f>'Main CEA'!N18</f>
        <v>2145966.956</v>
      </c>
      <c r="O18" s="251">
        <f>'Main CEA'!O18</f>
        <v>1671374.65</v>
      </c>
      <c r="P18" s="251">
        <f>'Main CEA'!P18</f>
        <v>2312316.763</v>
      </c>
      <c r="Q18" s="251">
        <f>'Main CEA'!Q18</f>
        <v>2764819.988</v>
      </c>
      <c r="R18" s="251">
        <f>'Main CEA'!R18</f>
        <v>2145966.956</v>
      </c>
      <c r="S18" s="251">
        <f>'Main CEA'!S18</f>
        <v>2145966.956</v>
      </c>
      <c r="T18" s="251">
        <f>'Main CEA'!T18</f>
        <v>2145966.956</v>
      </c>
      <c r="U18" s="251">
        <f>'Main CEA'!U18</f>
        <v>2145966.956</v>
      </c>
      <c r="V18" s="251">
        <f>'Main CEA'!V18</f>
        <v>2145966.956</v>
      </c>
      <c r="W18" s="251">
        <f>'Main CEA'!W18</f>
        <v>2145966.956</v>
      </c>
      <c r="X18" s="251">
        <f>'Main CEA'!X18</f>
        <v>2145966.956</v>
      </c>
      <c r="Y18" s="251">
        <f>'Main CEA'!Y18</f>
        <v>2145966.956</v>
      </c>
      <c r="Z18" s="251">
        <f>'Main CEA'!Z18</f>
        <v>2145966.956</v>
      </c>
      <c r="AA18" s="251">
        <f>'Main CEA'!AA18</f>
        <v>2145966.956</v>
      </c>
      <c r="AB18" s="251">
        <f>'Main CEA'!AB18</f>
        <v>2145966.956</v>
      </c>
      <c r="AC18" s="251">
        <f>'Main CEA'!AC18</f>
        <v>2145966.956</v>
      </c>
      <c r="AD18" s="251">
        <f>'Main CEA'!AD18</f>
        <v>2145966.956</v>
      </c>
      <c r="AE18" s="251">
        <f>'Main CEA'!AE18</f>
        <v>2145966.956</v>
      </c>
      <c r="AF18" s="251">
        <f>'Main CEA'!AF18</f>
        <v>2145966.956</v>
      </c>
      <c r="AG18" s="251">
        <f>'Main CEA'!AG18</f>
        <v>1428571.429</v>
      </c>
      <c r="AH18" s="251">
        <f>'Main CEA'!AH18</f>
        <v>1428571.429</v>
      </c>
      <c r="AI18" s="251">
        <f>'Main CEA'!AI18</f>
        <v>1428571.429</v>
      </c>
      <c r="AJ18" s="251">
        <f>'Main CEA'!AJ18</f>
        <v>1428571.429</v>
      </c>
      <c r="AK18" s="252"/>
    </row>
    <row r="19">
      <c r="A19" s="101"/>
      <c r="B19" s="102"/>
      <c r="C19" s="130"/>
      <c r="D19" s="130"/>
      <c r="E19" s="299"/>
      <c r="F19" s="104"/>
      <c r="G19" s="115"/>
      <c r="H19" s="135"/>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1"/>
    </row>
    <row r="20">
      <c r="A20" s="101"/>
      <c r="B20" s="102"/>
      <c r="C20" s="130" t="s">
        <v>177</v>
      </c>
      <c r="F20" s="104"/>
      <c r="G20" s="115"/>
      <c r="H20" s="135"/>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1"/>
    </row>
    <row r="21">
      <c r="A21" s="101"/>
      <c r="B21" s="102"/>
      <c r="C21" s="102"/>
      <c r="D21" s="102"/>
      <c r="E21" s="143" t="s">
        <v>178</v>
      </c>
      <c r="F21" s="114" t="str">
        <f>'Main CEA'!F21</f>
        <v>$</v>
      </c>
      <c r="G21" s="255" t="s">
        <v>55</v>
      </c>
      <c r="H21" s="256" t="str">
        <f>'Main CEA'!H21</f>
        <v>-</v>
      </c>
      <c r="I21" s="257">
        <f>'Main CEA'!I21</f>
        <v>1000000</v>
      </c>
      <c r="J21" s="257">
        <f>'Main CEA'!J21</f>
        <v>1000000</v>
      </c>
      <c r="K21" s="257">
        <f>'Main CEA'!K21</f>
        <v>1000000</v>
      </c>
      <c r="L21" s="257">
        <f>'Main CEA'!L21</f>
        <v>1000000</v>
      </c>
      <c r="M21" s="257">
        <f>'Main CEA'!M21</f>
        <v>1000000</v>
      </c>
      <c r="N21" s="257">
        <f>'Main CEA'!N21</f>
        <v>1000000</v>
      </c>
      <c r="O21" s="257">
        <f>'Main CEA'!O21</f>
        <v>1000000</v>
      </c>
      <c r="P21" s="257">
        <f>'Main CEA'!P21</f>
        <v>1000000</v>
      </c>
      <c r="Q21" s="257">
        <f>'Main CEA'!Q21</f>
        <v>1000000</v>
      </c>
      <c r="R21" s="257">
        <f>'Main CEA'!R21</f>
        <v>1000000</v>
      </c>
      <c r="S21" s="257">
        <f>'Main CEA'!S21</f>
        <v>1000000</v>
      </c>
      <c r="T21" s="257">
        <f>'Main CEA'!T21</f>
        <v>1000000</v>
      </c>
      <c r="U21" s="257">
        <f>'Main CEA'!U21</f>
        <v>1000000</v>
      </c>
      <c r="V21" s="257">
        <f>'Main CEA'!V21</f>
        <v>1000000</v>
      </c>
      <c r="W21" s="257">
        <f>'Main CEA'!W21</f>
        <v>1000000</v>
      </c>
      <c r="X21" s="257">
        <f>'Main CEA'!X21</f>
        <v>1000000</v>
      </c>
      <c r="Y21" s="257">
        <f>'Main CEA'!Y21</f>
        <v>1000000</v>
      </c>
      <c r="Z21" s="257">
        <f>'Main CEA'!Z21</f>
        <v>1000000</v>
      </c>
      <c r="AA21" s="257">
        <f>'Main CEA'!AA21</f>
        <v>1000000</v>
      </c>
      <c r="AB21" s="257">
        <f>'Main CEA'!AB21</f>
        <v>1000000</v>
      </c>
      <c r="AC21" s="257">
        <f>'Main CEA'!AC21</f>
        <v>1000000</v>
      </c>
      <c r="AD21" s="257">
        <f>'Main CEA'!AD21</f>
        <v>1000000</v>
      </c>
      <c r="AE21" s="257">
        <f>'Main CEA'!AE21</f>
        <v>1000000</v>
      </c>
      <c r="AF21" s="257">
        <f>'Main CEA'!AF21</f>
        <v>1000000</v>
      </c>
      <c r="AG21" s="257">
        <f>'Main CEA'!AG21</f>
        <v>1000000</v>
      </c>
      <c r="AH21" s="257">
        <f>'Main CEA'!AH21</f>
        <v>1000000</v>
      </c>
      <c r="AI21" s="257">
        <f>'Main CEA'!AI21</f>
        <v>1000000</v>
      </c>
      <c r="AJ21" s="257">
        <f>'Main CEA'!AJ21</f>
        <v>1000000</v>
      </c>
      <c r="AK21" s="259"/>
    </row>
    <row r="22">
      <c r="A22" s="101"/>
      <c r="B22" s="102"/>
      <c r="C22" s="130"/>
      <c r="D22" s="102"/>
      <c r="E22" s="260" t="s">
        <v>180</v>
      </c>
      <c r="F22" s="145" t="str">
        <f>'Main CEA'!F22</f>
        <v>$</v>
      </c>
      <c r="G22" s="261" t="s">
        <v>55</v>
      </c>
      <c r="H22" s="223" t="str">
        <f>'Main CEA'!H22</f>
        <v>-</v>
      </c>
      <c r="I22" s="262">
        <f>'Main CEA'!I22</f>
        <v>148959.8523</v>
      </c>
      <c r="J22" s="262">
        <f>'Main CEA'!J22</f>
        <v>93168.74168</v>
      </c>
      <c r="K22" s="262">
        <f>'Main CEA'!K22</f>
        <v>149590.6353</v>
      </c>
      <c r="L22" s="262">
        <f>'Main CEA'!L22</f>
        <v>149590.6353</v>
      </c>
      <c r="M22" s="262">
        <f>'Main CEA'!M22</f>
        <v>88034.4594</v>
      </c>
      <c r="N22" s="262">
        <f>'Main CEA'!N22</f>
        <v>149590.6353</v>
      </c>
      <c r="O22" s="262">
        <f>'Main CEA'!O22</f>
        <v>116507.8499</v>
      </c>
      <c r="P22" s="262">
        <f>'Main CEA'!P22</f>
        <v>195582.4576</v>
      </c>
      <c r="Q22" s="262">
        <f>'Main CEA'!Q22</f>
        <v>218091.7655</v>
      </c>
      <c r="R22" s="262">
        <f>'Main CEA'!R22</f>
        <v>149590.6353</v>
      </c>
      <c r="S22" s="262">
        <f>'Main CEA'!S22</f>
        <v>149590.6353</v>
      </c>
      <c r="T22" s="262">
        <f>'Main CEA'!T22</f>
        <v>149590.6353</v>
      </c>
      <c r="U22" s="262">
        <f>'Main CEA'!U22</f>
        <v>149590.6353</v>
      </c>
      <c r="V22" s="262">
        <f>'Main CEA'!V22</f>
        <v>149590.6353</v>
      </c>
      <c r="W22" s="262">
        <f>'Main CEA'!W22</f>
        <v>149590.6353</v>
      </c>
      <c r="X22" s="262">
        <f>'Main CEA'!X22</f>
        <v>149590.6353</v>
      </c>
      <c r="Y22" s="262">
        <f>'Main CEA'!Y22</f>
        <v>149590.6353</v>
      </c>
      <c r="Z22" s="262">
        <f>'Main CEA'!Z22</f>
        <v>149590.6353</v>
      </c>
      <c r="AA22" s="262">
        <f>'Main CEA'!AA22</f>
        <v>149590.6353</v>
      </c>
      <c r="AB22" s="262">
        <f>'Main CEA'!AB22</f>
        <v>149590.6353</v>
      </c>
      <c r="AC22" s="262">
        <f>'Main CEA'!AC22</f>
        <v>149590.6353</v>
      </c>
      <c r="AD22" s="262">
        <f>'Main CEA'!AD22</f>
        <v>149590.6353</v>
      </c>
      <c r="AE22" s="262">
        <f>'Main CEA'!AE22</f>
        <v>149590.6353</v>
      </c>
      <c r="AF22" s="262">
        <f>'Main CEA'!AF22</f>
        <v>149590.6353</v>
      </c>
      <c r="AG22" s="262">
        <f>'Main CEA'!AG22</f>
        <v>0</v>
      </c>
      <c r="AH22" s="262">
        <f>'Main CEA'!AH22</f>
        <v>0</v>
      </c>
      <c r="AI22" s="262">
        <f>'Main CEA'!AI22</f>
        <v>0</v>
      </c>
      <c r="AJ22" s="262">
        <f>'Main CEA'!AJ22</f>
        <v>0</v>
      </c>
      <c r="AK22" s="263"/>
    </row>
    <row r="23">
      <c r="A23" s="101"/>
      <c r="B23" s="102"/>
      <c r="C23" s="130"/>
      <c r="D23" s="102"/>
      <c r="E23" s="260" t="s">
        <v>181</v>
      </c>
      <c r="F23" s="145" t="str">
        <f>'Main CEA'!F23</f>
        <v>$</v>
      </c>
      <c r="G23" s="261" t="s">
        <v>55</v>
      </c>
      <c r="H23" s="219" t="str">
        <f>'Main CEA'!H23</f>
        <v>-</v>
      </c>
      <c r="I23" s="262">
        <f>'Main CEA'!I23</f>
        <v>131161.7909</v>
      </c>
      <c r="J23" s="262">
        <f>'Main CEA'!J23</f>
        <v>0</v>
      </c>
      <c r="K23" s="262">
        <f>'Main CEA'!K23</f>
        <v>283953.2746</v>
      </c>
      <c r="L23" s="262">
        <f>'Main CEA'!L23</f>
        <v>283953.2746</v>
      </c>
      <c r="M23" s="262">
        <f>'Main CEA'!M23</f>
        <v>178323.0351</v>
      </c>
      <c r="N23" s="262">
        <f>'Main CEA'!N23</f>
        <v>283953.2746</v>
      </c>
      <c r="O23" s="262">
        <f>'Main CEA'!O23</f>
        <v>0</v>
      </c>
      <c r="P23" s="262">
        <f>'Main CEA'!P23</f>
        <v>423039.2768</v>
      </c>
      <c r="Q23" s="262">
        <f>'Main CEA'!Q23</f>
        <v>717281.9497</v>
      </c>
      <c r="R23" s="262">
        <f>'Main CEA'!R23</f>
        <v>283953.2746</v>
      </c>
      <c r="S23" s="262">
        <f>'Main CEA'!S23</f>
        <v>283953.2746</v>
      </c>
      <c r="T23" s="262">
        <f>'Main CEA'!T23</f>
        <v>283953.2746</v>
      </c>
      <c r="U23" s="262">
        <f>'Main CEA'!U23</f>
        <v>283953.2746</v>
      </c>
      <c r="V23" s="262">
        <f>'Main CEA'!V23</f>
        <v>283953.2746</v>
      </c>
      <c r="W23" s="262">
        <f>'Main CEA'!W23</f>
        <v>283953.2746</v>
      </c>
      <c r="X23" s="262">
        <f>'Main CEA'!X23</f>
        <v>283953.2746</v>
      </c>
      <c r="Y23" s="262">
        <f>'Main CEA'!Y23</f>
        <v>283953.2746</v>
      </c>
      <c r="Z23" s="262">
        <f>'Main CEA'!Z23</f>
        <v>283953.2746</v>
      </c>
      <c r="AA23" s="262">
        <f>'Main CEA'!AA23</f>
        <v>283953.2746</v>
      </c>
      <c r="AB23" s="262">
        <f>'Main CEA'!AB23</f>
        <v>283953.2746</v>
      </c>
      <c r="AC23" s="262">
        <f>'Main CEA'!AC23</f>
        <v>283953.2746</v>
      </c>
      <c r="AD23" s="262">
        <f>'Main CEA'!AD23</f>
        <v>283953.2746</v>
      </c>
      <c r="AE23" s="262">
        <f>'Main CEA'!AE23</f>
        <v>283953.2746</v>
      </c>
      <c r="AF23" s="262">
        <f>'Main CEA'!AF23</f>
        <v>283953.2746</v>
      </c>
      <c r="AG23" s="262">
        <f>'Main CEA'!AG23</f>
        <v>0</v>
      </c>
      <c r="AH23" s="262">
        <f>'Main CEA'!AH23</f>
        <v>0</v>
      </c>
      <c r="AI23" s="262">
        <f>'Main CEA'!AI23</f>
        <v>0</v>
      </c>
      <c r="AJ23" s="262">
        <f>'Main CEA'!AJ23</f>
        <v>0</v>
      </c>
      <c r="AK23" s="263"/>
    </row>
    <row r="24">
      <c r="A24" s="101"/>
      <c r="B24" s="102"/>
      <c r="C24" s="130"/>
      <c r="D24" s="102"/>
      <c r="E24" s="388" t="s">
        <v>184</v>
      </c>
      <c r="F24" s="390" t="str">
        <f>'Main CEA'!F24</f>
        <v>$</v>
      </c>
      <c r="G24" s="392" t="s">
        <v>55</v>
      </c>
      <c r="H24" s="266" t="str">
        <f>'Main CEA'!H24</f>
        <v>-</v>
      </c>
      <c r="I24" s="262">
        <f>'Main CEA'!I24</f>
        <v>343767.9063</v>
      </c>
      <c r="J24" s="262">
        <f>'Main CEA'!J24</f>
        <v>0</v>
      </c>
      <c r="K24" s="262">
        <f>'Main CEA'!K24</f>
        <v>68632.95896</v>
      </c>
      <c r="L24" s="262">
        <f>'Main CEA'!L24</f>
        <v>68632.95896</v>
      </c>
      <c r="M24" s="262">
        <f>'Main CEA'!M24</f>
        <v>0</v>
      </c>
      <c r="N24" s="262">
        <f>'Main CEA'!N24</f>
        <v>68632.95896</v>
      </c>
      <c r="O24" s="262">
        <f>'Main CEA'!O24</f>
        <v>53454.40548</v>
      </c>
      <c r="P24" s="262">
        <f>'Main CEA'!P24</f>
        <v>0</v>
      </c>
      <c r="Q24" s="262">
        <f>'Main CEA'!Q24</f>
        <v>0</v>
      </c>
      <c r="R24" s="262">
        <f>'Main CEA'!R24</f>
        <v>68632.95896</v>
      </c>
      <c r="S24" s="262">
        <f>'Main CEA'!S24</f>
        <v>68632.95896</v>
      </c>
      <c r="T24" s="262">
        <f>'Main CEA'!T24</f>
        <v>68632.95896</v>
      </c>
      <c r="U24" s="262">
        <f>'Main CEA'!U24</f>
        <v>68632.95896</v>
      </c>
      <c r="V24" s="262">
        <f>'Main CEA'!V24</f>
        <v>68632.95896</v>
      </c>
      <c r="W24" s="262">
        <f>'Main CEA'!W24</f>
        <v>68632.95896</v>
      </c>
      <c r="X24" s="262">
        <f>'Main CEA'!X24</f>
        <v>68632.95896</v>
      </c>
      <c r="Y24" s="262">
        <f>'Main CEA'!Y24</f>
        <v>68632.95896</v>
      </c>
      <c r="Z24" s="262">
        <f>'Main CEA'!Z24</f>
        <v>68632.95896</v>
      </c>
      <c r="AA24" s="262">
        <f>'Main CEA'!AA24</f>
        <v>68632.95896</v>
      </c>
      <c r="AB24" s="262">
        <f>'Main CEA'!AB24</f>
        <v>68632.95896</v>
      </c>
      <c r="AC24" s="262">
        <f>'Main CEA'!AC24</f>
        <v>68632.95896</v>
      </c>
      <c r="AD24" s="262">
        <f>'Main CEA'!AD24</f>
        <v>68632.95896</v>
      </c>
      <c r="AE24" s="262">
        <f>'Main CEA'!AE24</f>
        <v>68632.95896</v>
      </c>
      <c r="AF24" s="262">
        <f>'Main CEA'!AF24</f>
        <v>68632.95896</v>
      </c>
      <c r="AG24" s="262">
        <f>'Main CEA'!AG24</f>
        <v>0</v>
      </c>
      <c r="AH24" s="262">
        <f>'Main CEA'!AH24</f>
        <v>0</v>
      </c>
      <c r="AI24" s="262">
        <f>'Main CEA'!AI24</f>
        <v>0</v>
      </c>
      <c r="AJ24" s="262">
        <f>'Main CEA'!AJ24</f>
        <v>0</v>
      </c>
      <c r="AK24" s="263"/>
    </row>
    <row r="25">
      <c r="A25" s="101"/>
      <c r="B25" s="102"/>
      <c r="C25" s="130"/>
      <c r="D25" s="102"/>
      <c r="E25" s="175" t="s">
        <v>186</v>
      </c>
      <c r="F25" s="176" t="str">
        <f>'Main CEA'!F25</f>
        <v>$</v>
      </c>
      <c r="G25" s="268" t="s">
        <v>55</v>
      </c>
      <c r="H25" s="179" t="str">
        <f>'Main CEA'!H25</f>
        <v>-</v>
      </c>
      <c r="I25" s="269">
        <f>'Main CEA'!I25</f>
        <v>695952.6641</v>
      </c>
      <c r="J25" s="269">
        <f>'Main CEA'!J25</f>
        <v>468500.8893</v>
      </c>
      <c r="K25" s="269">
        <f>'Main CEA'!K25</f>
        <v>643790.0867</v>
      </c>
      <c r="L25" s="269">
        <f>'Main CEA'!L25</f>
        <v>643790.0867</v>
      </c>
      <c r="M25" s="269">
        <f>'Main CEA'!M25</f>
        <v>542724.6405</v>
      </c>
      <c r="N25" s="269">
        <f>'Main CEA'!N25</f>
        <v>643790.0867</v>
      </c>
      <c r="O25" s="269">
        <f>'Main CEA'!O25</f>
        <v>501412.3951</v>
      </c>
      <c r="P25" s="269">
        <f>'Main CEA'!P25</f>
        <v>693695.029</v>
      </c>
      <c r="Q25" s="269">
        <f>'Main CEA'!Q25</f>
        <v>829445.9964</v>
      </c>
      <c r="R25" s="269">
        <f>'Main CEA'!R25</f>
        <v>643790.0867</v>
      </c>
      <c r="S25" s="269">
        <f>'Main CEA'!S25</f>
        <v>643790.0867</v>
      </c>
      <c r="T25" s="269">
        <f>'Main CEA'!T25</f>
        <v>643790.0867</v>
      </c>
      <c r="U25" s="269">
        <f>'Main CEA'!U25</f>
        <v>643790.0867</v>
      </c>
      <c r="V25" s="269">
        <f>'Main CEA'!V25</f>
        <v>643790.0867</v>
      </c>
      <c r="W25" s="269">
        <f>'Main CEA'!W25</f>
        <v>643790.0867</v>
      </c>
      <c r="X25" s="269">
        <f>'Main CEA'!X25</f>
        <v>643790.0867</v>
      </c>
      <c r="Y25" s="269">
        <f>'Main CEA'!Y25</f>
        <v>643790.0867</v>
      </c>
      <c r="Z25" s="269">
        <f>'Main CEA'!Z25</f>
        <v>643790.0867</v>
      </c>
      <c r="AA25" s="269">
        <f>'Main CEA'!AA25</f>
        <v>643790.0867</v>
      </c>
      <c r="AB25" s="269">
        <f>'Main CEA'!AB25</f>
        <v>643790.0867</v>
      </c>
      <c r="AC25" s="269">
        <f>'Main CEA'!AC25</f>
        <v>643790.0867</v>
      </c>
      <c r="AD25" s="269">
        <f>'Main CEA'!AD25</f>
        <v>643790.0867</v>
      </c>
      <c r="AE25" s="269">
        <f>'Main CEA'!AE25</f>
        <v>643790.0867</v>
      </c>
      <c r="AF25" s="269">
        <f>'Main CEA'!AF25</f>
        <v>643790.0867</v>
      </c>
      <c r="AG25" s="269">
        <f>'Main CEA'!AG25</f>
        <v>428571.4286</v>
      </c>
      <c r="AH25" s="269">
        <f>'Main CEA'!AH25</f>
        <v>428571.4286</v>
      </c>
      <c r="AI25" s="269">
        <f>'Main CEA'!AI25</f>
        <v>428571.4286</v>
      </c>
      <c r="AJ25" s="269">
        <f>'Main CEA'!AJ25</f>
        <v>428571.4286</v>
      </c>
      <c r="AK25" s="270"/>
    </row>
    <row r="26">
      <c r="A26" s="101"/>
      <c r="B26" s="102"/>
      <c r="C26" s="130"/>
      <c r="D26" s="130"/>
      <c r="E26" s="299"/>
      <c r="F26" s="132"/>
      <c r="G26" s="271"/>
      <c r="H26" s="135"/>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1"/>
    </row>
    <row r="27">
      <c r="A27" s="101"/>
      <c r="B27" s="102"/>
      <c r="C27" s="130" t="s">
        <v>188</v>
      </c>
      <c r="F27" s="132"/>
      <c r="G27" s="271"/>
      <c r="H27" s="243"/>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5"/>
    </row>
    <row r="28">
      <c r="A28" s="101"/>
      <c r="B28" s="102"/>
      <c r="C28" s="102"/>
      <c r="D28" s="102"/>
      <c r="E28" s="143" t="str">
        <f>'Main CEA'!E28</f>
        <v>Total spending causally upstream of donations to grantee</v>
      </c>
      <c r="F28" s="114" t="str">
        <f>'Main CEA'!F28</f>
        <v>$</v>
      </c>
      <c r="G28" s="272" t="s">
        <v>55</v>
      </c>
      <c r="H28" s="247" t="str">
        <f>'Main CEA'!H28</f>
        <v>-</v>
      </c>
      <c r="I28" s="257">
        <f>'Main CEA'!I28</f>
        <v>1474929.697</v>
      </c>
      <c r="J28" s="257">
        <f>'Main CEA'!J28</f>
        <v>1000000</v>
      </c>
      <c r="K28" s="257">
        <f>'Main CEA'!K28</f>
        <v>1352586.234</v>
      </c>
      <c r="L28" s="257">
        <f>'Main CEA'!L28</f>
        <v>1352586.234</v>
      </c>
      <c r="M28" s="257">
        <f>'Main CEA'!M28</f>
        <v>1178323.035</v>
      </c>
      <c r="N28" s="257">
        <f>'Main CEA'!N28</f>
        <v>1352586.234</v>
      </c>
      <c r="O28" s="257">
        <f>'Main CEA'!O28</f>
        <v>1053454.405</v>
      </c>
      <c r="P28" s="257">
        <f>'Main CEA'!P28</f>
        <v>1423039.277</v>
      </c>
      <c r="Q28" s="257">
        <f>'Main CEA'!Q28</f>
        <v>1717281.95</v>
      </c>
      <c r="R28" s="257">
        <f>'Main CEA'!R28</f>
        <v>1352586.234</v>
      </c>
      <c r="S28" s="257">
        <f>'Main CEA'!S28</f>
        <v>1352586.234</v>
      </c>
      <c r="T28" s="257">
        <f>'Main CEA'!T28</f>
        <v>1352586.234</v>
      </c>
      <c r="U28" s="257">
        <f>'Main CEA'!U28</f>
        <v>1352586.234</v>
      </c>
      <c r="V28" s="257">
        <f>'Main CEA'!V28</f>
        <v>1352586.234</v>
      </c>
      <c r="W28" s="257">
        <f>'Main CEA'!W28</f>
        <v>1352586.234</v>
      </c>
      <c r="X28" s="257">
        <f>'Main CEA'!X28</f>
        <v>1352586.234</v>
      </c>
      <c r="Y28" s="257">
        <f>'Main CEA'!Y28</f>
        <v>1352586.234</v>
      </c>
      <c r="Z28" s="257">
        <f>'Main CEA'!Z28</f>
        <v>1352586.234</v>
      </c>
      <c r="AA28" s="257">
        <f>'Main CEA'!AA28</f>
        <v>1352586.234</v>
      </c>
      <c r="AB28" s="257">
        <f>'Main CEA'!AB28</f>
        <v>1352586.234</v>
      </c>
      <c r="AC28" s="257">
        <f>'Main CEA'!AC28</f>
        <v>1352586.234</v>
      </c>
      <c r="AD28" s="257">
        <f>'Main CEA'!AD28</f>
        <v>1352586.234</v>
      </c>
      <c r="AE28" s="257">
        <f>'Main CEA'!AE28</f>
        <v>1352586.234</v>
      </c>
      <c r="AF28" s="257">
        <f>'Main CEA'!AF28</f>
        <v>1352586.234</v>
      </c>
      <c r="AG28" s="257">
        <f>'Main CEA'!AG28</f>
        <v>1000000</v>
      </c>
      <c r="AH28" s="257">
        <f>'Main CEA'!AH28</f>
        <v>1000000</v>
      </c>
      <c r="AI28" s="257">
        <f>'Main CEA'!AI28</f>
        <v>1000000</v>
      </c>
      <c r="AJ28" s="257">
        <f>'Main CEA'!AJ28</f>
        <v>1000000</v>
      </c>
      <c r="AK28" s="259"/>
    </row>
    <row r="29">
      <c r="A29" s="101"/>
      <c r="B29" s="102"/>
      <c r="C29" s="102"/>
      <c r="D29" s="102"/>
      <c r="E29" s="274" t="str">
        <f>'Main CEA'!E29</f>
        <v>Total spending causally downstream of donations to grantee</v>
      </c>
      <c r="F29" s="121" t="str">
        <f>'Main CEA'!F29</f>
        <v>$</v>
      </c>
      <c r="G29" s="275" t="s">
        <v>55</v>
      </c>
      <c r="H29" s="125" t="str">
        <f>'Main CEA'!H29</f>
        <v>-</v>
      </c>
      <c r="I29" s="127">
        <f>'Main CEA'!I29</f>
        <v>844912.5164</v>
      </c>
      <c r="J29" s="127">
        <f>'Main CEA'!J29</f>
        <v>561669.631</v>
      </c>
      <c r="K29" s="127">
        <f>'Main CEA'!K29</f>
        <v>793380.722</v>
      </c>
      <c r="L29" s="127">
        <f>'Main CEA'!L29</f>
        <v>793380.722</v>
      </c>
      <c r="M29" s="127">
        <f>'Main CEA'!M29</f>
        <v>630759.0999</v>
      </c>
      <c r="N29" s="127">
        <f>'Main CEA'!N29</f>
        <v>793380.722</v>
      </c>
      <c r="O29" s="127">
        <f>'Main CEA'!O29</f>
        <v>617920.245</v>
      </c>
      <c r="P29" s="127">
        <f>'Main CEA'!P29</f>
        <v>889277.4866</v>
      </c>
      <c r="Q29" s="127">
        <f>'Main CEA'!Q29</f>
        <v>1047537.762</v>
      </c>
      <c r="R29" s="127">
        <f>'Main CEA'!R29</f>
        <v>793380.722</v>
      </c>
      <c r="S29" s="127">
        <f>'Main CEA'!S29</f>
        <v>793380.722</v>
      </c>
      <c r="T29" s="127">
        <f>'Main CEA'!T29</f>
        <v>793380.722</v>
      </c>
      <c r="U29" s="127">
        <f>'Main CEA'!U29</f>
        <v>793380.722</v>
      </c>
      <c r="V29" s="127">
        <f>'Main CEA'!V29</f>
        <v>793380.722</v>
      </c>
      <c r="W29" s="127">
        <f>'Main CEA'!W29</f>
        <v>793380.722</v>
      </c>
      <c r="X29" s="127">
        <f>'Main CEA'!X29</f>
        <v>793380.722</v>
      </c>
      <c r="Y29" s="127">
        <f>'Main CEA'!Y29</f>
        <v>793380.722</v>
      </c>
      <c r="Z29" s="127">
        <f>'Main CEA'!Z29</f>
        <v>793380.722</v>
      </c>
      <c r="AA29" s="127">
        <f>'Main CEA'!AA29</f>
        <v>793380.722</v>
      </c>
      <c r="AB29" s="127">
        <f>'Main CEA'!AB29</f>
        <v>793380.722</v>
      </c>
      <c r="AC29" s="127">
        <f>'Main CEA'!AC29</f>
        <v>793380.722</v>
      </c>
      <c r="AD29" s="127">
        <f>'Main CEA'!AD29</f>
        <v>793380.722</v>
      </c>
      <c r="AE29" s="127">
        <f>'Main CEA'!AE29</f>
        <v>793380.722</v>
      </c>
      <c r="AF29" s="127">
        <f>'Main CEA'!AF29</f>
        <v>793380.722</v>
      </c>
      <c r="AG29" s="127">
        <f>'Main CEA'!AG29</f>
        <v>428571.4286</v>
      </c>
      <c r="AH29" s="127">
        <f>'Main CEA'!AH29</f>
        <v>428571.4286</v>
      </c>
      <c r="AI29" s="127">
        <f>'Main CEA'!AI29</f>
        <v>428571.4286</v>
      </c>
      <c r="AJ29" s="127">
        <f>'Main CEA'!AJ29</f>
        <v>428571.4286</v>
      </c>
      <c r="AK29" s="152"/>
    </row>
    <row r="30">
      <c r="A30" s="101"/>
      <c r="B30" s="102"/>
      <c r="C30" s="102"/>
      <c r="D30" s="102"/>
      <c r="E30" s="299"/>
      <c r="F30" s="132"/>
      <c r="G30" s="271"/>
      <c r="H30" s="243"/>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5"/>
    </row>
    <row r="31">
      <c r="A31" s="99" t="s">
        <v>237</v>
      </c>
      <c r="B31" s="12"/>
      <c r="C31" s="12"/>
      <c r="D31" s="12"/>
      <c r="E31" s="12"/>
      <c r="F31" s="12"/>
      <c r="G31" s="30"/>
      <c r="H31" s="318"/>
      <c r="I31" s="319"/>
      <c r="J31" s="319"/>
      <c r="K31" s="319"/>
      <c r="L31" s="319"/>
      <c r="M31" s="319"/>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20"/>
    </row>
    <row r="32">
      <c r="A32" s="101"/>
      <c r="B32" s="102"/>
      <c r="C32" s="374"/>
      <c r="D32" s="102"/>
      <c r="E32" s="241"/>
      <c r="F32" s="104"/>
      <c r="G32" s="111"/>
      <c r="H32" s="105"/>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7"/>
    </row>
    <row r="33">
      <c r="A33" s="101"/>
      <c r="B33" s="102"/>
      <c r="C33" s="130" t="s">
        <v>238</v>
      </c>
      <c r="F33" s="104"/>
      <c r="G33" s="115"/>
      <c r="H33" s="430"/>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7"/>
    </row>
    <row r="34">
      <c r="A34" s="101"/>
      <c r="B34" s="102"/>
      <c r="C34" s="102"/>
      <c r="D34" s="102"/>
      <c r="E34" s="143" t="s">
        <v>240</v>
      </c>
      <c r="F34" s="114" t="str">
        <f>Inputs!F193</f>
        <v>%</v>
      </c>
      <c r="G34" s="255" t="str">
        <f>Inputs!G193</f>
        <v>input</v>
      </c>
      <c r="H34" s="385" t="str">
        <f>Inputs!H193</f>
        <v>-</v>
      </c>
      <c r="I34" s="166">
        <f>Inputs!I193</f>
        <v>0.1</v>
      </c>
      <c r="J34" s="166">
        <f>Inputs!J193</f>
        <v>0.05</v>
      </c>
      <c r="K34" s="166">
        <f>Inputs!K193</f>
        <v>0.1</v>
      </c>
      <c r="L34" s="166">
        <f>Inputs!L193</f>
        <v>0.1</v>
      </c>
      <c r="M34" s="166">
        <f>Inputs!M193</f>
        <v>0.1</v>
      </c>
      <c r="N34" s="166">
        <f>Inputs!N193</f>
        <v>0.1</v>
      </c>
      <c r="O34" s="166">
        <f>Inputs!O193</f>
        <v>0.05</v>
      </c>
      <c r="P34" s="166">
        <f>Inputs!P193</f>
        <v>0.1</v>
      </c>
      <c r="Q34" s="166">
        <f>Inputs!Q193</f>
        <v>0.1</v>
      </c>
      <c r="R34" s="166">
        <f>Inputs!R193</f>
        <v>0.1</v>
      </c>
      <c r="S34" s="166">
        <f>Inputs!S193</f>
        <v>0.1</v>
      </c>
      <c r="T34" s="166">
        <f>Inputs!T193</f>
        <v>0.1</v>
      </c>
      <c r="U34" s="166">
        <f>Inputs!U193</f>
        <v>0.1</v>
      </c>
      <c r="V34" s="166">
        <f>Inputs!V193</f>
        <v>0.1</v>
      </c>
      <c r="W34" s="166">
        <f>Inputs!W193</f>
        <v>0.1</v>
      </c>
      <c r="X34" s="166">
        <f>Inputs!X193</f>
        <v>0.1</v>
      </c>
      <c r="Y34" s="166">
        <f>Inputs!Y193</f>
        <v>0.1</v>
      </c>
      <c r="Z34" s="166">
        <f>Inputs!Z193</f>
        <v>0.1</v>
      </c>
      <c r="AA34" s="166">
        <f>Inputs!AA193</f>
        <v>0.1</v>
      </c>
      <c r="AB34" s="166">
        <f>Inputs!AB193</f>
        <v>0.1</v>
      </c>
      <c r="AC34" s="166">
        <f>Inputs!AC193</f>
        <v>0.1</v>
      </c>
      <c r="AD34" s="166">
        <f>Inputs!AD193</f>
        <v>0.1</v>
      </c>
      <c r="AE34" s="166">
        <f>Inputs!AE193</f>
        <v>0.1</v>
      </c>
      <c r="AF34" s="166">
        <f>Inputs!AF193</f>
        <v>0.1</v>
      </c>
      <c r="AG34" s="166">
        <f>Inputs!AG193</f>
        <v>0.1</v>
      </c>
      <c r="AH34" s="166">
        <f>Inputs!AH193</f>
        <v>0.1</v>
      </c>
      <c r="AI34" s="166">
        <f>Inputs!AI193</f>
        <v>0.1</v>
      </c>
      <c r="AJ34" s="166">
        <f>Inputs!AJ193</f>
        <v>0.1</v>
      </c>
      <c r="AK34" s="180"/>
    </row>
    <row r="35">
      <c r="A35" s="101"/>
      <c r="B35" s="102"/>
      <c r="C35" s="102"/>
      <c r="D35" s="102"/>
      <c r="E35" s="143" t="s">
        <v>243</v>
      </c>
      <c r="F35" s="114" t="str">
        <f>Inputs!F194</f>
        <v>%</v>
      </c>
      <c r="G35" s="255" t="str">
        <f>Inputs!G194</f>
        <v>input</v>
      </c>
      <c r="H35" s="385" t="str">
        <f>Inputs!H194</f>
        <v>-</v>
      </c>
      <c r="I35" s="166">
        <f>Inputs!I194</f>
        <v>0.2</v>
      </c>
      <c r="J35" s="166">
        <f>Inputs!J194</f>
        <v>0.33</v>
      </c>
      <c r="K35" s="166">
        <f>Inputs!K194</f>
        <v>0.35</v>
      </c>
      <c r="L35" s="166">
        <f>Inputs!L194</f>
        <v>0.1</v>
      </c>
      <c r="M35" s="166">
        <f>Inputs!M194</f>
        <v>0.35</v>
      </c>
      <c r="N35" s="166">
        <f>Inputs!N194</f>
        <v>0.25</v>
      </c>
      <c r="O35" s="166">
        <f>Inputs!O194</f>
        <v>0.2</v>
      </c>
      <c r="P35" s="166">
        <f>Inputs!P194</f>
        <v>0.25</v>
      </c>
      <c r="Q35" s="166">
        <f>Inputs!Q194</f>
        <v>0.2</v>
      </c>
      <c r="R35" s="166">
        <f>Inputs!R194</f>
        <v>0.15</v>
      </c>
      <c r="S35" s="166">
        <f>Inputs!S194</f>
        <v>0.15</v>
      </c>
      <c r="T35" s="166">
        <f>Inputs!T194</f>
        <v>0.15</v>
      </c>
      <c r="U35" s="166">
        <f>Inputs!U194</f>
        <v>0.15</v>
      </c>
      <c r="V35" s="166">
        <f>Inputs!V194</f>
        <v>0.15</v>
      </c>
      <c r="W35" s="166">
        <f>Inputs!W194</f>
        <v>0.15</v>
      </c>
      <c r="X35" s="166">
        <f>Inputs!X194</f>
        <v>0.15</v>
      </c>
      <c r="Y35" s="166">
        <f>Inputs!Y194</f>
        <v>0.15</v>
      </c>
      <c r="Z35" s="166">
        <f>Inputs!Z194</f>
        <v>0.15</v>
      </c>
      <c r="AA35" s="166">
        <f>Inputs!AA194</f>
        <v>0.15</v>
      </c>
      <c r="AB35" s="166">
        <f>Inputs!AB194</f>
        <v>0.15</v>
      </c>
      <c r="AC35" s="166">
        <f>Inputs!AC194</f>
        <v>0.15</v>
      </c>
      <c r="AD35" s="166">
        <f>Inputs!AD194</f>
        <v>0.15</v>
      </c>
      <c r="AE35" s="166">
        <f>Inputs!AE194</f>
        <v>0.15</v>
      </c>
      <c r="AF35" s="166">
        <f>Inputs!AF194</f>
        <v>0.15</v>
      </c>
      <c r="AG35" s="166">
        <f>Inputs!AG194</f>
        <v>0.3</v>
      </c>
      <c r="AH35" s="166">
        <f>Inputs!AH194</f>
        <v>0.4</v>
      </c>
      <c r="AI35" s="166">
        <f>Inputs!AI194</f>
        <v>0.3</v>
      </c>
      <c r="AJ35" s="166">
        <f>Inputs!AJ194</f>
        <v>0.3</v>
      </c>
      <c r="AK35" s="180"/>
    </row>
    <row r="36">
      <c r="A36" s="101"/>
      <c r="B36" s="102"/>
      <c r="C36" s="102"/>
      <c r="D36" s="102"/>
      <c r="E36" s="260" t="s">
        <v>247</v>
      </c>
      <c r="F36" s="145" t="str">
        <f>Inputs!F195</f>
        <v>%</v>
      </c>
      <c r="G36" s="435" t="str">
        <f>Inputs!G195</f>
        <v>input</v>
      </c>
      <c r="H36" s="439" t="str">
        <f>Inputs!H195</f>
        <v>-</v>
      </c>
      <c r="I36" s="187">
        <f>Inputs!I195</f>
        <v>0.7</v>
      </c>
      <c r="J36" s="187">
        <f>Inputs!J195</f>
        <v>0.62</v>
      </c>
      <c r="K36" s="187">
        <f>Inputs!K195</f>
        <v>0.55</v>
      </c>
      <c r="L36" s="187">
        <f>Inputs!L195</f>
        <v>0.8</v>
      </c>
      <c r="M36" s="187">
        <f>Inputs!M195</f>
        <v>0.55</v>
      </c>
      <c r="N36" s="187">
        <f>Inputs!N195</f>
        <v>0.65</v>
      </c>
      <c r="O36" s="187">
        <f>Inputs!O195</f>
        <v>0.75</v>
      </c>
      <c r="P36" s="187">
        <f>Inputs!P195</f>
        <v>0.65</v>
      </c>
      <c r="Q36" s="187">
        <f>Inputs!Q195</f>
        <v>0.7</v>
      </c>
      <c r="R36" s="187">
        <f>Inputs!R195</f>
        <v>0.75</v>
      </c>
      <c r="S36" s="187">
        <f>Inputs!S195</f>
        <v>0.75</v>
      </c>
      <c r="T36" s="187">
        <f>Inputs!T195</f>
        <v>0.75</v>
      </c>
      <c r="U36" s="187">
        <f>Inputs!U195</f>
        <v>0.75</v>
      </c>
      <c r="V36" s="187">
        <f>Inputs!V195</f>
        <v>0.75</v>
      </c>
      <c r="W36" s="187">
        <f>Inputs!W195</f>
        <v>0.75</v>
      </c>
      <c r="X36" s="187">
        <f>Inputs!X195</f>
        <v>0.75</v>
      </c>
      <c r="Y36" s="187">
        <f>Inputs!Y195</f>
        <v>0.75</v>
      </c>
      <c r="Z36" s="187">
        <f>Inputs!Z195</f>
        <v>0.75</v>
      </c>
      <c r="AA36" s="187">
        <f>Inputs!AA195</f>
        <v>0.75</v>
      </c>
      <c r="AB36" s="187">
        <f>Inputs!AB195</f>
        <v>0.75</v>
      </c>
      <c r="AC36" s="187">
        <f>Inputs!AC195</f>
        <v>0.75</v>
      </c>
      <c r="AD36" s="187">
        <f>Inputs!AD195</f>
        <v>0.75</v>
      </c>
      <c r="AE36" s="187">
        <f>Inputs!AE195</f>
        <v>0.75</v>
      </c>
      <c r="AF36" s="187">
        <f>Inputs!AF195</f>
        <v>0.75</v>
      </c>
      <c r="AG36" s="187">
        <f>Inputs!AG195</f>
        <v>0.6</v>
      </c>
      <c r="AH36" s="187">
        <f>Inputs!AH195</f>
        <v>0.5</v>
      </c>
      <c r="AI36" s="187">
        <f>Inputs!AI195</f>
        <v>0.6</v>
      </c>
      <c r="AJ36" s="187">
        <f>Inputs!AJ195</f>
        <v>0.6</v>
      </c>
      <c r="AK36" s="204"/>
    </row>
    <row r="37">
      <c r="A37" s="101"/>
      <c r="B37" s="102"/>
      <c r="C37" s="377"/>
      <c r="D37" s="102"/>
      <c r="E37" s="175" t="s">
        <v>253</v>
      </c>
      <c r="F37" s="176" t="s">
        <v>112</v>
      </c>
      <c r="G37" s="361" t="s">
        <v>164</v>
      </c>
      <c r="H37" s="235" t="s">
        <v>165</v>
      </c>
      <c r="I37" s="233">
        <f t="shared" ref="I37:AJ37" si="1">1-SUM(I34:I36)</f>
        <v>0</v>
      </c>
      <c r="J37" s="233">
        <f t="shared" si="1"/>
        <v>0</v>
      </c>
      <c r="K37" s="233">
        <f t="shared" si="1"/>
        <v>0</v>
      </c>
      <c r="L37" s="233">
        <f t="shared" si="1"/>
        <v>0</v>
      </c>
      <c r="M37" s="233">
        <f t="shared" si="1"/>
        <v>0</v>
      </c>
      <c r="N37" s="233">
        <f t="shared" si="1"/>
        <v>0</v>
      </c>
      <c r="O37" s="233">
        <f t="shared" si="1"/>
        <v>0</v>
      </c>
      <c r="P37" s="233">
        <f t="shared" si="1"/>
        <v>0</v>
      </c>
      <c r="Q37" s="233">
        <f t="shared" si="1"/>
        <v>0</v>
      </c>
      <c r="R37" s="233">
        <f t="shared" si="1"/>
        <v>0</v>
      </c>
      <c r="S37" s="233">
        <f t="shared" si="1"/>
        <v>0</v>
      </c>
      <c r="T37" s="233">
        <f t="shared" si="1"/>
        <v>0</v>
      </c>
      <c r="U37" s="233">
        <f t="shared" si="1"/>
        <v>0</v>
      </c>
      <c r="V37" s="233">
        <f t="shared" si="1"/>
        <v>0</v>
      </c>
      <c r="W37" s="233">
        <f t="shared" si="1"/>
        <v>0</v>
      </c>
      <c r="X37" s="233">
        <f t="shared" si="1"/>
        <v>0</v>
      </c>
      <c r="Y37" s="233">
        <f t="shared" si="1"/>
        <v>0</v>
      </c>
      <c r="Z37" s="233">
        <f t="shared" si="1"/>
        <v>0</v>
      </c>
      <c r="AA37" s="233">
        <f t="shared" si="1"/>
        <v>0</v>
      </c>
      <c r="AB37" s="233">
        <f t="shared" si="1"/>
        <v>0</v>
      </c>
      <c r="AC37" s="233">
        <f t="shared" si="1"/>
        <v>0</v>
      </c>
      <c r="AD37" s="233">
        <f t="shared" si="1"/>
        <v>0</v>
      </c>
      <c r="AE37" s="233">
        <f t="shared" si="1"/>
        <v>0</v>
      </c>
      <c r="AF37" s="233">
        <f t="shared" si="1"/>
        <v>0</v>
      </c>
      <c r="AG37" s="233">
        <f t="shared" si="1"/>
        <v>0</v>
      </c>
      <c r="AH37" s="233">
        <f t="shared" si="1"/>
        <v>0</v>
      </c>
      <c r="AI37" s="233">
        <f t="shared" si="1"/>
        <v>0</v>
      </c>
      <c r="AJ37" s="233">
        <f t="shared" si="1"/>
        <v>0</v>
      </c>
      <c r="AK37" s="239"/>
    </row>
    <row r="38">
      <c r="A38" s="165"/>
      <c r="B38" s="22"/>
      <c r="C38" s="22"/>
      <c r="D38" s="22"/>
      <c r="E38" s="453"/>
      <c r="F38" s="22"/>
      <c r="G38" s="78"/>
      <c r="H38" s="105"/>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7"/>
    </row>
    <row r="39">
      <c r="A39" s="165"/>
      <c r="B39" s="22"/>
      <c r="C39" s="123" t="s">
        <v>256</v>
      </c>
      <c r="F39" s="22"/>
      <c r="G39" s="78"/>
      <c r="H39" s="105"/>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7"/>
    </row>
    <row r="40">
      <c r="A40" s="165"/>
      <c r="B40" s="22"/>
      <c r="C40" s="22"/>
      <c r="D40" s="22"/>
      <c r="E40" s="258" t="s">
        <v>240</v>
      </c>
      <c r="F40" s="456" t="str">
        <f>Inputs!F198</f>
        <v>%</v>
      </c>
      <c r="G40" s="163" t="str">
        <f>Inputs!G198</f>
        <v>input</v>
      </c>
      <c r="H40" s="385">
        <f>Inputs!H198</f>
        <v>1</v>
      </c>
      <c r="I40" s="387" t="str">
        <f>Inputs!I198</f>
        <v>-</v>
      </c>
      <c r="J40" s="387" t="str">
        <f>Inputs!J198</f>
        <v>-</v>
      </c>
      <c r="K40" s="387" t="str">
        <f>Inputs!K198</f>
        <v>-</v>
      </c>
      <c r="L40" s="387" t="str">
        <f>Inputs!L198</f>
        <v>-</v>
      </c>
      <c r="M40" s="387" t="str">
        <f>Inputs!M198</f>
        <v>-</v>
      </c>
      <c r="N40" s="387" t="str">
        <f>Inputs!N198</f>
        <v>-</v>
      </c>
      <c r="O40" s="387" t="str">
        <f>Inputs!O198</f>
        <v>-</v>
      </c>
      <c r="P40" s="387" t="str">
        <f>Inputs!P198</f>
        <v>-</v>
      </c>
      <c r="Q40" s="387" t="str">
        <f>Inputs!Q198</f>
        <v>-</v>
      </c>
      <c r="R40" s="387" t="str">
        <f>Inputs!R198</f>
        <v>-</v>
      </c>
      <c r="S40" s="387" t="str">
        <f>Inputs!S198</f>
        <v>-</v>
      </c>
      <c r="T40" s="387" t="str">
        <f>Inputs!T198</f>
        <v>-</v>
      </c>
      <c r="U40" s="387" t="str">
        <f>Inputs!U198</f>
        <v>-</v>
      </c>
      <c r="V40" s="387" t="str">
        <f>Inputs!V198</f>
        <v>-</v>
      </c>
      <c r="W40" s="387" t="str">
        <f>Inputs!W198</f>
        <v>-</v>
      </c>
      <c r="X40" s="387" t="str">
        <f>Inputs!X198</f>
        <v>-</v>
      </c>
      <c r="Y40" s="387" t="str">
        <f>Inputs!Y198</f>
        <v>-</v>
      </c>
      <c r="Z40" s="387" t="str">
        <f>Inputs!Z198</f>
        <v>-</v>
      </c>
      <c r="AA40" s="387" t="str">
        <f>Inputs!AA198</f>
        <v>-</v>
      </c>
      <c r="AB40" s="387" t="str">
        <f>Inputs!AB198</f>
        <v>-</v>
      </c>
      <c r="AC40" s="387" t="str">
        <f>Inputs!AC198</f>
        <v>-</v>
      </c>
      <c r="AD40" s="387" t="str">
        <f>Inputs!AD198</f>
        <v>-</v>
      </c>
      <c r="AE40" s="387" t="str">
        <f>Inputs!AE198</f>
        <v>-</v>
      </c>
      <c r="AF40" s="387" t="str">
        <f>Inputs!AF198</f>
        <v>-</v>
      </c>
      <c r="AG40" s="387" t="str">
        <f>Inputs!AG198</f>
        <v>-</v>
      </c>
      <c r="AH40" s="387" t="str">
        <f>Inputs!AH198</f>
        <v>-</v>
      </c>
      <c r="AI40" s="387" t="str">
        <f>Inputs!AI198</f>
        <v>-</v>
      </c>
      <c r="AJ40" s="387" t="str">
        <f>Inputs!AJ198</f>
        <v>-</v>
      </c>
      <c r="AK40" s="400"/>
    </row>
    <row r="41">
      <c r="A41" s="165"/>
      <c r="B41" s="22"/>
      <c r="C41" s="22"/>
      <c r="D41" s="22"/>
      <c r="E41" s="461" t="s">
        <v>243</v>
      </c>
      <c r="F41" s="462" t="str">
        <f>Inputs!F199</f>
        <v>%</v>
      </c>
      <c r="G41" s="184" t="str">
        <f>Inputs!G199</f>
        <v>input</v>
      </c>
      <c r="H41" s="439">
        <f>Inputs!H199</f>
        <v>1</v>
      </c>
      <c r="I41" s="464" t="str">
        <f>Inputs!I199</f>
        <v>-</v>
      </c>
      <c r="J41" s="464" t="str">
        <f>Inputs!J199</f>
        <v>-</v>
      </c>
      <c r="K41" s="464" t="str">
        <f>Inputs!K199</f>
        <v>-</v>
      </c>
      <c r="L41" s="464" t="str">
        <f>Inputs!L199</f>
        <v>-</v>
      </c>
      <c r="M41" s="464" t="str">
        <f>Inputs!M199</f>
        <v>-</v>
      </c>
      <c r="N41" s="464" t="str">
        <f>Inputs!N199</f>
        <v>-</v>
      </c>
      <c r="O41" s="464" t="str">
        <f>Inputs!O199</f>
        <v>-</v>
      </c>
      <c r="P41" s="464" t="str">
        <f>Inputs!P199</f>
        <v>-</v>
      </c>
      <c r="Q41" s="464" t="str">
        <f>Inputs!Q199</f>
        <v>-</v>
      </c>
      <c r="R41" s="464" t="str">
        <f>Inputs!R199</f>
        <v>-</v>
      </c>
      <c r="S41" s="464" t="str">
        <f>Inputs!S199</f>
        <v>-</v>
      </c>
      <c r="T41" s="464" t="str">
        <f>Inputs!T199</f>
        <v>-</v>
      </c>
      <c r="U41" s="464" t="str">
        <f>Inputs!U199</f>
        <v>-</v>
      </c>
      <c r="V41" s="464" t="str">
        <f>Inputs!V199</f>
        <v>-</v>
      </c>
      <c r="W41" s="464" t="str">
        <f>Inputs!W199</f>
        <v>-</v>
      </c>
      <c r="X41" s="464" t="str">
        <f>Inputs!X199</f>
        <v>-</v>
      </c>
      <c r="Y41" s="464" t="str">
        <f>Inputs!Y199</f>
        <v>-</v>
      </c>
      <c r="Z41" s="464" t="str">
        <f>Inputs!Z199</f>
        <v>-</v>
      </c>
      <c r="AA41" s="464" t="str">
        <f>Inputs!AA199</f>
        <v>-</v>
      </c>
      <c r="AB41" s="464" t="str">
        <f>Inputs!AB199</f>
        <v>-</v>
      </c>
      <c r="AC41" s="464" t="str">
        <f>Inputs!AC199</f>
        <v>-</v>
      </c>
      <c r="AD41" s="464" t="str">
        <f>Inputs!AD199</f>
        <v>-</v>
      </c>
      <c r="AE41" s="464" t="str">
        <f>Inputs!AE199</f>
        <v>-</v>
      </c>
      <c r="AF41" s="464" t="str">
        <f>Inputs!AF199</f>
        <v>-</v>
      </c>
      <c r="AG41" s="464" t="str">
        <f>Inputs!AG199</f>
        <v>-</v>
      </c>
      <c r="AH41" s="464" t="str">
        <f>Inputs!AH199</f>
        <v>-</v>
      </c>
      <c r="AI41" s="464" t="str">
        <f>Inputs!AI199</f>
        <v>-</v>
      </c>
      <c r="AJ41" s="464" t="str">
        <f>Inputs!AJ199</f>
        <v>-</v>
      </c>
      <c r="AK41" s="474"/>
    </row>
    <row r="42">
      <c r="A42" s="165"/>
      <c r="B42" s="22"/>
      <c r="C42" s="22"/>
      <c r="D42" s="22"/>
      <c r="E42" s="265" t="s">
        <v>247</v>
      </c>
      <c r="F42" s="462" t="s">
        <v>112</v>
      </c>
      <c r="G42" s="475" t="s">
        <v>164</v>
      </c>
      <c r="H42" s="223" t="s">
        <v>165</v>
      </c>
      <c r="I42" s="187">
        <f t="shared" ref="I42:AJ42" si="2">SUM(I23:I24)/I28</f>
        <v>0.3220015829</v>
      </c>
      <c r="J42" s="187">
        <f t="shared" si="2"/>
        <v>0</v>
      </c>
      <c r="K42" s="187">
        <f t="shared" si="2"/>
        <v>0.2606756041</v>
      </c>
      <c r="L42" s="187">
        <f t="shared" si="2"/>
        <v>0.2606756041</v>
      </c>
      <c r="M42" s="187">
        <f t="shared" si="2"/>
        <v>0.1513362888</v>
      </c>
      <c r="N42" s="187">
        <f t="shared" si="2"/>
        <v>0.2606756041</v>
      </c>
      <c r="O42" s="187">
        <f t="shared" si="2"/>
        <v>0.05074202092</v>
      </c>
      <c r="P42" s="187">
        <f t="shared" si="2"/>
        <v>0.2972787074</v>
      </c>
      <c r="Q42" s="187">
        <f t="shared" si="2"/>
        <v>0.4176844401</v>
      </c>
      <c r="R42" s="187">
        <f t="shared" si="2"/>
        <v>0.2606756041</v>
      </c>
      <c r="S42" s="187">
        <f t="shared" si="2"/>
        <v>0.2606756041</v>
      </c>
      <c r="T42" s="187">
        <f t="shared" si="2"/>
        <v>0.2606756041</v>
      </c>
      <c r="U42" s="187">
        <f t="shared" si="2"/>
        <v>0.2606756041</v>
      </c>
      <c r="V42" s="187">
        <f t="shared" si="2"/>
        <v>0.2606756041</v>
      </c>
      <c r="W42" s="187">
        <f t="shared" si="2"/>
        <v>0.2606756041</v>
      </c>
      <c r="X42" s="187">
        <f t="shared" si="2"/>
        <v>0.2606756041</v>
      </c>
      <c r="Y42" s="187">
        <f t="shared" si="2"/>
        <v>0.2606756041</v>
      </c>
      <c r="Z42" s="187">
        <f t="shared" si="2"/>
        <v>0.2606756041</v>
      </c>
      <c r="AA42" s="187">
        <f t="shared" si="2"/>
        <v>0.2606756041</v>
      </c>
      <c r="AB42" s="187">
        <f t="shared" si="2"/>
        <v>0.2606756041</v>
      </c>
      <c r="AC42" s="187">
        <f t="shared" si="2"/>
        <v>0.2606756041</v>
      </c>
      <c r="AD42" s="187">
        <f t="shared" si="2"/>
        <v>0.2606756041</v>
      </c>
      <c r="AE42" s="187">
        <f t="shared" si="2"/>
        <v>0.2606756041</v>
      </c>
      <c r="AF42" s="187">
        <f t="shared" si="2"/>
        <v>0.2606756041</v>
      </c>
      <c r="AG42" s="187">
        <f t="shared" si="2"/>
        <v>0</v>
      </c>
      <c r="AH42" s="187">
        <f t="shared" si="2"/>
        <v>0</v>
      </c>
      <c r="AI42" s="187">
        <f t="shared" si="2"/>
        <v>0</v>
      </c>
      <c r="AJ42" s="187">
        <f t="shared" si="2"/>
        <v>0</v>
      </c>
      <c r="AK42" s="204"/>
    </row>
    <row r="43">
      <c r="A43" s="165"/>
      <c r="B43" s="22"/>
      <c r="C43" s="22"/>
      <c r="D43" s="22"/>
      <c r="E43" s="489" t="s">
        <v>253</v>
      </c>
      <c r="F43" s="491" t="str">
        <f>Inputs!F200</f>
        <v>%</v>
      </c>
      <c r="G43" s="231" t="str">
        <f>Inputs!G200</f>
        <v>input</v>
      </c>
      <c r="H43" s="494">
        <f>Inputs!H200</f>
        <v>0</v>
      </c>
      <c r="I43" s="495" t="str">
        <f>Inputs!I200</f>
        <v>-</v>
      </c>
      <c r="J43" s="495" t="str">
        <f>Inputs!J200</f>
        <v>-</v>
      </c>
      <c r="K43" s="495" t="str">
        <f>Inputs!K200</f>
        <v>-</v>
      </c>
      <c r="L43" s="495" t="str">
        <f>Inputs!L200</f>
        <v>-</v>
      </c>
      <c r="M43" s="495" t="str">
        <f>Inputs!M200</f>
        <v>-</v>
      </c>
      <c r="N43" s="495" t="str">
        <f>Inputs!N200</f>
        <v>-</v>
      </c>
      <c r="O43" s="495" t="str">
        <f>Inputs!O200</f>
        <v>-</v>
      </c>
      <c r="P43" s="495" t="str">
        <f>Inputs!P200</f>
        <v>-</v>
      </c>
      <c r="Q43" s="495" t="str">
        <f>Inputs!Q200</f>
        <v>-</v>
      </c>
      <c r="R43" s="495" t="str">
        <f>Inputs!R200</f>
        <v>-</v>
      </c>
      <c r="S43" s="495" t="str">
        <f>Inputs!S200</f>
        <v>-</v>
      </c>
      <c r="T43" s="495" t="str">
        <f>Inputs!T200</f>
        <v>-</v>
      </c>
      <c r="U43" s="495" t="str">
        <f>Inputs!U200</f>
        <v>-</v>
      </c>
      <c r="V43" s="495" t="str">
        <f>Inputs!V200</f>
        <v>-</v>
      </c>
      <c r="W43" s="495" t="str">
        <f>Inputs!W200</f>
        <v>-</v>
      </c>
      <c r="X43" s="495" t="str">
        <f>Inputs!X200</f>
        <v>-</v>
      </c>
      <c r="Y43" s="495" t="str">
        <f>Inputs!Y200</f>
        <v>-</v>
      </c>
      <c r="Z43" s="495" t="str">
        <f>Inputs!Z200</f>
        <v>-</v>
      </c>
      <c r="AA43" s="495" t="str">
        <f>Inputs!AA200</f>
        <v>-</v>
      </c>
      <c r="AB43" s="495" t="str">
        <f>Inputs!AB200</f>
        <v>-</v>
      </c>
      <c r="AC43" s="495" t="str">
        <f>Inputs!AC200</f>
        <v>-</v>
      </c>
      <c r="AD43" s="495" t="str">
        <f>Inputs!AD200</f>
        <v>-</v>
      </c>
      <c r="AE43" s="495" t="str">
        <f>Inputs!AE200</f>
        <v>-</v>
      </c>
      <c r="AF43" s="495" t="str">
        <f>Inputs!AF200</f>
        <v>-</v>
      </c>
      <c r="AG43" s="495" t="str">
        <f>Inputs!AG200</f>
        <v>-</v>
      </c>
      <c r="AH43" s="495" t="str">
        <f>Inputs!AH200</f>
        <v>-</v>
      </c>
      <c r="AI43" s="495" t="str">
        <f>Inputs!AI200</f>
        <v>-</v>
      </c>
      <c r="AJ43" s="495" t="str">
        <f>Inputs!AJ200</f>
        <v>-</v>
      </c>
      <c r="AK43" s="509"/>
    </row>
    <row r="44">
      <c r="A44" s="165"/>
      <c r="B44" s="22"/>
      <c r="C44" s="22"/>
      <c r="D44" s="22"/>
      <c r="E44" s="453"/>
      <c r="F44" s="340"/>
      <c r="G44" s="157"/>
      <c r="H44" s="105"/>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7"/>
    </row>
    <row r="45">
      <c r="A45" s="99" t="s">
        <v>270</v>
      </c>
      <c r="B45" s="12"/>
      <c r="C45" s="12"/>
      <c r="D45" s="12"/>
      <c r="E45" s="12"/>
      <c r="F45" s="12"/>
      <c r="G45" s="30"/>
      <c r="H45" s="97"/>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100"/>
    </row>
    <row r="46">
      <c r="A46" s="477"/>
      <c r="B46" s="102"/>
      <c r="C46" s="102"/>
      <c r="D46" s="102"/>
      <c r="E46" s="241"/>
      <c r="F46" s="104"/>
      <c r="G46" s="111"/>
      <c r="H46" s="512"/>
      <c r="I46" s="513"/>
      <c r="J46" s="513"/>
      <c r="K46" s="513"/>
      <c r="L46" s="513"/>
      <c r="M46" s="513"/>
      <c r="N46" s="513"/>
      <c r="O46" s="513"/>
      <c r="P46" s="513"/>
      <c r="Q46" s="513"/>
      <c r="R46" s="513"/>
      <c r="S46" s="513"/>
      <c r="T46" s="513"/>
      <c r="U46" s="513"/>
      <c r="V46" s="513"/>
      <c r="W46" s="513"/>
      <c r="X46" s="513"/>
      <c r="Y46" s="513"/>
      <c r="Z46" s="513"/>
      <c r="AA46" s="513"/>
      <c r="AB46" s="513"/>
      <c r="AC46" s="513"/>
      <c r="AD46" s="513"/>
      <c r="AE46" s="513"/>
      <c r="AF46" s="513"/>
      <c r="AG46" s="513"/>
      <c r="AH46" s="513"/>
      <c r="AI46" s="513"/>
      <c r="AJ46" s="513"/>
      <c r="AK46" s="517"/>
    </row>
    <row r="47">
      <c r="A47" s="477"/>
      <c r="B47" s="102"/>
      <c r="C47" s="130" t="s">
        <v>272</v>
      </c>
      <c r="F47" s="132"/>
      <c r="G47" s="111"/>
      <c r="H47" s="512"/>
      <c r="I47" s="513"/>
      <c r="J47" s="513"/>
      <c r="K47" s="513"/>
      <c r="L47" s="513"/>
      <c r="M47" s="513"/>
      <c r="N47" s="513"/>
      <c r="O47" s="513"/>
      <c r="P47" s="513"/>
      <c r="Q47" s="513"/>
      <c r="R47" s="513"/>
      <c r="S47" s="513"/>
      <c r="T47" s="513"/>
      <c r="U47" s="513"/>
      <c r="V47" s="513"/>
      <c r="W47" s="513"/>
      <c r="X47" s="513"/>
      <c r="Y47" s="513"/>
      <c r="Z47" s="513"/>
      <c r="AA47" s="513"/>
      <c r="AB47" s="513"/>
      <c r="AC47" s="513"/>
      <c r="AD47" s="513"/>
      <c r="AE47" s="513"/>
      <c r="AF47" s="513"/>
      <c r="AG47" s="513"/>
      <c r="AH47" s="513"/>
      <c r="AI47" s="513"/>
      <c r="AJ47" s="513"/>
      <c r="AK47" s="517"/>
    </row>
    <row r="48">
      <c r="A48" s="477"/>
      <c r="B48" s="102"/>
      <c r="C48" s="130"/>
      <c r="D48" s="102"/>
      <c r="E48" s="143" t="s">
        <v>274</v>
      </c>
      <c r="F48" s="114" t="str">
        <f>'Main CEA'!F93</f>
        <v>UoV</v>
      </c>
      <c r="G48" s="286" t="s">
        <v>55</v>
      </c>
      <c r="H48" s="519" t="str">
        <f>'Main CEA'!H93</f>
        <v>-</v>
      </c>
      <c r="I48" s="520">
        <f>'Main CEA'!I93</f>
        <v>0.08181052064</v>
      </c>
      <c r="J48" s="520">
        <f>'Main CEA'!J93</f>
        <v>0.06265940594</v>
      </c>
      <c r="K48" s="520">
        <f>'Main CEA'!K93</f>
        <v>0.03540336054</v>
      </c>
      <c r="L48" s="520">
        <f>'Main CEA'!L93</f>
        <v>0.05487526784</v>
      </c>
      <c r="M48" s="520">
        <f>'Main CEA'!M93</f>
        <v>0.04634401264</v>
      </c>
      <c r="N48" s="520">
        <f>'Main CEA'!N93</f>
        <v>0.01898934294</v>
      </c>
      <c r="O48" s="520">
        <f>'Main CEA'!O93</f>
        <v>0.05394945995</v>
      </c>
      <c r="P48" s="520">
        <f>'Main CEA'!P93</f>
        <v>0.1297358643</v>
      </c>
      <c r="Q48" s="520">
        <f>'Main CEA'!Q93</f>
        <v>0.218010191</v>
      </c>
      <c r="R48" s="520">
        <f>'Main CEA'!R93</f>
        <v>0.0743783535</v>
      </c>
      <c r="S48" s="520">
        <f>'Main CEA'!S93</f>
        <v>0.01603583487</v>
      </c>
      <c r="T48" s="520">
        <f>'Main CEA'!T93</f>
        <v>0.00883064801</v>
      </c>
      <c r="U48" s="520">
        <f>'Main CEA'!U93</f>
        <v>0.03352277924</v>
      </c>
      <c r="V48" s="520">
        <f>'Main CEA'!V93</f>
        <v>0.01871711639</v>
      </c>
      <c r="W48" s="520">
        <f>'Main CEA'!W93</f>
        <v>0.04716599379</v>
      </c>
      <c r="X48" s="520">
        <f>'Main CEA'!X93</f>
        <v>0.01398057706</v>
      </c>
      <c r="Y48" s="520">
        <f>'Main CEA'!Y93</f>
        <v>0.02110000548</v>
      </c>
      <c r="Z48" s="520">
        <f>'Main CEA'!Z93</f>
        <v>0.01173564176</v>
      </c>
      <c r="AA48" s="520">
        <f>'Main CEA'!AA93</f>
        <v>0.0152644559</v>
      </c>
      <c r="AB48" s="520">
        <f>'Main CEA'!AB93</f>
        <v>0.04189081004</v>
      </c>
      <c r="AC48" s="520">
        <f>'Main CEA'!AC93</f>
        <v>0.01745299195</v>
      </c>
      <c r="AD48" s="520">
        <f>'Main CEA'!AD93</f>
        <v>0.00890683431</v>
      </c>
      <c r="AE48" s="520">
        <f>'Main CEA'!AE93</f>
        <v>0.02722393682</v>
      </c>
      <c r="AF48" s="520">
        <f>'Main CEA'!AF93</f>
        <v>0.09995913225</v>
      </c>
      <c r="AG48" s="520">
        <f>'Main CEA'!AG93</f>
        <v>0.02086506621</v>
      </c>
      <c r="AH48" s="520">
        <f>'Main CEA'!AH93</f>
        <v>0.09904818395</v>
      </c>
      <c r="AI48" s="520">
        <f>'Main CEA'!AI93</f>
        <v>0.06150861584</v>
      </c>
      <c r="AJ48" s="520">
        <f>'Main CEA'!AJ93</f>
        <v>0.02649654505</v>
      </c>
      <c r="AK48" s="534"/>
    </row>
    <row r="49">
      <c r="A49" s="477"/>
      <c r="B49" s="102"/>
      <c r="C49" s="130"/>
      <c r="D49" s="102"/>
      <c r="E49" s="260" t="s">
        <v>282</v>
      </c>
      <c r="F49" s="145" t="str">
        <f>'Main CEA'!F121</f>
        <v>%</v>
      </c>
      <c r="G49" s="419" t="s">
        <v>55</v>
      </c>
      <c r="H49" s="539" t="str">
        <f>'Main CEA'!H121</f>
        <v>-</v>
      </c>
      <c r="I49" s="540">
        <f>'Main CEA'!I121</f>
        <v>-0.22</v>
      </c>
      <c r="J49" s="540">
        <f>'Main CEA'!J121</f>
        <v>-0.22</v>
      </c>
      <c r="K49" s="540">
        <f>'Main CEA'!K121</f>
        <v>-0.22</v>
      </c>
      <c r="L49" s="540">
        <f>'Main CEA'!L121</f>
        <v>-0.22</v>
      </c>
      <c r="M49" s="540">
        <f>'Main CEA'!M121</f>
        <v>-0.22</v>
      </c>
      <c r="N49" s="540">
        <f>'Main CEA'!N121</f>
        <v>-0.22</v>
      </c>
      <c r="O49" s="540">
        <f>'Main CEA'!O121</f>
        <v>-0.22</v>
      </c>
      <c r="P49" s="540">
        <f>'Main CEA'!P121</f>
        <v>-0.22</v>
      </c>
      <c r="Q49" s="540">
        <f>'Main CEA'!Q121</f>
        <v>-0.22</v>
      </c>
      <c r="R49" s="540">
        <f>'Main CEA'!R121</f>
        <v>-0.22</v>
      </c>
      <c r="S49" s="540">
        <f>'Main CEA'!S121</f>
        <v>-0.22</v>
      </c>
      <c r="T49" s="540">
        <f>'Main CEA'!T121</f>
        <v>-0.22</v>
      </c>
      <c r="U49" s="540">
        <f>'Main CEA'!U121</f>
        <v>-0.22</v>
      </c>
      <c r="V49" s="540">
        <f>'Main CEA'!V121</f>
        <v>-0.22</v>
      </c>
      <c r="W49" s="540">
        <f>'Main CEA'!W121</f>
        <v>-0.22</v>
      </c>
      <c r="X49" s="540">
        <f>'Main CEA'!X121</f>
        <v>-0.22</v>
      </c>
      <c r="Y49" s="540">
        <f>'Main CEA'!Y121</f>
        <v>-0.22</v>
      </c>
      <c r="Z49" s="540">
        <f>'Main CEA'!Z121</f>
        <v>-0.22</v>
      </c>
      <c r="AA49" s="540">
        <f>'Main CEA'!AA121</f>
        <v>-0.22</v>
      </c>
      <c r="AB49" s="540">
        <f>'Main CEA'!AB121</f>
        <v>-0.22</v>
      </c>
      <c r="AC49" s="540">
        <f>'Main CEA'!AC121</f>
        <v>-0.22</v>
      </c>
      <c r="AD49" s="540">
        <f>'Main CEA'!AD121</f>
        <v>-0.22</v>
      </c>
      <c r="AE49" s="540">
        <f>'Main CEA'!AE121</f>
        <v>-0.22</v>
      </c>
      <c r="AF49" s="540">
        <f>'Main CEA'!AF121</f>
        <v>-0.22</v>
      </c>
      <c r="AG49" s="540">
        <f>'Main CEA'!AG121</f>
        <v>-0.24</v>
      </c>
      <c r="AH49" s="540">
        <f>'Main CEA'!AH121</f>
        <v>-0.24</v>
      </c>
      <c r="AI49" s="540">
        <f>'Main CEA'!AI121</f>
        <v>-0.24</v>
      </c>
      <c r="AJ49" s="540">
        <f>'Main CEA'!AJ121</f>
        <v>-0.24</v>
      </c>
      <c r="AK49" s="556"/>
    </row>
    <row r="50">
      <c r="A50" s="477"/>
      <c r="B50" s="102"/>
      <c r="C50" s="130"/>
      <c r="D50" s="102"/>
      <c r="E50" s="260" t="s">
        <v>286</v>
      </c>
      <c r="F50" s="145" t="str">
        <f>'Main CEA'!F135</f>
        <v>%</v>
      </c>
      <c r="G50" s="419" t="s">
        <v>55</v>
      </c>
      <c r="H50" s="539" t="str">
        <f>'Main CEA'!H135</f>
        <v>-</v>
      </c>
      <c r="I50" s="540">
        <f>'Main CEA'!I135</f>
        <v>0.665</v>
      </c>
      <c r="J50" s="540">
        <f>'Main CEA'!J135</f>
        <v>0.665</v>
      </c>
      <c r="K50" s="540">
        <f>'Main CEA'!K135</f>
        <v>0.665</v>
      </c>
      <c r="L50" s="540">
        <f>'Main CEA'!L135</f>
        <v>0.665</v>
      </c>
      <c r="M50" s="540">
        <f>'Main CEA'!M135</f>
        <v>0.665</v>
      </c>
      <c r="N50" s="540">
        <f>'Main CEA'!N135</f>
        <v>0.665</v>
      </c>
      <c r="O50" s="540">
        <f>'Main CEA'!O135</f>
        <v>0.665</v>
      </c>
      <c r="P50" s="540">
        <f>'Main CEA'!P135</f>
        <v>0.665</v>
      </c>
      <c r="Q50" s="540">
        <f>'Main CEA'!Q135</f>
        <v>0.665</v>
      </c>
      <c r="R50" s="540">
        <f>'Main CEA'!R135</f>
        <v>0.665</v>
      </c>
      <c r="S50" s="540">
        <f>'Main CEA'!S135</f>
        <v>0.665</v>
      </c>
      <c r="T50" s="540">
        <f>'Main CEA'!T135</f>
        <v>0.665</v>
      </c>
      <c r="U50" s="540">
        <f>'Main CEA'!U135</f>
        <v>0.665</v>
      </c>
      <c r="V50" s="540">
        <f>'Main CEA'!V135</f>
        <v>0.665</v>
      </c>
      <c r="W50" s="540">
        <f>'Main CEA'!W135</f>
        <v>0.665</v>
      </c>
      <c r="X50" s="540">
        <f>'Main CEA'!X135</f>
        <v>0.665</v>
      </c>
      <c r="Y50" s="540">
        <f>'Main CEA'!Y135</f>
        <v>0.665</v>
      </c>
      <c r="Z50" s="540">
        <f>'Main CEA'!Z135</f>
        <v>0.665</v>
      </c>
      <c r="AA50" s="540">
        <f>'Main CEA'!AA135</f>
        <v>0.665</v>
      </c>
      <c r="AB50" s="540">
        <f>'Main CEA'!AB135</f>
        <v>0.665</v>
      </c>
      <c r="AC50" s="540">
        <f>'Main CEA'!AC135</f>
        <v>0.665</v>
      </c>
      <c r="AD50" s="540">
        <f>'Main CEA'!AD135</f>
        <v>0.665</v>
      </c>
      <c r="AE50" s="540">
        <f>'Main CEA'!AE135</f>
        <v>0.665</v>
      </c>
      <c r="AF50" s="540">
        <f>'Main CEA'!AF135</f>
        <v>0.665</v>
      </c>
      <c r="AG50" s="540">
        <f>'Main CEA'!AG135</f>
        <v>0.665</v>
      </c>
      <c r="AH50" s="540">
        <f>'Main CEA'!AH135</f>
        <v>0.665</v>
      </c>
      <c r="AI50" s="540">
        <f>'Main CEA'!AI135</f>
        <v>0.665</v>
      </c>
      <c r="AJ50" s="540">
        <f>'Main CEA'!AJ135</f>
        <v>0.665</v>
      </c>
      <c r="AK50" s="556"/>
    </row>
    <row r="51">
      <c r="A51" s="477"/>
      <c r="B51" s="102"/>
      <c r="C51" s="130"/>
      <c r="D51" s="102"/>
      <c r="E51" s="175" t="s">
        <v>295</v>
      </c>
      <c r="F51" s="176" t="s">
        <v>116</v>
      </c>
      <c r="G51" s="361" t="s">
        <v>164</v>
      </c>
      <c r="H51" s="579" t="s">
        <v>165</v>
      </c>
      <c r="I51" s="580">
        <f t="shared" ref="I51:AJ51" si="3">I48*(1+I49)*(1+I50)</f>
        <v>0.1062473232</v>
      </c>
      <c r="J51" s="580">
        <f t="shared" si="3"/>
        <v>0.08137577049</v>
      </c>
      <c r="K51" s="580">
        <f t="shared" si="3"/>
        <v>0.04597834434</v>
      </c>
      <c r="L51" s="580">
        <f t="shared" si="3"/>
        <v>0.07126651034</v>
      </c>
      <c r="M51" s="580">
        <f t="shared" si="3"/>
        <v>0.06018696921</v>
      </c>
      <c r="N51" s="580">
        <f t="shared" si="3"/>
        <v>0.02466145968</v>
      </c>
      <c r="O51" s="580">
        <f t="shared" si="3"/>
        <v>0.07006416363</v>
      </c>
      <c r="P51" s="580">
        <f t="shared" si="3"/>
        <v>0.1684879669</v>
      </c>
      <c r="Q51" s="580">
        <f t="shared" si="3"/>
        <v>0.283129835</v>
      </c>
      <c r="R51" s="580">
        <f t="shared" si="3"/>
        <v>0.09659516769</v>
      </c>
      <c r="S51" s="580">
        <f t="shared" si="3"/>
        <v>0.02082573875</v>
      </c>
      <c r="T51" s="580">
        <f t="shared" si="3"/>
        <v>0.01146836257</v>
      </c>
      <c r="U51" s="580">
        <f t="shared" si="3"/>
        <v>0.0435360334</v>
      </c>
      <c r="V51" s="580">
        <f t="shared" si="3"/>
        <v>0.02430791905</v>
      </c>
      <c r="W51" s="580">
        <f t="shared" si="3"/>
        <v>0.06125447613</v>
      </c>
      <c r="X51" s="580">
        <f t="shared" si="3"/>
        <v>0.01815657542</v>
      </c>
      <c r="Y51" s="580">
        <f t="shared" si="3"/>
        <v>0.02740257711</v>
      </c>
      <c r="Z51" s="580">
        <f t="shared" si="3"/>
        <v>0.01524107795</v>
      </c>
      <c r="AA51" s="580">
        <f t="shared" si="3"/>
        <v>0.01982394888</v>
      </c>
      <c r="AB51" s="580">
        <f t="shared" si="3"/>
        <v>0.054403595</v>
      </c>
      <c r="AC51" s="580">
        <f t="shared" si="3"/>
        <v>0.02266620064</v>
      </c>
      <c r="AD51" s="580">
        <f t="shared" si="3"/>
        <v>0.01156730572</v>
      </c>
      <c r="AE51" s="580">
        <f t="shared" si="3"/>
        <v>0.03535572675</v>
      </c>
      <c r="AF51" s="580">
        <f t="shared" si="3"/>
        <v>0.1298169251</v>
      </c>
      <c r="AG51" s="580">
        <f t="shared" si="3"/>
        <v>0.02640265478</v>
      </c>
      <c r="AH51" s="580">
        <f t="shared" si="3"/>
        <v>0.125335572</v>
      </c>
      <c r="AI51" s="580">
        <f t="shared" si="3"/>
        <v>0.07783300248</v>
      </c>
      <c r="AJ51" s="580">
        <f t="shared" si="3"/>
        <v>0.03352872811</v>
      </c>
      <c r="AK51" s="582"/>
    </row>
    <row r="52">
      <c r="A52" s="477"/>
      <c r="B52" s="102"/>
      <c r="C52" s="130"/>
      <c r="D52" s="102"/>
      <c r="E52" s="241"/>
      <c r="F52" s="132"/>
      <c r="G52" s="111"/>
      <c r="H52" s="512"/>
      <c r="I52" s="513"/>
      <c r="J52" s="513"/>
      <c r="K52" s="513"/>
      <c r="L52" s="513"/>
      <c r="M52" s="513"/>
      <c r="N52" s="513"/>
      <c r="O52" s="513"/>
      <c r="P52" s="513"/>
      <c r="Q52" s="513"/>
      <c r="R52" s="513"/>
      <c r="S52" s="513"/>
      <c r="T52" s="513"/>
      <c r="U52" s="513"/>
      <c r="V52" s="513"/>
      <c r="W52" s="513"/>
      <c r="X52" s="513"/>
      <c r="Y52" s="513"/>
      <c r="Z52" s="513"/>
      <c r="AA52" s="513"/>
      <c r="AB52" s="513"/>
      <c r="AC52" s="513"/>
      <c r="AD52" s="513"/>
      <c r="AE52" s="513"/>
      <c r="AF52" s="513"/>
      <c r="AG52" s="513"/>
      <c r="AH52" s="513"/>
      <c r="AI52" s="513"/>
      <c r="AJ52" s="513"/>
      <c r="AK52" s="517"/>
    </row>
    <row r="53">
      <c r="A53" s="477"/>
      <c r="B53" s="102"/>
      <c r="C53" s="326" t="s">
        <v>299</v>
      </c>
      <c r="F53" s="61"/>
      <c r="G53" s="202"/>
      <c r="H53" s="512"/>
      <c r="I53" s="513"/>
      <c r="J53" s="513"/>
      <c r="K53" s="513"/>
      <c r="L53" s="513"/>
      <c r="M53" s="513"/>
      <c r="N53" s="513"/>
      <c r="O53" s="513"/>
      <c r="P53" s="513"/>
      <c r="Q53" s="513"/>
      <c r="R53" s="513"/>
      <c r="S53" s="513"/>
      <c r="T53" s="513"/>
      <c r="U53" s="513"/>
      <c r="V53" s="513"/>
      <c r="W53" s="513"/>
      <c r="X53" s="513"/>
      <c r="Y53" s="513"/>
      <c r="Z53" s="513"/>
      <c r="AA53" s="513"/>
      <c r="AB53" s="513"/>
      <c r="AC53" s="513"/>
      <c r="AD53" s="513"/>
      <c r="AE53" s="513"/>
      <c r="AF53" s="513"/>
      <c r="AG53" s="513"/>
      <c r="AH53" s="513"/>
      <c r="AI53" s="513"/>
      <c r="AJ53" s="513"/>
      <c r="AK53" s="517"/>
    </row>
    <row r="54">
      <c r="A54" s="477"/>
      <c r="B54" s="102"/>
      <c r="C54" s="61"/>
      <c r="D54" s="198"/>
      <c r="E54" s="584" t="s">
        <v>300</v>
      </c>
      <c r="F54" s="585" t="str">
        <f>'Main CEA'!F103</f>
        <v>#</v>
      </c>
      <c r="G54" s="586" t="s">
        <v>55</v>
      </c>
      <c r="H54" s="587" t="str">
        <f>'Main CEA'!H103</f>
        <v>-</v>
      </c>
      <c r="I54" s="588">
        <f>'Main CEA'!I103</f>
        <v>553.3609059</v>
      </c>
      <c r="J54" s="588">
        <f>'Main CEA'!J103</f>
        <v>423.8240432</v>
      </c>
      <c r="K54" s="588">
        <f>'Main CEA'!K103</f>
        <v>239.4659698</v>
      </c>
      <c r="L54" s="588">
        <f>'Main CEA'!L103</f>
        <v>371.1726522</v>
      </c>
      <c r="M54" s="588">
        <f>'Main CEA'!M103</f>
        <v>313.4678109</v>
      </c>
      <c r="N54" s="588">
        <f>'Main CEA'!N103</f>
        <v>128.4426493</v>
      </c>
      <c r="O54" s="588">
        <f>'Main CEA'!O103</f>
        <v>364.9105494</v>
      </c>
      <c r="P54" s="588">
        <f>'Main CEA'!P103</f>
        <v>877.5247342</v>
      </c>
      <c r="Q54" s="588">
        <f>'Main CEA'!Q103</f>
        <v>1474.606393</v>
      </c>
      <c r="R54" s="588">
        <f>'Main CEA'!R103</f>
        <v>503.0902231</v>
      </c>
      <c r="S54" s="588">
        <f>'Main CEA'!S103</f>
        <v>108.4653177</v>
      </c>
      <c r="T54" s="588">
        <f>'Main CEA'!T103</f>
        <v>59.72991425</v>
      </c>
      <c r="U54" s="588">
        <f>'Main CEA'!U103</f>
        <v>226.7458432</v>
      </c>
      <c r="V54" s="588">
        <f>'Main CEA'!V103</f>
        <v>126.6013271</v>
      </c>
      <c r="W54" s="588">
        <f>'Main CEA'!W103</f>
        <v>319.0276366</v>
      </c>
      <c r="X54" s="588">
        <f>'Main CEA'!X103</f>
        <v>94.5636909</v>
      </c>
      <c r="Y54" s="588">
        <f>'Main CEA'!Y103</f>
        <v>142.71903</v>
      </c>
      <c r="Z54" s="588">
        <f>'Main CEA'!Z103</f>
        <v>79.37909823</v>
      </c>
      <c r="AA54" s="588">
        <f>'Main CEA'!AA103</f>
        <v>103.2477618</v>
      </c>
      <c r="AB54" s="588">
        <f>'Main CEA'!AB103</f>
        <v>283.3466456</v>
      </c>
      <c r="AC54" s="588">
        <f>'Main CEA'!AC103</f>
        <v>118.0508736</v>
      </c>
      <c r="AD54" s="588">
        <f>'Main CEA'!AD103</f>
        <v>60.24523331</v>
      </c>
      <c r="AE54" s="588">
        <f>'Main CEA'!AE103</f>
        <v>184.1408932</v>
      </c>
      <c r="AF54" s="588">
        <f>'Main CEA'!AF103</f>
        <v>676.1169046</v>
      </c>
      <c r="AG54" s="588">
        <f>'Main CEA'!AG103</f>
        <v>141.1299164</v>
      </c>
      <c r="AH54" s="588">
        <f>'Main CEA'!AH103</f>
        <v>669.9553111</v>
      </c>
      <c r="AI54" s="588">
        <f>'Main CEA'!AI103</f>
        <v>416.0401757</v>
      </c>
      <c r="AJ54" s="588">
        <f>'Main CEA'!AJ103</f>
        <v>179.2208638</v>
      </c>
      <c r="AK54" s="592"/>
    </row>
    <row r="55">
      <c r="A55" s="477"/>
      <c r="B55" s="102"/>
      <c r="C55" s="61"/>
      <c r="D55" s="198"/>
      <c r="E55" s="594" t="str">
        <f>'Main CEA'!D121</f>
        <v>Total supplemental grantee-level adjustment</v>
      </c>
      <c r="F55" s="595" t="str">
        <f>'Main CEA'!F121</f>
        <v>%</v>
      </c>
      <c r="G55" s="597" t="str">
        <f>'Main CEA'!G121</f>
        <v>calc</v>
      </c>
      <c r="H55" s="600" t="str">
        <f>'Main CEA'!H121</f>
        <v>-</v>
      </c>
      <c r="I55" s="540">
        <f>'Main CEA'!I121</f>
        <v>-0.22</v>
      </c>
      <c r="J55" s="540">
        <f>'Main CEA'!J121</f>
        <v>-0.22</v>
      </c>
      <c r="K55" s="540">
        <f>'Main CEA'!K121</f>
        <v>-0.22</v>
      </c>
      <c r="L55" s="540">
        <f>'Main CEA'!L121</f>
        <v>-0.22</v>
      </c>
      <c r="M55" s="540">
        <f>'Main CEA'!M121</f>
        <v>-0.22</v>
      </c>
      <c r="N55" s="540">
        <f>'Main CEA'!N121</f>
        <v>-0.22</v>
      </c>
      <c r="O55" s="540">
        <f>'Main CEA'!O121</f>
        <v>-0.22</v>
      </c>
      <c r="P55" s="540">
        <f>'Main CEA'!P121</f>
        <v>-0.22</v>
      </c>
      <c r="Q55" s="540">
        <f>'Main CEA'!Q121</f>
        <v>-0.22</v>
      </c>
      <c r="R55" s="540">
        <f>'Main CEA'!R121</f>
        <v>-0.22</v>
      </c>
      <c r="S55" s="540">
        <f>'Main CEA'!S121</f>
        <v>-0.22</v>
      </c>
      <c r="T55" s="540">
        <f>'Main CEA'!T121</f>
        <v>-0.22</v>
      </c>
      <c r="U55" s="540">
        <f>'Main CEA'!U121</f>
        <v>-0.22</v>
      </c>
      <c r="V55" s="540">
        <f>'Main CEA'!V121</f>
        <v>-0.22</v>
      </c>
      <c r="W55" s="540">
        <f>'Main CEA'!W121</f>
        <v>-0.22</v>
      </c>
      <c r="X55" s="540">
        <f>'Main CEA'!X121</f>
        <v>-0.22</v>
      </c>
      <c r="Y55" s="540">
        <f>'Main CEA'!Y121</f>
        <v>-0.22</v>
      </c>
      <c r="Z55" s="540">
        <f>'Main CEA'!Z121</f>
        <v>-0.22</v>
      </c>
      <c r="AA55" s="540">
        <f>'Main CEA'!AA121</f>
        <v>-0.22</v>
      </c>
      <c r="AB55" s="540">
        <f>'Main CEA'!AB121</f>
        <v>-0.22</v>
      </c>
      <c r="AC55" s="540">
        <f>'Main CEA'!AC121</f>
        <v>-0.22</v>
      </c>
      <c r="AD55" s="540">
        <f>'Main CEA'!AD121</f>
        <v>-0.22</v>
      </c>
      <c r="AE55" s="540">
        <f>'Main CEA'!AE121</f>
        <v>-0.22</v>
      </c>
      <c r="AF55" s="540">
        <f>'Main CEA'!AF121</f>
        <v>-0.22</v>
      </c>
      <c r="AG55" s="540">
        <f>'Main CEA'!AG121</f>
        <v>-0.24</v>
      </c>
      <c r="AH55" s="540">
        <f>'Main CEA'!AH121</f>
        <v>-0.24</v>
      </c>
      <c r="AI55" s="540">
        <f>'Main CEA'!AI121</f>
        <v>-0.24</v>
      </c>
      <c r="AJ55" s="540">
        <f>'Main CEA'!AJ121</f>
        <v>-0.24</v>
      </c>
      <c r="AK55" s="611"/>
    </row>
    <row r="56">
      <c r="A56" s="477"/>
      <c r="B56" s="102"/>
      <c r="C56" s="61"/>
      <c r="D56" s="198"/>
      <c r="E56" s="613" t="s">
        <v>319</v>
      </c>
      <c r="F56" s="595" t="str">
        <f>'Main CEA'!F160</f>
        <v>%</v>
      </c>
      <c r="G56" s="419" t="s">
        <v>55</v>
      </c>
      <c r="H56" s="600" t="str">
        <f>'Main CEA'!H160</f>
        <v>-</v>
      </c>
      <c r="I56" s="540">
        <f>'Main CEA'!I160</f>
        <v>0.015</v>
      </c>
      <c r="J56" s="540">
        <f>'Main CEA'!J160</f>
        <v>0.015</v>
      </c>
      <c r="K56" s="540">
        <f>'Main CEA'!K160</f>
        <v>0.015</v>
      </c>
      <c r="L56" s="540">
        <f>'Main CEA'!L160</f>
        <v>0.015</v>
      </c>
      <c r="M56" s="540">
        <f>'Main CEA'!M160</f>
        <v>0.015</v>
      </c>
      <c r="N56" s="540">
        <f>'Main CEA'!N160</f>
        <v>0.015</v>
      </c>
      <c r="O56" s="540">
        <f>'Main CEA'!O160</f>
        <v>0.015</v>
      </c>
      <c r="P56" s="540">
        <f>'Main CEA'!P160</f>
        <v>0.015</v>
      </c>
      <c r="Q56" s="540">
        <f>'Main CEA'!Q160</f>
        <v>0.015</v>
      </c>
      <c r="R56" s="540">
        <f>'Main CEA'!R160</f>
        <v>0.015</v>
      </c>
      <c r="S56" s="540">
        <f>'Main CEA'!S160</f>
        <v>0.015</v>
      </c>
      <c r="T56" s="540">
        <f>'Main CEA'!T160</f>
        <v>0.015</v>
      </c>
      <c r="U56" s="540">
        <f>'Main CEA'!U160</f>
        <v>0.015</v>
      </c>
      <c r="V56" s="540">
        <f>'Main CEA'!V160</f>
        <v>0.015</v>
      </c>
      <c r="W56" s="540">
        <f>'Main CEA'!W160</f>
        <v>0.015</v>
      </c>
      <c r="X56" s="540">
        <f>'Main CEA'!X160</f>
        <v>0.015</v>
      </c>
      <c r="Y56" s="540">
        <f>'Main CEA'!Y160</f>
        <v>0.015</v>
      </c>
      <c r="Z56" s="540">
        <f>'Main CEA'!Z160</f>
        <v>0.015</v>
      </c>
      <c r="AA56" s="540">
        <f>'Main CEA'!AA160</f>
        <v>0.015</v>
      </c>
      <c r="AB56" s="540">
        <f>'Main CEA'!AB160</f>
        <v>0.015</v>
      </c>
      <c r="AC56" s="540">
        <f>'Main CEA'!AC160</f>
        <v>0.015</v>
      </c>
      <c r="AD56" s="540">
        <f>'Main CEA'!AD160</f>
        <v>0.015</v>
      </c>
      <c r="AE56" s="540">
        <f>'Main CEA'!AE160</f>
        <v>0.015</v>
      </c>
      <c r="AF56" s="540">
        <f>'Main CEA'!AF160</f>
        <v>0.015</v>
      </c>
      <c r="AG56" s="540">
        <f>'Main CEA'!AG160</f>
        <v>0.015</v>
      </c>
      <c r="AH56" s="540">
        <f>'Main CEA'!AH160</f>
        <v>0.015</v>
      </c>
      <c r="AI56" s="540">
        <f>'Main CEA'!AI160</f>
        <v>0.015</v>
      </c>
      <c r="AJ56" s="540">
        <f>'Main CEA'!AJ160</f>
        <v>0.015</v>
      </c>
      <c r="AK56" s="611"/>
    </row>
    <row r="57">
      <c r="A57" s="477"/>
      <c r="B57" s="102"/>
      <c r="C57" s="61"/>
      <c r="D57" s="198"/>
      <c r="E57" s="625" t="s">
        <v>328</v>
      </c>
      <c r="F57" s="626" t="s">
        <v>101</v>
      </c>
      <c r="G57" s="627" t="s">
        <v>164</v>
      </c>
      <c r="H57" s="579" t="s">
        <v>165</v>
      </c>
      <c r="I57" s="628">
        <f t="shared" ref="I57:AJ57" si="4">I54*(1+I55)*(1+I56)</f>
        <v>438.0958292</v>
      </c>
      <c r="J57" s="628">
        <f t="shared" si="4"/>
        <v>335.541495</v>
      </c>
      <c r="K57" s="628">
        <f t="shared" si="4"/>
        <v>189.5852083</v>
      </c>
      <c r="L57" s="628">
        <f t="shared" si="4"/>
        <v>293.8573888</v>
      </c>
      <c r="M57" s="628">
        <f t="shared" si="4"/>
        <v>248.1724659</v>
      </c>
      <c r="N57" s="628">
        <f t="shared" si="4"/>
        <v>101.6880455</v>
      </c>
      <c r="O57" s="628">
        <f t="shared" si="4"/>
        <v>288.8996819</v>
      </c>
      <c r="P57" s="628">
        <f t="shared" si="4"/>
        <v>694.7363321</v>
      </c>
      <c r="Q57" s="628">
        <f t="shared" si="4"/>
        <v>1167.445882</v>
      </c>
      <c r="R57" s="628">
        <f t="shared" si="4"/>
        <v>398.2965296</v>
      </c>
      <c r="S57" s="628">
        <f t="shared" si="4"/>
        <v>85.87199203</v>
      </c>
      <c r="T57" s="628">
        <f t="shared" si="4"/>
        <v>47.28817311</v>
      </c>
      <c r="U57" s="628">
        <f t="shared" si="4"/>
        <v>179.5146841</v>
      </c>
      <c r="V57" s="628">
        <f t="shared" si="4"/>
        <v>100.2302706</v>
      </c>
      <c r="W57" s="628">
        <f t="shared" si="4"/>
        <v>252.5741799</v>
      </c>
      <c r="X57" s="628">
        <f t="shared" si="4"/>
        <v>74.86607408</v>
      </c>
      <c r="Y57" s="628">
        <f t="shared" si="4"/>
        <v>112.990656</v>
      </c>
      <c r="Z57" s="628">
        <f t="shared" si="4"/>
        <v>62.84443207</v>
      </c>
      <c r="AA57" s="628">
        <f t="shared" si="4"/>
        <v>81.74125301</v>
      </c>
      <c r="AB57" s="628">
        <f t="shared" si="4"/>
        <v>224.3255393</v>
      </c>
      <c r="AC57" s="628">
        <f t="shared" si="4"/>
        <v>93.46087667</v>
      </c>
      <c r="AD57" s="628">
        <f t="shared" si="4"/>
        <v>47.69615121</v>
      </c>
      <c r="AE57" s="628">
        <f t="shared" si="4"/>
        <v>145.7843451</v>
      </c>
      <c r="AF57" s="628">
        <f t="shared" si="4"/>
        <v>535.2817534</v>
      </c>
      <c r="AG57" s="628">
        <f t="shared" si="4"/>
        <v>108.8676175</v>
      </c>
      <c r="AH57" s="628">
        <f t="shared" si="4"/>
        <v>516.803527</v>
      </c>
      <c r="AI57" s="628">
        <f t="shared" si="4"/>
        <v>320.9333915</v>
      </c>
      <c r="AJ57" s="628">
        <f t="shared" si="4"/>
        <v>138.2509743</v>
      </c>
      <c r="AK57" s="629"/>
    </row>
    <row r="58">
      <c r="A58" s="477"/>
      <c r="B58" s="102"/>
      <c r="C58" s="130"/>
      <c r="D58" s="102"/>
      <c r="E58" s="241"/>
      <c r="F58" s="132"/>
      <c r="G58" s="111"/>
      <c r="H58" s="512"/>
      <c r="I58" s="513"/>
      <c r="J58" s="513"/>
      <c r="K58" s="513"/>
      <c r="L58" s="513"/>
      <c r="M58" s="513"/>
      <c r="N58" s="513"/>
      <c r="O58" s="513"/>
      <c r="P58" s="513"/>
      <c r="Q58" s="513"/>
      <c r="R58" s="513"/>
      <c r="S58" s="513"/>
      <c r="T58" s="513"/>
      <c r="U58" s="513"/>
      <c r="V58" s="513"/>
      <c r="W58" s="513"/>
      <c r="X58" s="513"/>
      <c r="Y58" s="513"/>
      <c r="Z58" s="513"/>
      <c r="AA58" s="513"/>
      <c r="AB58" s="513"/>
      <c r="AC58" s="513"/>
      <c r="AD58" s="513"/>
      <c r="AE58" s="513"/>
      <c r="AF58" s="513"/>
      <c r="AG58" s="513"/>
      <c r="AH58" s="513"/>
      <c r="AI58" s="513"/>
      <c r="AJ58" s="513"/>
      <c r="AK58" s="517"/>
    </row>
    <row r="59">
      <c r="A59" s="477"/>
      <c r="B59" s="102"/>
      <c r="C59" s="130" t="s">
        <v>331</v>
      </c>
      <c r="F59" s="132"/>
      <c r="G59" s="111"/>
      <c r="H59" s="512"/>
      <c r="I59" s="513"/>
      <c r="J59" s="513"/>
      <c r="K59" s="513"/>
      <c r="L59" s="513"/>
      <c r="M59" s="513"/>
      <c r="N59" s="513"/>
      <c r="O59" s="513"/>
      <c r="P59" s="513"/>
      <c r="Q59" s="513"/>
      <c r="R59" s="513"/>
      <c r="S59" s="513"/>
      <c r="T59" s="513"/>
      <c r="U59" s="513"/>
      <c r="V59" s="513"/>
      <c r="W59" s="513"/>
      <c r="X59" s="513"/>
      <c r="Y59" s="513"/>
      <c r="Z59" s="513"/>
      <c r="AA59" s="513"/>
      <c r="AB59" s="513"/>
      <c r="AC59" s="513"/>
      <c r="AD59" s="513"/>
      <c r="AE59" s="513"/>
      <c r="AF59" s="513"/>
      <c r="AG59" s="513"/>
      <c r="AH59" s="513"/>
      <c r="AI59" s="513"/>
      <c r="AJ59" s="513"/>
      <c r="AK59" s="517"/>
    </row>
    <row r="60">
      <c r="A60" s="477"/>
      <c r="B60" s="102"/>
      <c r="C60" s="102"/>
      <c r="D60" s="102"/>
      <c r="E60" s="143" t="s">
        <v>332</v>
      </c>
      <c r="F60" s="114" t="str">
        <f>Inputs!F203</f>
        <v>UoV</v>
      </c>
      <c r="G60" s="286" t="str">
        <f>Inputs!G203</f>
        <v>input</v>
      </c>
      <c r="H60" s="631">
        <f>Inputs!H203</f>
        <v>0.005057</v>
      </c>
      <c r="I60" s="632" t="str">
        <f>Inputs!I203</f>
        <v>-</v>
      </c>
      <c r="J60" s="632" t="str">
        <f>Inputs!J203</f>
        <v>-</v>
      </c>
      <c r="K60" s="632" t="str">
        <f>Inputs!K203</f>
        <v>-</v>
      </c>
      <c r="L60" s="632" t="str">
        <f>Inputs!L203</f>
        <v>-</v>
      </c>
      <c r="M60" s="632" t="str">
        <f>Inputs!M203</f>
        <v>-</v>
      </c>
      <c r="N60" s="632" t="str">
        <f>Inputs!N203</f>
        <v>-</v>
      </c>
      <c r="O60" s="632" t="str">
        <f>Inputs!O203</f>
        <v>-</v>
      </c>
      <c r="P60" s="632" t="str">
        <f>Inputs!P203</f>
        <v>-</v>
      </c>
      <c r="Q60" s="632" t="str">
        <f>Inputs!Q203</f>
        <v>-</v>
      </c>
      <c r="R60" s="632" t="str">
        <f>Inputs!R203</f>
        <v>-</v>
      </c>
      <c r="S60" s="632" t="str">
        <f>Inputs!S203</f>
        <v>-</v>
      </c>
      <c r="T60" s="632" t="str">
        <f>Inputs!T203</f>
        <v>-</v>
      </c>
      <c r="U60" s="632" t="str">
        <f>Inputs!U203</f>
        <v>-</v>
      </c>
      <c r="V60" s="632" t="str">
        <f>Inputs!V203</f>
        <v>-</v>
      </c>
      <c r="W60" s="632" t="str">
        <f>Inputs!W203</f>
        <v>-</v>
      </c>
      <c r="X60" s="632" t="str">
        <f>Inputs!X203</f>
        <v>-</v>
      </c>
      <c r="Y60" s="632" t="str">
        <f>Inputs!Y203</f>
        <v>-</v>
      </c>
      <c r="Z60" s="632" t="str">
        <f>Inputs!Z203</f>
        <v>-</v>
      </c>
      <c r="AA60" s="632" t="str">
        <f>Inputs!AA203</f>
        <v>-</v>
      </c>
      <c r="AB60" s="632" t="str">
        <f>Inputs!AB203</f>
        <v>-</v>
      </c>
      <c r="AC60" s="632" t="str">
        <f>Inputs!AC203</f>
        <v>-</v>
      </c>
      <c r="AD60" s="632" t="str">
        <f>Inputs!AD203</f>
        <v>-</v>
      </c>
      <c r="AE60" s="632" t="str">
        <f>Inputs!AE203</f>
        <v>-</v>
      </c>
      <c r="AF60" s="632" t="str">
        <f>Inputs!AF203</f>
        <v>-</v>
      </c>
      <c r="AG60" s="632" t="str">
        <f>Inputs!AG203</f>
        <v>-</v>
      </c>
      <c r="AH60" s="632" t="str">
        <f>Inputs!AH203</f>
        <v>-</v>
      </c>
      <c r="AI60" s="632" t="str">
        <f>Inputs!AI203</f>
        <v>-</v>
      </c>
      <c r="AJ60" s="632" t="str">
        <f>Inputs!AJ203</f>
        <v>-</v>
      </c>
      <c r="AK60" s="592"/>
    </row>
    <row r="61">
      <c r="A61" s="477"/>
      <c r="B61" s="102"/>
      <c r="C61" s="102"/>
      <c r="D61" s="102"/>
      <c r="E61" s="143" t="s">
        <v>336</v>
      </c>
      <c r="F61" s="114" t="str">
        <f>Inputs!F204</f>
        <v>UoV</v>
      </c>
      <c r="G61" s="286" t="str">
        <f>Inputs!G204</f>
        <v>input</v>
      </c>
      <c r="H61" s="631">
        <f>Inputs!H204</f>
        <v>0.0056391</v>
      </c>
      <c r="I61" s="632" t="str">
        <f>Inputs!I204</f>
        <v>-</v>
      </c>
      <c r="J61" s="632" t="str">
        <f>Inputs!J204</f>
        <v>-</v>
      </c>
      <c r="K61" s="632" t="str">
        <f>Inputs!K204</f>
        <v>-</v>
      </c>
      <c r="L61" s="632" t="str">
        <f>Inputs!L204</f>
        <v>-</v>
      </c>
      <c r="M61" s="632" t="str">
        <f>Inputs!M204</f>
        <v>-</v>
      </c>
      <c r="N61" s="632" t="str">
        <f>Inputs!N204</f>
        <v>-</v>
      </c>
      <c r="O61" s="632" t="str">
        <f>Inputs!O204</f>
        <v>-</v>
      </c>
      <c r="P61" s="632" t="str">
        <f>Inputs!P204</f>
        <v>-</v>
      </c>
      <c r="Q61" s="632" t="str">
        <f>Inputs!Q204</f>
        <v>-</v>
      </c>
      <c r="R61" s="632" t="str">
        <f>Inputs!R204</f>
        <v>-</v>
      </c>
      <c r="S61" s="632" t="str">
        <f>Inputs!S204</f>
        <v>-</v>
      </c>
      <c r="T61" s="632" t="str">
        <f>Inputs!T204</f>
        <v>-</v>
      </c>
      <c r="U61" s="632" t="str">
        <f>Inputs!U204</f>
        <v>-</v>
      </c>
      <c r="V61" s="632" t="str">
        <f>Inputs!V204</f>
        <v>-</v>
      </c>
      <c r="W61" s="632" t="str">
        <f>Inputs!W204</f>
        <v>-</v>
      </c>
      <c r="X61" s="632" t="str">
        <f>Inputs!X204</f>
        <v>-</v>
      </c>
      <c r="Y61" s="632" t="str">
        <f>Inputs!Y204</f>
        <v>-</v>
      </c>
      <c r="Z61" s="632" t="str">
        <f>Inputs!Z204</f>
        <v>-</v>
      </c>
      <c r="AA61" s="632" t="str">
        <f>Inputs!AA204</f>
        <v>-</v>
      </c>
      <c r="AB61" s="632" t="str">
        <f>Inputs!AB204</f>
        <v>-</v>
      </c>
      <c r="AC61" s="632" t="str">
        <f>Inputs!AC204</f>
        <v>-</v>
      </c>
      <c r="AD61" s="632" t="str">
        <f>Inputs!AD204</f>
        <v>-</v>
      </c>
      <c r="AE61" s="632" t="str">
        <f>Inputs!AE204</f>
        <v>-</v>
      </c>
      <c r="AF61" s="632" t="str">
        <f>Inputs!AF204</f>
        <v>-</v>
      </c>
      <c r="AG61" s="632" t="str">
        <f>Inputs!AG204</f>
        <v>-</v>
      </c>
      <c r="AH61" s="632" t="str">
        <f>Inputs!AH204</f>
        <v>-</v>
      </c>
      <c r="AI61" s="632" t="str">
        <f>Inputs!AI204</f>
        <v>-</v>
      </c>
      <c r="AJ61" s="632" t="str">
        <f>Inputs!AJ204</f>
        <v>-</v>
      </c>
      <c r="AK61" s="592"/>
    </row>
    <row r="62">
      <c r="A62" s="477"/>
      <c r="B62" s="102"/>
      <c r="C62" s="102"/>
      <c r="D62" s="102"/>
      <c r="E62" s="274" t="s">
        <v>338</v>
      </c>
      <c r="F62" s="121" t="str">
        <f>Inputs!F205</f>
        <v>UoV</v>
      </c>
      <c r="G62" s="248" t="str">
        <f>Inputs!G205</f>
        <v>input</v>
      </c>
      <c r="H62" s="643" t="str">
        <f>Inputs!H205</f>
        <v>-</v>
      </c>
      <c r="I62" s="644">
        <f>Inputs!I205</f>
        <v>0.01231</v>
      </c>
      <c r="J62" s="644">
        <f>Inputs!J205</f>
        <v>0.01231</v>
      </c>
      <c r="K62" s="644">
        <f>Inputs!K205</f>
        <v>0.01231</v>
      </c>
      <c r="L62" s="644">
        <f>Inputs!L205</f>
        <v>0.01231</v>
      </c>
      <c r="M62" s="644">
        <f>Inputs!M205</f>
        <v>0.01231</v>
      </c>
      <c r="N62" s="644">
        <f>Inputs!N205</f>
        <v>0.0056391</v>
      </c>
      <c r="O62" s="644">
        <f>Inputs!O205</f>
        <v>0.01231</v>
      </c>
      <c r="P62" s="644">
        <f>Inputs!P205</f>
        <v>0.0056391</v>
      </c>
      <c r="Q62" s="644">
        <f>Inputs!Q205</f>
        <v>0.0056391</v>
      </c>
      <c r="R62" s="644">
        <f>Inputs!R205</f>
        <v>0.0056391</v>
      </c>
      <c r="S62" s="644">
        <f>Inputs!S205</f>
        <v>0.0056391</v>
      </c>
      <c r="T62" s="644">
        <f>Inputs!T205</f>
        <v>0.0056391</v>
      </c>
      <c r="U62" s="644">
        <f>Inputs!U205</f>
        <v>0.0056391</v>
      </c>
      <c r="V62" s="644">
        <f>Inputs!V205</f>
        <v>0.0056391</v>
      </c>
      <c r="W62" s="644">
        <f>Inputs!W205</f>
        <v>0.0056391</v>
      </c>
      <c r="X62" s="644">
        <f>Inputs!X205</f>
        <v>0.0056391</v>
      </c>
      <c r="Y62" s="644">
        <f>Inputs!Y205</f>
        <v>0.0056391</v>
      </c>
      <c r="Z62" s="644">
        <f>Inputs!Z205</f>
        <v>0.0056391</v>
      </c>
      <c r="AA62" s="644">
        <f>Inputs!AA205</f>
        <v>0.0056391</v>
      </c>
      <c r="AB62" s="644">
        <f>Inputs!AB205</f>
        <v>0.0056391</v>
      </c>
      <c r="AC62" s="644">
        <f>Inputs!AC205</f>
        <v>0.0056391</v>
      </c>
      <c r="AD62" s="644">
        <f>Inputs!AD205</f>
        <v>0.0056391</v>
      </c>
      <c r="AE62" s="644">
        <f>Inputs!AE205</f>
        <v>0.0056391</v>
      </c>
      <c r="AF62" s="644">
        <f>Inputs!AF205</f>
        <v>0.0056391</v>
      </c>
      <c r="AG62" s="644">
        <f>Inputs!AG205</f>
        <v>0.01231</v>
      </c>
      <c r="AH62" s="644">
        <f>Inputs!AH205</f>
        <v>0.01231</v>
      </c>
      <c r="AI62" s="644">
        <f>Inputs!AI205</f>
        <v>0.01231</v>
      </c>
      <c r="AJ62" s="644">
        <f>Inputs!AJ205</f>
        <v>0.0056391</v>
      </c>
      <c r="AK62" s="647"/>
    </row>
    <row r="63">
      <c r="A63" s="477"/>
      <c r="B63" s="102"/>
      <c r="C63" s="102"/>
      <c r="D63" s="102"/>
      <c r="E63" s="241"/>
      <c r="F63" s="104"/>
      <c r="G63" s="111"/>
      <c r="H63" s="512"/>
      <c r="I63" s="513"/>
      <c r="J63" s="513"/>
      <c r="K63" s="513"/>
      <c r="L63" s="513"/>
      <c r="M63" s="513"/>
      <c r="N63" s="513"/>
      <c r="O63" s="513"/>
      <c r="P63" s="513"/>
      <c r="Q63" s="513"/>
      <c r="R63" s="513"/>
      <c r="S63" s="513"/>
      <c r="T63" s="513"/>
      <c r="U63" s="513"/>
      <c r="V63" s="513"/>
      <c r="W63" s="513"/>
      <c r="X63" s="513"/>
      <c r="Y63" s="513"/>
      <c r="Z63" s="513"/>
      <c r="AA63" s="513"/>
      <c r="AB63" s="513"/>
      <c r="AC63" s="513"/>
      <c r="AD63" s="513"/>
      <c r="AE63" s="513"/>
      <c r="AF63" s="513"/>
      <c r="AG63" s="513"/>
      <c r="AH63" s="513"/>
      <c r="AI63" s="513"/>
      <c r="AJ63" s="513"/>
      <c r="AK63" s="517"/>
    </row>
    <row r="64">
      <c r="A64" s="99" t="s">
        <v>341</v>
      </c>
      <c r="B64" s="12"/>
      <c r="C64" s="12"/>
      <c r="D64" s="12"/>
      <c r="E64" s="12"/>
      <c r="F64" s="12"/>
      <c r="G64" s="30"/>
      <c r="H64" s="97"/>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100"/>
    </row>
    <row r="65">
      <c r="A65" s="648"/>
      <c r="B65" s="650"/>
      <c r="C65" s="525"/>
      <c r="D65" s="525"/>
      <c r="E65" s="299"/>
      <c r="F65" s="651"/>
      <c r="G65" s="652"/>
      <c r="H65" s="653"/>
      <c r="I65" s="654"/>
      <c r="J65" s="654"/>
      <c r="K65" s="654"/>
      <c r="L65" s="654"/>
      <c r="M65" s="654"/>
      <c r="N65" s="654"/>
      <c r="O65" s="654"/>
      <c r="P65" s="654"/>
      <c r="Q65" s="654"/>
      <c r="R65" s="654"/>
      <c r="S65" s="654"/>
      <c r="T65" s="654"/>
      <c r="U65" s="654"/>
      <c r="V65" s="654"/>
      <c r="W65" s="654"/>
      <c r="X65" s="654"/>
      <c r="Y65" s="654"/>
      <c r="Z65" s="654"/>
      <c r="AA65" s="654"/>
      <c r="AB65" s="654"/>
      <c r="AC65" s="654"/>
      <c r="AD65" s="654"/>
      <c r="AE65" s="654"/>
      <c r="AF65" s="654"/>
      <c r="AG65" s="654"/>
      <c r="AH65" s="654"/>
      <c r="AI65" s="654"/>
      <c r="AJ65" s="654"/>
      <c r="AK65" s="656"/>
    </row>
    <row r="66">
      <c r="A66" s="648"/>
      <c r="B66" s="650"/>
      <c r="C66" s="130" t="s">
        <v>343</v>
      </c>
      <c r="F66" s="651"/>
      <c r="G66" s="652"/>
      <c r="H66" s="653"/>
      <c r="I66" s="654"/>
      <c r="J66" s="654"/>
      <c r="K66" s="654"/>
      <c r="L66" s="654"/>
      <c r="M66" s="654"/>
      <c r="N66" s="654"/>
      <c r="O66" s="654"/>
      <c r="P66" s="654"/>
      <c r="Q66" s="654"/>
      <c r="R66" s="654"/>
      <c r="S66" s="654"/>
      <c r="T66" s="654"/>
      <c r="U66" s="654"/>
      <c r="V66" s="654"/>
      <c r="W66" s="654"/>
      <c r="X66" s="654"/>
      <c r="Y66" s="654"/>
      <c r="Z66" s="654"/>
      <c r="AA66" s="654"/>
      <c r="AB66" s="654"/>
      <c r="AC66" s="654"/>
      <c r="AD66" s="654"/>
      <c r="AE66" s="654"/>
      <c r="AF66" s="654"/>
      <c r="AG66" s="654"/>
      <c r="AH66" s="654"/>
      <c r="AI66" s="654"/>
      <c r="AJ66" s="654"/>
      <c r="AK66" s="656"/>
    </row>
    <row r="67">
      <c r="A67" s="648"/>
      <c r="B67" s="650"/>
      <c r="C67" s="525"/>
      <c r="D67" s="486" t="s">
        <v>345</v>
      </c>
      <c r="E67" s="86"/>
      <c r="F67" s="660"/>
      <c r="G67" s="661"/>
      <c r="H67" s="256"/>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c r="AH67" s="297"/>
      <c r="AI67" s="297"/>
      <c r="AJ67" s="297"/>
      <c r="AK67" s="306"/>
    </row>
    <row r="68">
      <c r="A68" s="648"/>
      <c r="B68" s="650"/>
      <c r="C68" s="525"/>
      <c r="D68" s="525"/>
      <c r="E68" s="143" t="s">
        <v>346</v>
      </c>
      <c r="F68" s="660" t="s">
        <v>108</v>
      </c>
      <c r="G68" s="661" t="s">
        <v>164</v>
      </c>
      <c r="H68" s="256" t="s">
        <v>165</v>
      </c>
      <c r="I68" s="297">
        <f t="shared" ref="I68:AJ68" si="5">I21</f>
        <v>1000000</v>
      </c>
      <c r="J68" s="297">
        <f t="shared" si="5"/>
        <v>1000000</v>
      </c>
      <c r="K68" s="297">
        <f t="shared" si="5"/>
        <v>1000000</v>
      </c>
      <c r="L68" s="297">
        <f t="shared" si="5"/>
        <v>1000000</v>
      </c>
      <c r="M68" s="297">
        <f t="shared" si="5"/>
        <v>1000000</v>
      </c>
      <c r="N68" s="297">
        <f t="shared" si="5"/>
        <v>1000000</v>
      </c>
      <c r="O68" s="297">
        <f t="shared" si="5"/>
        <v>1000000</v>
      </c>
      <c r="P68" s="297">
        <f t="shared" si="5"/>
        <v>1000000</v>
      </c>
      <c r="Q68" s="297">
        <f t="shared" si="5"/>
        <v>1000000</v>
      </c>
      <c r="R68" s="297">
        <f t="shared" si="5"/>
        <v>1000000</v>
      </c>
      <c r="S68" s="297">
        <f t="shared" si="5"/>
        <v>1000000</v>
      </c>
      <c r="T68" s="297">
        <f t="shared" si="5"/>
        <v>1000000</v>
      </c>
      <c r="U68" s="297">
        <f t="shared" si="5"/>
        <v>1000000</v>
      </c>
      <c r="V68" s="297">
        <f t="shared" si="5"/>
        <v>1000000</v>
      </c>
      <c r="W68" s="297">
        <f t="shared" si="5"/>
        <v>1000000</v>
      </c>
      <c r="X68" s="297">
        <f t="shared" si="5"/>
        <v>1000000</v>
      </c>
      <c r="Y68" s="297">
        <f t="shared" si="5"/>
        <v>1000000</v>
      </c>
      <c r="Z68" s="297">
        <f t="shared" si="5"/>
        <v>1000000</v>
      </c>
      <c r="AA68" s="297">
        <f t="shared" si="5"/>
        <v>1000000</v>
      </c>
      <c r="AB68" s="297">
        <f t="shared" si="5"/>
        <v>1000000</v>
      </c>
      <c r="AC68" s="297">
        <f t="shared" si="5"/>
        <v>1000000</v>
      </c>
      <c r="AD68" s="297">
        <f t="shared" si="5"/>
        <v>1000000</v>
      </c>
      <c r="AE68" s="297">
        <f t="shared" si="5"/>
        <v>1000000</v>
      </c>
      <c r="AF68" s="297">
        <f t="shared" si="5"/>
        <v>1000000</v>
      </c>
      <c r="AG68" s="297">
        <f t="shared" si="5"/>
        <v>1000000</v>
      </c>
      <c r="AH68" s="297">
        <f t="shared" si="5"/>
        <v>1000000</v>
      </c>
      <c r="AI68" s="297">
        <f t="shared" si="5"/>
        <v>1000000</v>
      </c>
      <c r="AJ68" s="297">
        <f t="shared" si="5"/>
        <v>1000000</v>
      </c>
      <c r="AK68" s="306"/>
    </row>
    <row r="69">
      <c r="A69" s="648"/>
      <c r="B69" s="650"/>
      <c r="C69" s="525"/>
      <c r="D69" s="525"/>
      <c r="E69" s="260" t="s">
        <v>350</v>
      </c>
      <c r="F69" s="171" t="s">
        <v>116</v>
      </c>
      <c r="G69" s="667" t="s">
        <v>164</v>
      </c>
      <c r="H69" s="223" t="s">
        <v>165</v>
      </c>
      <c r="I69" s="153">
        <f t="shared" ref="I69:AJ69" si="6">I68*I51</f>
        <v>106247.3232</v>
      </c>
      <c r="J69" s="153">
        <f t="shared" si="6"/>
        <v>81375.77049</v>
      </c>
      <c r="K69" s="153">
        <f t="shared" si="6"/>
        <v>45978.34434</v>
      </c>
      <c r="L69" s="153">
        <f t="shared" si="6"/>
        <v>71266.51034</v>
      </c>
      <c r="M69" s="153">
        <f t="shared" si="6"/>
        <v>60186.96921</v>
      </c>
      <c r="N69" s="153">
        <f t="shared" si="6"/>
        <v>24661.45968</v>
      </c>
      <c r="O69" s="153">
        <f t="shared" si="6"/>
        <v>70064.16363</v>
      </c>
      <c r="P69" s="153">
        <f t="shared" si="6"/>
        <v>168487.9669</v>
      </c>
      <c r="Q69" s="153">
        <f t="shared" si="6"/>
        <v>283129.835</v>
      </c>
      <c r="R69" s="153">
        <f t="shared" si="6"/>
        <v>96595.16769</v>
      </c>
      <c r="S69" s="153">
        <f t="shared" si="6"/>
        <v>20825.73875</v>
      </c>
      <c r="T69" s="153">
        <f t="shared" si="6"/>
        <v>11468.36257</v>
      </c>
      <c r="U69" s="153">
        <f t="shared" si="6"/>
        <v>43536.0334</v>
      </c>
      <c r="V69" s="153">
        <f t="shared" si="6"/>
        <v>24307.91905</v>
      </c>
      <c r="W69" s="153">
        <f t="shared" si="6"/>
        <v>61254.47613</v>
      </c>
      <c r="X69" s="153">
        <f t="shared" si="6"/>
        <v>18156.57542</v>
      </c>
      <c r="Y69" s="153">
        <f t="shared" si="6"/>
        <v>27402.57711</v>
      </c>
      <c r="Z69" s="153">
        <f t="shared" si="6"/>
        <v>15241.07795</v>
      </c>
      <c r="AA69" s="153">
        <f t="shared" si="6"/>
        <v>19823.94888</v>
      </c>
      <c r="AB69" s="153">
        <f t="shared" si="6"/>
        <v>54403.595</v>
      </c>
      <c r="AC69" s="153">
        <f t="shared" si="6"/>
        <v>22666.20064</v>
      </c>
      <c r="AD69" s="153">
        <f t="shared" si="6"/>
        <v>11567.30572</v>
      </c>
      <c r="AE69" s="153">
        <f t="shared" si="6"/>
        <v>35355.72675</v>
      </c>
      <c r="AF69" s="153">
        <f t="shared" si="6"/>
        <v>129816.9251</v>
      </c>
      <c r="AG69" s="153">
        <f t="shared" si="6"/>
        <v>26402.65478</v>
      </c>
      <c r="AH69" s="153">
        <f t="shared" si="6"/>
        <v>125335.572</v>
      </c>
      <c r="AI69" s="153">
        <f t="shared" si="6"/>
        <v>77833.00248</v>
      </c>
      <c r="AJ69" s="153">
        <f t="shared" si="6"/>
        <v>33528.72811</v>
      </c>
      <c r="AK69" s="168"/>
    </row>
    <row r="70">
      <c r="A70" s="648"/>
      <c r="B70" s="650"/>
      <c r="C70" s="525"/>
      <c r="D70" s="525"/>
      <c r="E70" s="260" t="s">
        <v>354</v>
      </c>
      <c r="F70" s="171" t="s">
        <v>116</v>
      </c>
      <c r="G70" s="667" t="s">
        <v>164</v>
      </c>
      <c r="H70" s="223" t="s">
        <v>165</v>
      </c>
      <c r="I70" s="153">
        <f t="shared" ref="I70:AJ70" si="7">I68*$H60</f>
        <v>5057</v>
      </c>
      <c r="J70" s="153">
        <f t="shared" si="7"/>
        <v>5057</v>
      </c>
      <c r="K70" s="153">
        <f t="shared" si="7"/>
        <v>5057</v>
      </c>
      <c r="L70" s="153">
        <f t="shared" si="7"/>
        <v>5057</v>
      </c>
      <c r="M70" s="153">
        <f t="shared" si="7"/>
        <v>5057</v>
      </c>
      <c r="N70" s="153">
        <f t="shared" si="7"/>
        <v>5057</v>
      </c>
      <c r="O70" s="153">
        <f t="shared" si="7"/>
        <v>5057</v>
      </c>
      <c r="P70" s="153">
        <f t="shared" si="7"/>
        <v>5057</v>
      </c>
      <c r="Q70" s="153">
        <f t="shared" si="7"/>
        <v>5057</v>
      </c>
      <c r="R70" s="153">
        <f t="shared" si="7"/>
        <v>5057</v>
      </c>
      <c r="S70" s="153">
        <f t="shared" si="7"/>
        <v>5057</v>
      </c>
      <c r="T70" s="153">
        <f t="shared" si="7"/>
        <v>5057</v>
      </c>
      <c r="U70" s="153">
        <f t="shared" si="7"/>
        <v>5057</v>
      </c>
      <c r="V70" s="153">
        <f t="shared" si="7"/>
        <v>5057</v>
      </c>
      <c r="W70" s="153">
        <f t="shared" si="7"/>
        <v>5057</v>
      </c>
      <c r="X70" s="153">
        <f t="shared" si="7"/>
        <v>5057</v>
      </c>
      <c r="Y70" s="153">
        <f t="shared" si="7"/>
        <v>5057</v>
      </c>
      <c r="Z70" s="153">
        <f t="shared" si="7"/>
        <v>5057</v>
      </c>
      <c r="AA70" s="153">
        <f t="shared" si="7"/>
        <v>5057</v>
      </c>
      <c r="AB70" s="153">
        <f t="shared" si="7"/>
        <v>5057</v>
      </c>
      <c r="AC70" s="153">
        <f t="shared" si="7"/>
        <v>5057</v>
      </c>
      <c r="AD70" s="153">
        <f t="shared" si="7"/>
        <v>5057</v>
      </c>
      <c r="AE70" s="153">
        <f t="shared" si="7"/>
        <v>5057</v>
      </c>
      <c r="AF70" s="153">
        <f t="shared" si="7"/>
        <v>5057</v>
      </c>
      <c r="AG70" s="153">
        <f t="shared" si="7"/>
        <v>5057</v>
      </c>
      <c r="AH70" s="153">
        <f t="shared" si="7"/>
        <v>5057</v>
      </c>
      <c r="AI70" s="153">
        <f t="shared" si="7"/>
        <v>5057</v>
      </c>
      <c r="AJ70" s="153">
        <f t="shared" si="7"/>
        <v>5057</v>
      </c>
      <c r="AK70" s="168"/>
    </row>
    <row r="71">
      <c r="A71" s="648"/>
      <c r="B71" s="650"/>
      <c r="C71" s="525"/>
      <c r="D71" s="525"/>
      <c r="E71" s="260" t="s">
        <v>357</v>
      </c>
      <c r="F71" s="171" t="s">
        <v>116</v>
      </c>
      <c r="G71" s="667" t="s">
        <v>164</v>
      </c>
      <c r="H71" s="223" t="s">
        <v>165</v>
      </c>
      <c r="I71" s="153">
        <f t="shared" ref="I71:AJ71" si="8">I69-I70</f>
        <v>101190.3232</v>
      </c>
      <c r="J71" s="153">
        <f t="shared" si="8"/>
        <v>76318.77049</v>
      </c>
      <c r="K71" s="153">
        <f t="shared" si="8"/>
        <v>40921.34434</v>
      </c>
      <c r="L71" s="153">
        <f t="shared" si="8"/>
        <v>66209.51034</v>
      </c>
      <c r="M71" s="153">
        <f t="shared" si="8"/>
        <v>55129.96921</v>
      </c>
      <c r="N71" s="153">
        <f t="shared" si="8"/>
        <v>19604.45968</v>
      </c>
      <c r="O71" s="153">
        <f t="shared" si="8"/>
        <v>65007.16363</v>
      </c>
      <c r="P71" s="153">
        <f t="shared" si="8"/>
        <v>163430.9669</v>
      </c>
      <c r="Q71" s="153">
        <f t="shared" si="8"/>
        <v>278072.835</v>
      </c>
      <c r="R71" s="153">
        <f t="shared" si="8"/>
        <v>91538.16769</v>
      </c>
      <c r="S71" s="153">
        <f t="shared" si="8"/>
        <v>15768.73875</v>
      </c>
      <c r="T71" s="153">
        <f t="shared" si="8"/>
        <v>6411.36257</v>
      </c>
      <c r="U71" s="153">
        <f t="shared" si="8"/>
        <v>38479.0334</v>
      </c>
      <c r="V71" s="153">
        <f t="shared" si="8"/>
        <v>19250.91905</v>
      </c>
      <c r="W71" s="153">
        <f t="shared" si="8"/>
        <v>56197.47613</v>
      </c>
      <c r="X71" s="153">
        <f t="shared" si="8"/>
        <v>13099.57542</v>
      </c>
      <c r="Y71" s="153">
        <f t="shared" si="8"/>
        <v>22345.57711</v>
      </c>
      <c r="Z71" s="153">
        <f t="shared" si="8"/>
        <v>10184.07795</v>
      </c>
      <c r="AA71" s="153">
        <f t="shared" si="8"/>
        <v>14766.94888</v>
      </c>
      <c r="AB71" s="153">
        <f t="shared" si="8"/>
        <v>49346.595</v>
      </c>
      <c r="AC71" s="153">
        <f t="shared" si="8"/>
        <v>17609.20064</v>
      </c>
      <c r="AD71" s="153">
        <f t="shared" si="8"/>
        <v>6510.305718</v>
      </c>
      <c r="AE71" s="153">
        <f t="shared" si="8"/>
        <v>30298.72675</v>
      </c>
      <c r="AF71" s="153">
        <f t="shared" si="8"/>
        <v>124759.9251</v>
      </c>
      <c r="AG71" s="153">
        <f t="shared" si="8"/>
        <v>21345.65478</v>
      </c>
      <c r="AH71" s="153">
        <f t="shared" si="8"/>
        <v>120278.572</v>
      </c>
      <c r="AI71" s="153">
        <f t="shared" si="8"/>
        <v>72776.00248</v>
      </c>
      <c r="AJ71" s="153">
        <f t="shared" si="8"/>
        <v>28471.72811</v>
      </c>
      <c r="AK71" s="168"/>
    </row>
    <row r="72">
      <c r="A72" s="648"/>
      <c r="B72" s="650"/>
      <c r="C72" s="525"/>
      <c r="D72" s="525"/>
      <c r="E72" s="260" t="s">
        <v>360</v>
      </c>
      <c r="F72" s="171" t="s">
        <v>116</v>
      </c>
      <c r="G72" s="667" t="s">
        <v>164</v>
      </c>
      <c r="H72" s="223" t="s">
        <v>165</v>
      </c>
      <c r="I72" s="153">
        <f t="shared" ref="I72:AJ72" si="9">-I71</f>
        <v>-101190.3232</v>
      </c>
      <c r="J72" s="153">
        <f t="shared" si="9"/>
        <v>-76318.77049</v>
      </c>
      <c r="K72" s="153">
        <f t="shared" si="9"/>
        <v>-40921.34434</v>
      </c>
      <c r="L72" s="153">
        <f t="shared" si="9"/>
        <v>-66209.51034</v>
      </c>
      <c r="M72" s="153">
        <f t="shared" si="9"/>
        <v>-55129.96921</v>
      </c>
      <c r="N72" s="153">
        <f t="shared" si="9"/>
        <v>-19604.45968</v>
      </c>
      <c r="O72" s="153">
        <f t="shared" si="9"/>
        <v>-65007.16363</v>
      </c>
      <c r="P72" s="153">
        <f t="shared" si="9"/>
        <v>-163430.9669</v>
      </c>
      <c r="Q72" s="153">
        <f t="shared" si="9"/>
        <v>-278072.835</v>
      </c>
      <c r="R72" s="153">
        <f t="shared" si="9"/>
        <v>-91538.16769</v>
      </c>
      <c r="S72" s="153">
        <f t="shared" si="9"/>
        <v>-15768.73875</v>
      </c>
      <c r="T72" s="153">
        <f t="shared" si="9"/>
        <v>-6411.36257</v>
      </c>
      <c r="U72" s="153">
        <f t="shared" si="9"/>
        <v>-38479.0334</v>
      </c>
      <c r="V72" s="153">
        <f t="shared" si="9"/>
        <v>-19250.91905</v>
      </c>
      <c r="W72" s="153">
        <f t="shared" si="9"/>
        <v>-56197.47613</v>
      </c>
      <c r="X72" s="153">
        <f t="shared" si="9"/>
        <v>-13099.57542</v>
      </c>
      <c r="Y72" s="153">
        <f t="shared" si="9"/>
        <v>-22345.57711</v>
      </c>
      <c r="Z72" s="153">
        <f t="shared" si="9"/>
        <v>-10184.07795</v>
      </c>
      <c r="AA72" s="153">
        <f t="shared" si="9"/>
        <v>-14766.94888</v>
      </c>
      <c r="AB72" s="153">
        <f t="shared" si="9"/>
        <v>-49346.595</v>
      </c>
      <c r="AC72" s="153">
        <f t="shared" si="9"/>
        <v>-17609.20064</v>
      </c>
      <c r="AD72" s="153">
        <f t="shared" si="9"/>
        <v>-6510.305718</v>
      </c>
      <c r="AE72" s="153">
        <f t="shared" si="9"/>
        <v>-30298.72675</v>
      </c>
      <c r="AF72" s="153">
        <f t="shared" si="9"/>
        <v>-124759.9251</v>
      </c>
      <c r="AG72" s="153">
        <f t="shared" si="9"/>
        <v>-21345.65478</v>
      </c>
      <c r="AH72" s="153">
        <f t="shared" si="9"/>
        <v>-120278.572</v>
      </c>
      <c r="AI72" s="153">
        <f t="shared" si="9"/>
        <v>-72776.00248</v>
      </c>
      <c r="AJ72" s="153">
        <f t="shared" si="9"/>
        <v>-28471.72811</v>
      </c>
      <c r="AK72" s="168"/>
    </row>
    <row r="73">
      <c r="A73" s="648"/>
      <c r="B73" s="650"/>
      <c r="C73" s="525"/>
      <c r="D73" s="525"/>
      <c r="E73" s="260" t="s">
        <v>362</v>
      </c>
      <c r="F73" s="171" t="str">
        <f>F34</f>
        <v>%</v>
      </c>
      <c r="G73" s="667" t="s">
        <v>60</v>
      </c>
      <c r="H73" s="316" t="str">
        <f t="shared" ref="H73:AJ73" si="10">H34</f>
        <v>-</v>
      </c>
      <c r="I73" s="187">
        <f t="shared" si="10"/>
        <v>0.1</v>
      </c>
      <c r="J73" s="187">
        <f t="shared" si="10"/>
        <v>0.05</v>
      </c>
      <c r="K73" s="187">
        <f t="shared" si="10"/>
        <v>0.1</v>
      </c>
      <c r="L73" s="187">
        <f t="shared" si="10"/>
        <v>0.1</v>
      </c>
      <c r="M73" s="187">
        <f t="shared" si="10"/>
        <v>0.1</v>
      </c>
      <c r="N73" s="187">
        <f t="shared" si="10"/>
        <v>0.1</v>
      </c>
      <c r="O73" s="187">
        <f t="shared" si="10"/>
        <v>0.05</v>
      </c>
      <c r="P73" s="187">
        <f t="shared" si="10"/>
        <v>0.1</v>
      </c>
      <c r="Q73" s="187">
        <f t="shared" si="10"/>
        <v>0.1</v>
      </c>
      <c r="R73" s="187">
        <f t="shared" si="10"/>
        <v>0.1</v>
      </c>
      <c r="S73" s="187">
        <f t="shared" si="10"/>
        <v>0.1</v>
      </c>
      <c r="T73" s="187">
        <f t="shared" si="10"/>
        <v>0.1</v>
      </c>
      <c r="U73" s="187">
        <f t="shared" si="10"/>
        <v>0.1</v>
      </c>
      <c r="V73" s="187">
        <f t="shared" si="10"/>
        <v>0.1</v>
      </c>
      <c r="W73" s="187">
        <f t="shared" si="10"/>
        <v>0.1</v>
      </c>
      <c r="X73" s="187">
        <f t="shared" si="10"/>
        <v>0.1</v>
      </c>
      <c r="Y73" s="187">
        <f t="shared" si="10"/>
        <v>0.1</v>
      </c>
      <c r="Z73" s="187">
        <f t="shared" si="10"/>
        <v>0.1</v>
      </c>
      <c r="AA73" s="187">
        <f t="shared" si="10"/>
        <v>0.1</v>
      </c>
      <c r="AB73" s="187">
        <f t="shared" si="10"/>
        <v>0.1</v>
      </c>
      <c r="AC73" s="187">
        <f t="shared" si="10"/>
        <v>0.1</v>
      </c>
      <c r="AD73" s="187">
        <f t="shared" si="10"/>
        <v>0.1</v>
      </c>
      <c r="AE73" s="187">
        <f t="shared" si="10"/>
        <v>0.1</v>
      </c>
      <c r="AF73" s="187">
        <f t="shared" si="10"/>
        <v>0.1</v>
      </c>
      <c r="AG73" s="187">
        <f t="shared" si="10"/>
        <v>0.1</v>
      </c>
      <c r="AH73" s="187">
        <f t="shared" si="10"/>
        <v>0.1</v>
      </c>
      <c r="AI73" s="187">
        <f t="shared" si="10"/>
        <v>0.1</v>
      </c>
      <c r="AJ73" s="187">
        <f t="shared" si="10"/>
        <v>0.1</v>
      </c>
      <c r="AK73" s="204"/>
    </row>
    <row r="74">
      <c r="A74" s="648"/>
      <c r="B74" s="650"/>
      <c r="C74" s="525"/>
      <c r="D74" s="525"/>
      <c r="E74" s="175" t="s">
        <v>363</v>
      </c>
      <c r="F74" s="192" t="s">
        <v>116</v>
      </c>
      <c r="G74" s="676" t="s">
        <v>164</v>
      </c>
      <c r="H74" s="235" t="s">
        <v>165</v>
      </c>
      <c r="I74" s="200">
        <f t="shared" ref="I74:AJ74" si="11">I72*I73</f>
        <v>-10119.03232</v>
      </c>
      <c r="J74" s="200">
        <f t="shared" si="11"/>
        <v>-3815.938525</v>
      </c>
      <c r="K74" s="200">
        <f t="shared" si="11"/>
        <v>-4092.134434</v>
      </c>
      <c r="L74" s="200">
        <f t="shared" si="11"/>
        <v>-6620.951034</v>
      </c>
      <c r="M74" s="200">
        <f t="shared" si="11"/>
        <v>-5512.996921</v>
      </c>
      <c r="N74" s="200">
        <f t="shared" si="11"/>
        <v>-1960.445968</v>
      </c>
      <c r="O74" s="200">
        <f t="shared" si="11"/>
        <v>-3250.358182</v>
      </c>
      <c r="P74" s="200">
        <f t="shared" si="11"/>
        <v>-16343.09669</v>
      </c>
      <c r="Q74" s="200">
        <f t="shared" si="11"/>
        <v>-27807.2835</v>
      </c>
      <c r="R74" s="200">
        <f t="shared" si="11"/>
        <v>-9153.816769</v>
      </c>
      <c r="S74" s="200">
        <f t="shared" si="11"/>
        <v>-1576.873875</v>
      </c>
      <c r="T74" s="200">
        <f t="shared" si="11"/>
        <v>-641.136257</v>
      </c>
      <c r="U74" s="200">
        <f t="shared" si="11"/>
        <v>-3847.90334</v>
      </c>
      <c r="V74" s="200">
        <f t="shared" si="11"/>
        <v>-1925.091905</v>
      </c>
      <c r="W74" s="200">
        <f t="shared" si="11"/>
        <v>-5619.747613</v>
      </c>
      <c r="X74" s="200">
        <f t="shared" si="11"/>
        <v>-1309.957542</v>
      </c>
      <c r="Y74" s="200">
        <f t="shared" si="11"/>
        <v>-2234.557711</v>
      </c>
      <c r="Z74" s="200">
        <f t="shared" si="11"/>
        <v>-1018.407795</v>
      </c>
      <c r="AA74" s="200">
        <f t="shared" si="11"/>
        <v>-1476.694888</v>
      </c>
      <c r="AB74" s="200">
        <f t="shared" si="11"/>
        <v>-4934.6595</v>
      </c>
      <c r="AC74" s="200">
        <f t="shared" si="11"/>
        <v>-1760.920064</v>
      </c>
      <c r="AD74" s="200">
        <f t="shared" si="11"/>
        <v>-651.0305718</v>
      </c>
      <c r="AE74" s="200">
        <f t="shared" si="11"/>
        <v>-3029.872675</v>
      </c>
      <c r="AF74" s="200">
        <f t="shared" si="11"/>
        <v>-12475.99251</v>
      </c>
      <c r="AG74" s="200">
        <f t="shared" si="11"/>
        <v>-2134.565478</v>
      </c>
      <c r="AH74" s="200">
        <f t="shared" si="11"/>
        <v>-12027.8572</v>
      </c>
      <c r="AI74" s="200">
        <f t="shared" si="11"/>
        <v>-7277.600248</v>
      </c>
      <c r="AJ74" s="200">
        <f t="shared" si="11"/>
        <v>-2847.172811</v>
      </c>
      <c r="AK74" s="207"/>
    </row>
    <row r="75">
      <c r="A75" s="648"/>
      <c r="B75" s="650"/>
      <c r="C75" s="525"/>
      <c r="D75" s="525"/>
      <c r="E75" s="299"/>
      <c r="F75" s="651"/>
      <c r="G75" s="652"/>
      <c r="H75" s="653"/>
      <c r="I75" s="654"/>
      <c r="J75" s="654"/>
      <c r="K75" s="654"/>
      <c r="L75" s="654"/>
      <c r="M75" s="654"/>
      <c r="N75" s="654"/>
      <c r="O75" s="654"/>
      <c r="P75" s="654"/>
      <c r="Q75" s="654"/>
      <c r="R75" s="654"/>
      <c r="S75" s="654"/>
      <c r="T75" s="654"/>
      <c r="U75" s="654"/>
      <c r="V75" s="654"/>
      <c r="W75" s="654"/>
      <c r="X75" s="654"/>
      <c r="Y75" s="654"/>
      <c r="Z75" s="654"/>
      <c r="AA75" s="654"/>
      <c r="AB75" s="654"/>
      <c r="AC75" s="654"/>
      <c r="AD75" s="654"/>
      <c r="AE75" s="654"/>
      <c r="AF75" s="654"/>
      <c r="AG75" s="654"/>
      <c r="AH75" s="654"/>
      <c r="AI75" s="654"/>
      <c r="AJ75" s="654"/>
      <c r="AK75" s="656"/>
    </row>
    <row r="76">
      <c r="A76" s="648"/>
      <c r="B76" s="650"/>
      <c r="C76" s="130" t="s">
        <v>366</v>
      </c>
      <c r="F76" s="651"/>
      <c r="G76" s="652"/>
      <c r="H76" s="653"/>
      <c r="I76" s="654"/>
      <c r="J76" s="654"/>
      <c r="K76" s="654"/>
      <c r="L76" s="654"/>
      <c r="M76" s="654"/>
      <c r="N76" s="654"/>
      <c r="O76" s="654"/>
      <c r="P76" s="654"/>
      <c r="Q76" s="654"/>
      <c r="R76" s="654"/>
      <c r="S76" s="654"/>
      <c r="T76" s="654"/>
      <c r="U76" s="654"/>
      <c r="V76" s="654"/>
      <c r="W76" s="654"/>
      <c r="X76" s="654"/>
      <c r="Y76" s="654"/>
      <c r="Z76" s="654"/>
      <c r="AA76" s="654"/>
      <c r="AB76" s="654"/>
      <c r="AC76" s="654"/>
      <c r="AD76" s="654"/>
      <c r="AE76" s="654"/>
      <c r="AF76" s="654"/>
      <c r="AG76" s="654"/>
      <c r="AH76" s="654"/>
      <c r="AI76" s="654"/>
      <c r="AJ76" s="654"/>
      <c r="AK76" s="656"/>
    </row>
    <row r="77">
      <c r="A77" s="648"/>
      <c r="B77" s="650"/>
      <c r="C77" s="525"/>
      <c r="D77" s="486" t="s">
        <v>367</v>
      </c>
      <c r="E77" s="86"/>
      <c r="F77" s="660"/>
      <c r="G77" s="661"/>
      <c r="H77" s="256"/>
      <c r="I77" s="297"/>
      <c r="J77" s="297"/>
      <c r="K77" s="297"/>
      <c r="L77" s="297"/>
      <c r="M77" s="297"/>
      <c r="N77" s="297"/>
      <c r="O77" s="297"/>
      <c r="P77" s="297"/>
      <c r="Q77" s="297"/>
      <c r="R77" s="297"/>
      <c r="S77" s="297"/>
      <c r="T77" s="297"/>
      <c r="U77" s="297"/>
      <c r="V77" s="297"/>
      <c r="W77" s="297"/>
      <c r="X77" s="297"/>
      <c r="Y77" s="297"/>
      <c r="Z77" s="297"/>
      <c r="AA77" s="297"/>
      <c r="AB77" s="297"/>
      <c r="AC77" s="297"/>
      <c r="AD77" s="297"/>
      <c r="AE77" s="297"/>
      <c r="AF77" s="297"/>
      <c r="AG77" s="297"/>
      <c r="AH77" s="297"/>
      <c r="AI77" s="297"/>
      <c r="AJ77" s="297"/>
      <c r="AK77" s="306"/>
    </row>
    <row r="78">
      <c r="A78" s="648"/>
      <c r="B78" s="650"/>
      <c r="C78" s="525"/>
      <c r="D78" s="525"/>
      <c r="E78" s="143" t="s">
        <v>368</v>
      </c>
      <c r="F78" s="660" t="s">
        <v>108</v>
      </c>
      <c r="G78" s="661" t="s">
        <v>164</v>
      </c>
      <c r="H78" s="256" t="s">
        <v>165</v>
      </c>
      <c r="I78" s="297">
        <f t="shared" ref="I78:AJ78" si="12">I21</f>
        <v>1000000</v>
      </c>
      <c r="J78" s="297">
        <f t="shared" si="12"/>
        <v>1000000</v>
      </c>
      <c r="K78" s="297">
        <f t="shared" si="12"/>
        <v>1000000</v>
      </c>
      <c r="L78" s="297">
        <f t="shared" si="12"/>
        <v>1000000</v>
      </c>
      <c r="M78" s="297">
        <f t="shared" si="12"/>
        <v>1000000</v>
      </c>
      <c r="N78" s="297">
        <f t="shared" si="12"/>
        <v>1000000</v>
      </c>
      <c r="O78" s="297">
        <f t="shared" si="12"/>
        <v>1000000</v>
      </c>
      <c r="P78" s="297">
        <f t="shared" si="12"/>
        <v>1000000</v>
      </c>
      <c r="Q78" s="297">
        <f t="shared" si="12"/>
        <v>1000000</v>
      </c>
      <c r="R78" s="297">
        <f t="shared" si="12"/>
        <v>1000000</v>
      </c>
      <c r="S78" s="297">
        <f t="shared" si="12"/>
        <v>1000000</v>
      </c>
      <c r="T78" s="297">
        <f t="shared" si="12"/>
        <v>1000000</v>
      </c>
      <c r="U78" s="297">
        <f t="shared" si="12"/>
        <v>1000000</v>
      </c>
      <c r="V78" s="297">
        <f t="shared" si="12"/>
        <v>1000000</v>
      </c>
      <c r="W78" s="297">
        <f t="shared" si="12"/>
        <v>1000000</v>
      </c>
      <c r="X78" s="297">
        <f t="shared" si="12"/>
        <v>1000000</v>
      </c>
      <c r="Y78" s="297">
        <f t="shared" si="12"/>
        <v>1000000</v>
      </c>
      <c r="Z78" s="297">
        <f t="shared" si="12"/>
        <v>1000000</v>
      </c>
      <c r="AA78" s="297">
        <f t="shared" si="12"/>
        <v>1000000</v>
      </c>
      <c r="AB78" s="297">
        <f t="shared" si="12"/>
        <v>1000000</v>
      </c>
      <c r="AC78" s="297">
        <f t="shared" si="12"/>
        <v>1000000</v>
      </c>
      <c r="AD78" s="297">
        <f t="shared" si="12"/>
        <v>1000000</v>
      </c>
      <c r="AE78" s="297">
        <f t="shared" si="12"/>
        <v>1000000</v>
      </c>
      <c r="AF78" s="297">
        <f t="shared" si="12"/>
        <v>1000000</v>
      </c>
      <c r="AG78" s="297">
        <f t="shared" si="12"/>
        <v>1000000</v>
      </c>
      <c r="AH78" s="297">
        <f t="shared" si="12"/>
        <v>1000000</v>
      </c>
      <c r="AI78" s="297">
        <f t="shared" si="12"/>
        <v>1000000</v>
      </c>
      <c r="AJ78" s="297">
        <f t="shared" si="12"/>
        <v>1000000</v>
      </c>
      <c r="AK78" s="306"/>
    </row>
    <row r="79">
      <c r="A79" s="648"/>
      <c r="B79" s="650"/>
      <c r="C79" s="525"/>
      <c r="D79" s="525"/>
      <c r="E79" s="260" t="s">
        <v>371</v>
      </c>
      <c r="F79" s="171" t="s">
        <v>116</v>
      </c>
      <c r="G79" s="667" t="s">
        <v>164</v>
      </c>
      <c r="H79" s="223" t="s">
        <v>165</v>
      </c>
      <c r="I79" s="153">
        <f t="shared" ref="I79:AJ79" si="13">I78*I51</f>
        <v>106247.3232</v>
      </c>
      <c r="J79" s="153">
        <f t="shared" si="13"/>
        <v>81375.77049</v>
      </c>
      <c r="K79" s="153">
        <f t="shared" si="13"/>
        <v>45978.34434</v>
      </c>
      <c r="L79" s="153">
        <f t="shared" si="13"/>
        <v>71266.51034</v>
      </c>
      <c r="M79" s="153">
        <f t="shared" si="13"/>
        <v>60186.96921</v>
      </c>
      <c r="N79" s="153">
        <f t="shared" si="13"/>
        <v>24661.45968</v>
      </c>
      <c r="O79" s="153">
        <f t="shared" si="13"/>
        <v>70064.16363</v>
      </c>
      <c r="P79" s="153">
        <f t="shared" si="13"/>
        <v>168487.9669</v>
      </c>
      <c r="Q79" s="153">
        <f t="shared" si="13"/>
        <v>283129.835</v>
      </c>
      <c r="R79" s="153">
        <f t="shared" si="13"/>
        <v>96595.16769</v>
      </c>
      <c r="S79" s="153">
        <f t="shared" si="13"/>
        <v>20825.73875</v>
      </c>
      <c r="T79" s="153">
        <f t="shared" si="13"/>
        <v>11468.36257</v>
      </c>
      <c r="U79" s="153">
        <f t="shared" si="13"/>
        <v>43536.0334</v>
      </c>
      <c r="V79" s="153">
        <f t="shared" si="13"/>
        <v>24307.91905</v>
      </c>
      <c r="W79" s="153">
        <f t="shared" si="13"/>
        <v>61254.47613</v>
      </c>
      <c r="X79" s="153">
        <f t="shared" si="13"/>
        <v>18156.57542</v>
      </c>
      <c r="Y79" s="153">
        <f t="shared" si="13"/>
        <v>27402.57711</v>
      </c>
      <c r="Z79" s="153">
        <f t="shared" si="13"/>
        <v>15241.07795</v>
      </c>
      <c r="AA79" s="153">
        <f t="shared" si="13"/>
        <v>19823.94888</v>
      </c>
      <c r="AB79" s="153">
        <f t="shared" si="13"/>
        <v>54403.595</v>
      </c>
      <c r="AC79" s="153">
        <f t="shared" si="13"/>
        <v>22666.20064</v>
      </c>
      <c r="AD79" s="153">
        <f t="shared" si="13"/>
        <v>11567.30572</v>
      </c>
      <c r="AE79" s="153">
        <f t="shared" si="13"/>
        <v>35355.72675</v>
      </c>
      <c r="AF79" s="153">
        <f t="shared" si="13"/>
        <v>129816.9251</v>
      </c>
      <c r="AG79" s="153">
        <f t="shared" si="13"/>
        <v>26402.65478</v>
      </c>
      <c r="AH79" s="153">
        <f t="shared" si="13"/>
        <v>125335.572</v>
      </c>
      <c r="AI79" s="153">
        <f t="shared" si="13"/>
        <v>77833.00248</v>
      </c>
      <c r="AJ79" s="153">
        <f t="shared" si="13"/>
        <v>33528.72811</v>
      </c>
      <c r="AK79" s="168"/>
    </row>
    <row r="80">
      <c r="A80" s="648"/>
      <c r="B80" s="650"/>
      <c r="C80" s="525"/>
      <c r="D80" s="525"/>
      <c r="E80" s="260" t="s">
        <v>374</v>
      </c>
      <c r="F80" s="171" t="s">
        <v>116</v>
      </c>
      <c r="G80" s="667" t="s">
        <v>164</v>
      </c>
      <c r="H80" s="223" t="s">
        <v>165</v>
      </c>
      <c r="I80" s="153">
        <f t="shared" ref="I80:AJ80" si="14">I78*I62</f>
        <v>12310</v>
      </c>
      <c r="J80" s="153">
        <f t="shared" si="14"/>
        <v>12310</v>
      </c>
      <c r="K80" s="153">
        <f t="shared" si="14"/>
        <v>12310</v>
      </c>
      <c r="L80" s="153">
        <f t="shared" si="14"/>
        <v>12310</v>
      </c>
      <c r="M80" s="153">
        <f t="shared" si="14"/>
        <v>12310</v>
      </c>
      <c r="N80" s="153">
        <f t="shared" si="14"/>
        <v>5639.1</v>
      </c>
      <c r="O80" s="153">
        <f t="shared" si="14"/>
        <v>12310</v>
      </c>
      <c r="P80" s="153">
        <f t="shared" si="14"/>
        <v>5639.1</v>
      </c>
      <c r="Q80" s="153">
        <f t="shared" si="14"/>
        <v>5639.1</v>
      </c>
      <c r="R80" s="153">
        <f t="shared" si="14"/>
        <v>5639.1</v>
      </c>
      <c r="S80" s="153">
        <f t="shared" si="14"/>
        <v>5639.1</v>
      </c>
      <c r="T80" s="153">
        <f t="shared" si="14"/>
        <v>5639.1</v>
      </c>
      <c r="U80" s="153">
        <f t="shared" si="14"/>
        <v>5639.1</v>
      </c>
      <c r="V80" s="153">
        <f t="shared" si="14"/>
        <v>5639.1</v>
      </c>
      <c r="W80" s="153">
        <f t="shared" si="14"/>
        <v>5639.1</v>
      </c>
      <c r="X80" s="153">
        <f t="shared" si="14"/>
        <v>5639.1</v>
      </c>
      <c r="Y80" s="153">
        <f t="shared" si="14"/>
        <v>5639.1</v>
      </c>
      <c r="Z80" s="153">
        <f t="shared" si="14"/>
        <v>5639.1</v>
      </c>
      <c r="AA80" s="153">
        <f t="shared" si="14"/>
        <v>5639.1</v>
      </c>
      <c r="AB80" s="153">
        <f t="shared" si="14"/>
        <v>5639.1</v>
      </c>
      <c r="AC80" s="153">
        <f t="shared" si="14"/>
        <v>5639.1</v>
      </c>
      <c r="AD80" s="153">
        <f t="shared" si="14"/>
        <v>5639.1</v>
      </c>
      <c r="AE80" s="153">
        <f t="shared" si="14"/>
        <v>5639.1</v>
      </c>
      <c r="AF80" s="153">
        <f t="shared" si="14"/>
        <v>5639.1</v>
      </c>
      <c r="AG80" s="153">
        <f t="shared" si="14"/>
        <v>12310</v>
      </c>
      <c r="AH80" s="153">
        <f t="shared" si="14"/>
        <v>12310</v>
      </c>
      <c r="AI80" s="153">
        <f t="shared" si="14"/>
        <v>12310</v>
      </c>
      <c r="AJ80" s="153">
        <f t="shared" si="14"/>
        <v>5639.1</v>
      </c>
      <c r="AK80" s="168"/>
    </row>
    <row r="81">
      <c r="A81" s="648"/>
      <c r="B81" s="650"/>
      <c r="C81" s="525"/>
      <c r="D81" s="525"/>
      <c r="E81" s="260" t="s">
        <v>375</v>
      </c>
      <c r="F81" s="171" t="s">
        <v>116</v>
      </c>
      <c r="G81" s="667" t="s">
        <v>164</v>
      </c>
      <c r="H81" s="223" t="s">
        <v>165</v>
      </c>
      <c r="I81" s="153">
        <f t="shared" ref="I81:AJ81" si="15">I79-I80</f>
        <v>93937.32315</v>
      </c>
      <c r="J81" s="153">
        <f t="shared" si="15"/>
        <v>69065.77049</v>
      </c>
      <c r="K81" s="153">
        <f t="shared" si="15"/>
        <v>33668.34434</v>
      </c>
      <c r="L81" s="153">
        <f t="shared" si="15"/>
        <v>58956.51034</v>
      </c>
      <c r="M81" s="153">
        <f t="shared" si="15"/>
        <v>47876.96921</v>
      </c>
      <c r="N81" s="153">
        <f t="shared" si="15"/>
        <v>19022.35968</v>
      </c>
      <c r="O81" s="153">
        <f t="shared" si="15"/>
        <v>57754.16363</v>
      </c>
      <c r="P81" s="153">
        <f t="shared" si="15"/>
        <v>162848.8669</v>
      </c>
      <c r="Q81" s="153">
        <f t="shared" si="15"/>
        <v>277490.735</v>
      </c>
      <c r="R81" s="153">
        <f t="shared" si="15"/>
        <v>90956.06769</v>
      </c>
      <c r="S81" s="153">
        <f t="shared" si="15"/>
        <v>15186.63875</v>
      </c>
      <c r="T81" s="153">
        <f t="shared" si="15"/>
        <v>5829.26257</v>
      </c>
      <c r="U81" s="153">
        <f t="shared" si="15"/>
        <v>37896.9334</v>
      </c>
      <c r="V81" s="153">
        <f t="shared" si="15"/>
        <v>18668.81905</v>
      </c>
      <c r="W81" s="153">
        <f t="shared" si="15"/>
        <v>55615.37613</v>
      </c>
      <c r="X81" s="153">
        <f t="shared" si="15"/>
        <v>12517.47542</v>
      </c>
      <c r="Y81" s="153">
        <f t="shared" si="15"/>
        <v>21763.47711</v>
      </c>
      <c r="Z81" s="153">
        <f t="shared" si="15"/>
        <v>9601.977949</v>
      </c>
      <c r="AA81" s="153">
        <f t="shared" si="15"/>
        <v>14184.84888</v>
      </c>
      <c r="AB81" s="153">
        <f t="shared" si="15"/>
        <v>48764.495</v>
      </c>
      <c r="AC81" s="153">
        <f t="shared" si="15"/>
        <v>17027.10064</v>
      </c>
      <c r="AD81" s="153">
        <f t="shared" si="15"/>
        <v>5928.205718</v>
      </c>
      <c r="AE81" s="153">
        <f t="shared" si="15"/>
        <v>29716.62675</v>
      </c>
      <c r="AF81" s="153">
        <f t="shared" si="15"/>
        <v>124177.8251</v>
      </c>
      <c r="AG81" s="153">
        <f t="shared" si="15"/>
        <v>14092.65478</v>
      </c>
      <c r="AH81" s="153">
        <f t="shared" si="15"/>
        <v>113025.572</v>
      </c>
      <c r="AI81" s="153">
        <f t="shared" si="15"/>
        <v>65523.00248</v>
      </c>
      <c r="AJ81" s="153">
        <f t="shared" si="15"/>
        <v>27889.62811</v>
      </c>
      <c r="AK81" s="168"/>
    </row>
    <row r="82">
      <c r="A82" s="648"/>
      <c r="B82" s="650"/>
      <c r="C82" s="525"/>
      <c r="D82" s="525"/>
      <c r="E82" s="260" t="s">
        <v>360</v>
      </c>
      <c r="F82" s="171" t="s">
        <v>116</v>
      </c>
      <c r="G82" s="667" t="s">
        <v>164</v>
      </c>
      <c r="H82" s="223" t="s">
        <v>165</v>
      </c>
      <c r="I82" s="153">
        <f t="shared" ref="I82:AJ82" si="16">-I81</f>
        <v>-93937.32315</v>
      </c>
      <c r="J82" s="153">
        <f t="shared" si="16"/>
        <v>-69065.77049</v>
      </c>
      <c r="K82" s="153">
        <f t="shared" si="16"/>
        <v>-33668.34434</v>
      </c>
      <c r="L82" s="153">
        <f t="shared" si="16"/>
        <v>-58956.51034</v>
      </c>
      <c r="M82" s="153">
        <f t="shared" si="16"/>
        <v>-47876.96921</v>
      </c>
      <c r="N82" s="153">
        <f t="shared" si="16"/>
        <v>-19022.35968</v>
      </c>
      <c r="O82" s="153">
        <f t="shared" si="16"/>
        <v>-57754.16363</v>
      </c>
      <c r="P82" s="153">
        <f t="shared" si="16"/>
        <v>-162848.8669</v>
      </c>
      <c r="Q82" s="153">
        <f t="shared" si="16"/>
        <v>-277490.735</v>
      </c>
      <c r="R82" s="153">
        <f t="shared" si="16"/>
        <v>-90956.06769</v>
      </c>
      <c r="S82" s="153">
        <f t="shared" si="16"/>
        <v>-15186.63875</v>
      </c>
      <c r="T82" s="153">
        <f t="shared" si="16"/>
        <v>-5829.26257</v>
      </c>
      <c r="U82" s="153">
        <f t="shared" si="16"/>
        <v>-37896.9334</v>
      </c>
      <c r="V82" s="153">
        <f t="shared" si="16"/>
        <v>-18668.81905</v>
      </c>
      <c r="W82" s="153">
        <f t="shared" si="16"/>
        <v>-55615.37613</v>
      </c>
      <c r="X82" s="153">
        <f t="shared" si="16"/>
        <v>-12517.47542</v>
      </c>
      <c r="Y82" s="153">
        <f t="shared" si="16"/>
        <v>-21763.47711</v>
      </c>
      <c r="Z82" s="153">
        <f t="shared" si="16"/>
        <v>-9601.977949</v>
      </c>
      <c r="AA82" s="153">
        <f t="shared" si="16"/>
        <v>-14184.84888</v>
      </c>
      <c r="AB82" s="153">
        <f t="shared" si="16"/>
        <v>-48764.495</v>
      </c>
      <c r="AC82" s="153">
        <f t="shared" si="16"/>
        <v>-17027.10064</v>
      </c>
      <c r="AD82" s="153">
        <f t="shared" si="16"/>
        <v>-5928.205718</v>
      </c>
      <c r="AE82" s="153">
        <f t="shared" si="16"/>
        <v>-29716.62675</v>
      </c>
      <c r="AF82" s="153">
        <f t="shared" si="16"/>
        <v>-124177.8251</v>
      </c>
      <c r="AG82" s="153">
        <f t="shared" si="16"/>
        <v>-14092.65478</v>
      </c>
      <c r="AH82" s="153">
        <f t="shared" si="16"/>
        <v>-113025.572</v>
      </c>
      <c r="AI82" s="153">
        <f t="shared" si="16"/>
        <v>-65523.00248</v>
      </c>
      <c r="AJ82" s="153">
        <f t="shared" si="16"/>
        <v>-27889.62811</v>
      </c>
      <c r="AK82" s="168"/>
    </row>
    <row r="83">
      <c r="A83" s="648"/>
      <c r="B83" s="650"/>
      <c r="C83" s="525"/>
      <c r="D83" s="525"/>
      <c r="E83" s="260" t="s">
        <v>362</v>
      </c>
      <c r="F83" s="171" t="str">
        <f>F35</f>
        <v>%</v>
      </c>
      <c r="G83" s="667" t="s">
        <v>60</v>
      </c>
      <c r="H83" s="316" t="str">
        <f t="shared" ref="H83:AJ83" si="17">H35</f>
        <v>-</v>
      </c>
      <c r="I83" s="187">
        <f t="shared" si="17"/>
        <v>0.2</v>
      </c>
      <c r="J83" s="187">
        <f t="shared" si="17"/>
        <v>0.33</v>
      </c>
      <c r="K83" s="187">
        <f t="shared" si="17"/>
        <v>0.35</v>
      </c>
      <c r="L83" s="187">
        <f t="shared" si="17"/>
        <v>0.1</v>
      </c>
      <c r="M83" s="187">
        <f t="shared" si="17"/>
        <v>0.35</v>
      </c>
      <c r="N83" s="187">
        <f t="shared" si="17"/>
        <v>0.25</v>
      </c>
      <c r="O83" s="187">
        <f t="shared" si="17"/>
        <v>0.2</v>
      </c>
      <c r="P83" s="187">
        <f t="shared" si="17"/>
        <v>0.25</v>
      </c>
      <c r="Q83" s="187">
        <f t="shared" si="17"/>
        <v>0.2</v>
      </c>
      <c r="R83" s="187">
        <f t="shared" si="17"/>
        <v>0.15</v>
      </c>
      <c r="S83" s="187">
        <f t="shared" si="17"/>
        <v>0.15</v>
      </c>
      <c r="T83" s="187">
        <f t="shared" si="17"/>
        <v>0.15</v>
      </c>
      <c r="U83" s="187">
        <f t="shared" si="17"/>
        <v>0.15</v>
      </c>
      <c r="V83" s="187">
        <f t="shared" si="17"/>
        <v>0.15</v>
      </c>
      <c r="W83" s="187">
        <f t="shared" si="17"/>
        <v>0.15</v>
      </c>
      <c r="X83" s="187">
        <f t="shared" si="17"/>
        <v>0.15</v>
      </c>
      <c r="Y83" s="187">
        <f t="shared" si="17"/>
        <v>0.15</v>
      </c>
      <c r="Z83" s="187">
        <f t="shared" si="17"/>
        <v>0.15</v>
      </c>
      <c r="AA83" s="187">
        <f t="shared" si="17"/>
        <v>0.15</v>
      </c>
      <c r="AB83" s="187">
        <f t="shared" si="17"/>
        <v>0.15</v>
      </c>
      <c r="AC83" s="187">
        <f t="shared" si="17"/>
        <v>0.15</v>
      </c>
      <c r="AD83" s="187">
        <f t="shared" si="17"/>
        <v>0.15</v>
      </c>
      <c r="AE83" s="187">
        <f t="shared" si="17"/>
        <v>0.15</v>
      </c>
      <c r="AF83" s="187">
        <f t="shared" si="17"/>
        <v>0.15</v>
      </c>
      <c r="AG83" s="187">
        <f t="shared" si="17"/>
        <v>0.3</v>
      </c>
      <c r="AH83" s="187">
        <f t="shared" si="17"/>
        <v>0.4</v>
      </c>
      <c r="AI83" s="187">
        <f t="shared" si="17"/>
        <v>0.3</v>
      </c>
      <c r="AJ83" s="187">
        <f t="shared" si="17"/>
        <v>0.3</v>
      </c>
      <c r="AK83" s="204"/>
    </row>
    <row r="84">
      <c r="A84" s="648"/>
      <c r="B84" s="650"/>
      <c r="C84" s="525"/>
      <c r="D84" s="525"/>
      <c r="E84" s="175" t="s">
        <v>363</v>
      </c>
      <c r="F84" s="192" t="s">
        <v>116</v>
      </c>
      <c r="G84" s="676" t="s">
        <v>164</v>
      </c>
      <c r="H84" s="235" t="s">
        <v>165</v>
      </c>
      <c r="I84" s="200">
        <f t="shared" ref="I84:AJ84" si="18">I82*I83</f>
        <v>-18787.46463</v>
      </c>
      <c r="J84" s="200">
        <f t="shared" si="18"/>
        <v>-22791.70426</v>
      </c>
      <c r="K84" s="200">
        <f t="shared" si="18"/>
        <v>-11783.92052</v>
      </c>
      <c r="L84" s="200">
        <f t="shared" si="18"/>
        <v>-5895.651034</v>
      </c>
      <c r="M84" s="200">
        <f t="shared" si="18"/>
        <v>-16756.93922</v>
      </c>
      <c r="N84" s="200">
        <f t="shared" si="18"/>
        <v>-4755.58992</v>
      </c>
      <c r="O84" s="200">
        <f t="shared" si="18"/>
        <v>-11550.83273</v>
      </c>
      <c r="P84" s="200">
        <f t="shared" si="18"/>
        <v>-40712.21673</v>
      </c>
      <c r="Q84" s="200">
        <f t="shared" si="18"/>
        <v>-55498.147</v>
      </c>
      <c r="R84" s="200">
        <f t="shared" si="18"/>
        <v>-13643.41015</v>
      </c>
      <c r="S84" s="200">
        <f t="shared" si="18"/>
        <v>-2277.995812</v>
      </c>
      <c r="T84" s="200">
        <f t="shared" si="18"/>
        <v>-874.3893855</v>
      </c>
      <c r="U84" s="200">
        <f t="shared" si="18"/>
        <v>-5684.540009</v>
      </c>
      <c r="V84" s="200">
        <f t="shared" si="18"/>
        <v>-2800.322858</v>
      </c>
      <c r="W84" s="200">
        <f t="shared" si="18"/>
        <v>-8342.306419</v>
      </c>
      <c r="X84" s="200">
        <f t="shared" si="18"/>
        <v>-1877.621314</v>
      </c>
      <c r="Y84" s="200">
        <f t="shared" si="18"/>
        <v>-3264.521567</v>
      </c>
      <c r="Z84" s="200">
        <f t="shared" si="18"/>
        <v>-1440.296692</v>
      </c>
      <c r="AA84" s="200">
        <f t="shared" si="18"/>
        <v>-2127.727332</v>
      </c>
      <c r="AB84" s="200">
        <f t="shared" si="18"/>
        <v>-7314.67425</v>
      </c>
      <c r="AC84" s="200">
        <f t="shared" si="18"/>
        <v>-2554.065096</v>
      </c>
      <c r="AD84" s="200">
        <f t="shared" si="18"/>
        <v>-889.2308577</v>
      </c>
      <c r="AE84" s="200">
        <f t="shared" si="18"/>
        <v>-4457.494012</v>
      </c>
      <c r="AF84" s="200">
        <f t="shared" si="18"/>
        <v>-18626.67376</v>
      </c>
      <c r="AG84" s="200">
        <f t="shared" si="18"/>
        <v>-4227.796434</v>
      </c>
      <c r="AH84" s="200">
        <f t="shared" si="18"/>
        <v>-45210.22879</v>
      </c>
      <c r="AI84" s="200">
        <f t="shared" si="18"/>
        <v>-19656.90074</v>
      </c>
      <c r="AJ84" s="200">
        <f t="shared" si="18"/>
        <v>-8366.888433</v>
      </c>
      <c r="AK84" s="207"/>
    </row>
    <row r="85">
      <c r="A85" s="648"/>
      <c r="B85" s="650"/>
      <c r="C85" s="525"/>
      <c r="D85" s="525"/>
      <c r="E85" s="299"/>
      <c r="F85" s="651"/>
      <c r="G85" s="652"/>
      <c r="H85" s="653"/>
      <c r="I85" s="654"/>
      <c r="J85" s="654"/>
      <c r="K85" s="654"/>
      <c r="L85" s="654"/>
      <c r="M85" s="654"/>
      <c r="N85" s="654"/>
      <c r="O85" s="654"/>
      <c r="P85" s="654"/>
      <c r="Q85" s="654"/>
      <c r="R85" s="654"/>
      <c r="S85" s="654"/>
      <c r="T85" s="654"/>
      <c r="U85" s="654"/>
      <c r="V85" s="654"/>
      <c r="W85" s="654"/>
      <c r="X85" s="654"/>
      <c r="Y85" s="654"/>
      <c r="Z85" s="654"/>
      <c r="AA85" s="654"/>
      <c r="AB85" s="654"/>
      <c r="AC85" s="654"/>
      <c r="AD85" s="654"/>
      <c r="AE85" s="654"/>
      <c r="AF85" s="654"/>
      <c r="AG85" s="654"/>
      <c r="AH85" s="654"/>
      <c r="AI85" s="654"/>
      <c r="AJ85" s="654"/>
      <c r="AK85" s="656"/>
    </row>
    <row r="86">
      <c r="A86" s="648"/>
      <c r="B86" s="650"/>
      <c r="C86" s="130" t="s">
        <v>382</v>
      </c>
      <c r="F86" s="651"/>
      <c r="G86" s="652"/>
      <c r="H86" s="653"/>
      <c r="I86" s="654"/>
      <c r="J86" s="654"/>
      <c r="K86" s="654"/>
      <c r="L86" s="654"/>
      <c r="M86" s="654"/>
      <c r="N86" s="654"/>
      <c r="O86" s="654"/>
      <c r="P86" s="654"/>
      <c r="Q86" s="654"/>
      <c r="R86" s="654"/>
      <c r="S86" s="654"/>
      <c r="T86" s="654"/>
      <c r="U86" s="654"/>
      <c r="V86" s="654"/>
      <c r="W86" s="654"/>
      <c r="X86" s="654"/>
      <c r="Y86" s="654"/>
      <c r="Z86" s="654"/>
      <c r="AA86" s="654"/>
      <c r="AB86" s="654"/>
      <c r="AC86" s="654"/>
      <c r="AD86" s="654"/>
      <c r="AE86" s="654"/>
      <c r="AF86" s="654"/>
      <c r="AG86" s="654"/>
      <c r="AH86" s="654"/>
      <c r="AI86" s="654"/>
      <c r="AJ86" s="654"/>
      <c r="AK86" s="656"/>
    </row>
    <row r="87">
      <c r="A87" s="648"/>
      <c r="B87" s="650"/>
      <c r="C87" s="525"/>
      <c r="D87" s="486" t="s">
        <v>345</v>
      </c>
      <c r="E87" s="86"/>
      <c r="F87" s="660"/>
      <c r="G87" s="661"/>
      <c r="H87" s="256"/>
      <c r="I87" s="297"/>
      <c r="J87" s="297"/>
      <c r="K87" s="297"/>
      <c r="L87" s="297"/>
      <c r="M87" s="297"/>
      <c r="N87" s="297"/>
      <c r="O87" s="297"/>
      <c r="P87" s="297"/>
      <c r="Q87" s="297"/>
      <c r="R87" s="297"/>
      <c r="S87" s="297"/>
      <c r="T87" s="297"/>
      <c r="U87" s="297"/>
      <c r="V87" s="297"/>
      <c r="W87" s="297"/>
      <c r="X87" s="297"/>
      <c r="Y87" s="297"/>
      <c r="Z87" s="297"/>
      <c r="AA87" s="297"/>
      <c r="AB87" s="297"/>
      <c r="AC87" s="297"/>
      <c r="AD87" s="297"/>
      <c r="AE87" s="297"/>
      <c r="AF87" s="297"/>
      <c r="AG87" s="297"/>
      <c r="AH87" s="297"/>
      <c r="AI87" s="297"/>
      <c r="AJ87" s="297"/>
      <c r="AK87" s="306"/>
    </row>
    <row r="88">
      <c r="A88" s="648"/>
      <c r="B88" s="650"/>
      <c r="C88" s="525"/>
      <c r="D88" s="525"/>
      <c r="E88" s="143" t="s">
        <v>384</v>
      </c>
      <c r="F88" s="660" t="s">
        <v>108</v>
      </c>
      <c r="G88" s="661" t="s">
        <v>164</v>
      </c>
      <c r="H88" s="256" t="s">
        <v>165</v>
      </c>
      <c r="I88" s="297">
        <f t="shared" ref="I88:AJ88" si="19">I25*(1-I42)</f>
        <v>471854.8046</v>
      </c>
      <c r="J88" s="297">
        <f t="shared" si="19"/>
        <v>468500.8893</v>
      </c>
      <c r="K88" s="297">
        <f t="shared" si="19"/>
        <v>475969.7169</v>
      </c>
      <c r="L88" s="297">
        <f t="shared" si="19"/>
        <v>475969.7169</v>
      </c>
      <c r="M88" s="297">
        <f t="shared" si="19"/>
        <v>460590.7076</v>
      </c>
      <c r="N88" s="297">
        <f t="shared" si="19"/>
        <v>475969.7169</v>
      </c>
      <c r="O88" s="297">
        <f t="shared" si="19"/>
        <v>475969.7169</v>
      </c>
      <c r="P88" s="297">
        <f t="shared" si="19"/>
        <v>487474.2675</v>
      </c>
      <c r="Q88" s="297">
        <f t="shared" si="19"/>
        <v>482999.3098</v>
      </c>
      <c r="R88" s="297">
        <f t="shared" si="19"/>
        <v>475969.7169</v>
      </c>
      <c r="S88" s="297">
        <f t="shared" si="19"/>
        <v>475969.7169</v>
      </c>
      <c r="T88" s="297">
        <f t="shared" si="19"/>
        <v>475969.7169</v>
      </c>
      <c r="U88" s="297">
        <f t="shared" si="19"/>
        <v>475969.7169</v>
      </c>
      <c r="V88" s="297">
        <f t="shared" si="19"/>
        <v>475969.7169</v>
      </c>
      <c r="W88" s="297">
        <f t="shared" si="19"/>
        <v>475969.7169</v>
      </c>
      <c r="X88" s="297">
        <f t="shared" si="19"/>
        <v>475969.7169</v>
      </c>
      <c r="Y88" s="297">
        <f t="shared" si="19"/>
        <v>475969.7169</v>
      </c>
      <c r="Z88" s="297">
        <f t="shared" si="19"/>
        <v>475969.7169</v>
      </c>
      <c r="AA88" s="297">
        <f t="shared" si="19"/>
        <v>475969.7169</v>
      </c>
      <c r="AB88" s="297">
        <f t="shared" si="19"/>
        <v>475969.7169</v>
      </c>
      <c r="AC88" s="297">
        <f t="shared" si="19"/>
        <v>475969.7169</v>
      </c>
      <c r="AD88" s="297">
        <f t="shared" si="19"/>
        <v>475969.7169</v>
      </c>
      <c r="AE88" s="297">
        <f t="shared" si="19"/>
        <v>475969.7169</v>
      </c>
      <c r="AF88" s="297">
        <f t="shared" si="19"/>
        <v>475969.7169</v>
      </c>
      <c r="AG88" s="297">
        <f t="shared" si="19"/>
        <v>428571.4286</v>
      </c>
      <c r="AH88" s="297">
        <f t="shared" si="19"/>
        <v>428571.4286</v>
      </c>
      <c r="AI88" s="297">
        <f t="shared" si="19"/>
        <v>428571.4286</v>
      </c>
      <c r="AJ88" s="297">
        <f t="shared" si="19"/>
        <v>428571.4286</v>
      </c>
      <c r="AK88" s="306"/>
    </row>
    <row r="89">
      <c r="A89" s="648"/>
      <c r="B89" s="650"/>
      <c r="C89" s="525"/>
      <c r="D89" s="525"/>
      <c r="E89" s="260" t="s">
        <v>387</v>
      </c>
      <c r="F89" s="171" t="s">
        <v>116</v>
      </c>
      <c r="G89" s="667" t="s">
        <v>164</v>
      </c>
      <c r="H89" s="223" t="s">
        <v>165</v>
      </c>
      <c r="I89" s="153">
        <f t="shared" ref="I89:AJ89" si="20">I88*$H60</f>
        <v>2386.169747</v>
      </c>
      <c r="J89" s="153">
        <f t="shared" si="20"/>
        <v>2369.208997</v>
      </c>
      <c r="K89" s="153">
        <f t="shared" si="20"/>
        <v>2406.978858</v>
      </c>
      <c r="L89" s="153">
        <f t="shared" si="20"/>
        <v>2406.978858</v>
      </c>
      <c r="M89" s="153">
        <f t="shared" si="20"/>
        <v>2329.207208</v>
      </c>
      <c r="N89" s="153">
        <f t="shared" si="20"/>
        <v>2406.978858</v>
      </c>
      <c r="O89" s="153">
        <f t="shared" si="20"/>
        <v>2406.978858</v>
      </c>
      <c r="P89" s="153">
        <f t="shared" si="20"/>
        <v>2465.157371</v>
      </c>
      <c r="Q89" s="153">
        <f t="shared" si="20"/>
        <v>2442.52751</v>
      </c>
      <c r="R89" s="153">
        <f t="shared" si="20"/>
        <v>2406.978858</v>
      </c>
      <c r="S89" s="153">
        <f t="shared" si="20"/>
        <v>2406.978858</v>
      </c>
      <c r="T89" s="153">
        <f t="shared" si="20"/>
        <v>2406.978858</v>
      </c>
      <c r="U89" s="153">
        <f t="shared" si="20"/>
        <v>2406.978858</v>
      </c>
      <c r="V89" s="153">
        <f t="shared" si="20"/>
        <v>2406.978858</v>
      </c>
      <c r="W89" s="153">
        <f t="shared" si="20"/>
        <v>2406.978858</v>
      </c>
      <c r="X89" s="153">
        <f t="shared" si="20"/>
        <v>2406.978858</v>
      </c>
      <c r="Y89" s="153">
        <f t="shared" si="20"/>
        <v>2406.978858</v>
      </c>
      <c r="Z89" s="153">
        <f t="shared" si="20"/>
        <v>2406.978858</v>
      </c>
      <c r="AA89" s="153">
        <f t="shared" si="20"/>
        <v>2406.978858</v>
      </c>
      <c r="AB89" s="153">
        <f t="shared" si="20"/>
        <v>2406.978858</v>
      </c>
      <c r="AC89" s="153">
        <f t="shared" si="20"/>
        <v>2406.978858</v>
      </c>
      <c r="AD89" s="153">
        <f t="shared" si="20"/>
        <v>2406.978858</v>
      </c>
      <c r="AE89" s="153">
        <f t="shared" si="20"/>
        <v>2406.978858</v>
      </c>
      <c r="AF89" s="153">
        <f t="shared" si="20"/>
        <v>2406.978858</v>
      </c>
      <c r="AG89" s="153">
        <f t="shared" si="20"/>
        <v>2167.285714</v>
      </c>
      <c r="AH89" s="153">
        <f t="shared" si="20"/>
        <v>2167.285714</v>
      </c>
      <c r="AI89" s="153">
        <f t="shared" si="20"/>
        <v>2167.285714</v>
      </c>
      <c r="AJ89" s="153">
        <f t="shared" si="20"/>
        <v>2167.285714</v>
      </c>
      <c r="AK89" s="168"/>
    </row>
    <row r="90">
      <c r="A90" s="648"/>
      <c r="B90" s="650"/>
      <c r="C90" s="525"/>
      <c r="D90" s="525"/>
      <c r="E90" s="260" t="s">
        <v>388</v>
      </c>
      <c r="F90" s="171" t="s">
        <v>116</v>
      </c>
      <c r="G90" s="667" t="s">
        <v>164</v>
      </c>
      <c r="H90" s="223" t="s">
        <v>165</v>
      </c>
      <c r="I90" s="225">
        <v>0.0</v>
      </c>
      <c r="J90" s="225">
        <v>0.0</v>
      </c>
      <c r="K90" s="225">
        <v>0.0</v>
      </c>
      <c r="L90" s="225">
        <v>0.0</v>
      </c>
      <c r="M90" s="225">
        <v>0.0</v>
      </c>
      <c r="N90" s="225">
        <v>0.0</v>
      </c>
      <c r="O90" s="225">
        <v>0.0</v>
      </c>
      <c r="P90" s="225">
        <v>0.0</v>
      </c>
      <c r="Q90" s="225">
        <v>0.0</v>
      </c>
      <c r="R90" s="225">
        <v>0.0</v>
      </c>
      <c r="S90" s="225">
        <v>0.0</v>
      </c>
      <c r="T90" s="225">
        <v>0.0</v>
      </c>
      <c r="U90" s="225">
        <v>0.0</v>
      </c>
      <c r="V90" s="225">
        <v>0.0</v>
      </c>
      <c r="W90" s="225">
        <v>0.0</v>
      </c>
      <c r="X90" s="225">
        <v>0.0</v>
      </c>
      <c r="Y90" s="225">
        <v>0.0</v>
      </c>
      <c r="Z90" s="225">
        <v>0.0</v>
      </c>
      <c r="AA90" s="225">
        <v>0.0</v>
      </c>
      <c r="AB90" s="225">
        <v>0.0</v>
      </c>
      <c r="AC90" s="225">
        <v>0.0</v>
      </c>
      <c r="AD90" s="225">
        <v>0.0</v>
      </c>
      <c r="AE90" s="225">
        <v>0.0</v>
      </c>
      <c r="AF90" s="225">
        <v>0.0</v>
      </c>
      <c r="AG90" s="153">
        <v>0.0</v>
      </c>
      <c r="AH90" s="153">
        <v>0.0</v>
      </c>
      <c r="AI90" s="153">
        <v>0.0</v>
      </c>
      <c r="AJ90" s="153">
        <v>0.0</v>
      </c>
      <c r="AK90" s="168"/>
    </row>
    <row r="91">
      <c r="A91" s="648"/>
      <c r="B91" s="650"/>
      <c r="C91" s="525"/>
      <c r="D91" s="525"/>
      <c r="E91" s="260" t="s">
        <v>389</v>
      </c>
      <c r="F91" s="171" t="s">
        <v>116</v>
      </c>
      <c r="G91" s="667" t="s">
        <v>164</v>
      </c>
      <c r="H91" s="223" t="s">
        <v>165</v>
      </c>
      <c r="I91" s="153">
        <f t="shared" ref="I91:AJ91" si="21">I89-I90</f>
        <v>2386.169747</v>
      </c>
      <c r="J91" s="153">
        <f t="shared" si="21"/>
        <v>2369.208997</v>
      </c>
      <c r="K91" s="153">
        <f t="shared" si="21"/>
        <v>2406.978858</v>
      </c>
      <c r="L91" s="153">
        <f t="shared" si="21"/>
        <v>2406.978858</v>
      </c>
      <c r="M91" s="153">
        <f t="shared" si="21"/>
        <v>2329.207208</v>
      </c>
      <c r="N91" s="153">
        <f t="shared" si="21"/>
        <v>2406.978858</v>
      </c>
      <c r="O91" s="153">
        <f t="shared" si="21"/>
        <v>2406.978858</v>
      </c>
      <c r="P91" s="153">
        <f t="shared" si="21"/>
        <v>2465.157371</v>
      </c>
      <c r="Q91" s="153">
        <f t="shared" si="21"/>
        <v>2442.52751</v>
      </c>
      <c r="R91" s="153">
        <f t="shared" si="21"/>
        <v>2406.978858</v>
      </c>
      <c r="S91" s="153">
        <f t="shared" si="21"/>
        <v>2406.978858</v>
      </c>
      <c r="T91" s="153">
        <f t="shared" si="21"/>
        <v>2406.978858</v>
      </c>
      <c r="U91" s="153">
        <f t="shared" si="21"/>
        <v>2406.978858</v>
      </c>
      <c r="V91" s="153">
        <f t="shared" si="21"/>
        <v>2406.978858</v>
      </c>
      <c r="W91" s="153">
        <f t="shared" si="21"/>
        <v>2406.978858</v>
      </c>
      <c r="X91" s="153">
        <f t="shared" si="21"/>
        <v>2406.978858</v>
      </c>
      <c r="Y91" s="153">
        <f t="shared" si="21"/>
        <v>2406.978858</v>
      </c>
      <c r="Z91" s="153">
        <f t="shared" si="21"/>
        <v>2406.978858</v>
      </c>
      <c r="AA91" s="153">
        <f t="shared" si="21"/>
        <v>2406.978858</v>
      </c>
      <c r="AB91" s="153">
        <f t="shared" si="21"/>
        <v>2406.978858</v>
      </c>
      <c r="AC91" s="153">
        <f t="shared" si="21"/>
        <v>2406.978858</v>
      </c>
      <c r="AD91" s="153">
        <f t="shared" si="21"/>
        <v>2406.978858</v>
      </c>
      <c r="AE91" s="153">
        <f t="shared" si="21"/>
        <v>2406.978858</v>
      </c>
      <c r="AF91" s="153">
        <f t="shared" si="21"/>
        <v>2406.978858</v>
      </c>
      <c r="AG91" s="153">
        <f t="shared" si="21"/>
        <v>2167.285714</v>
      </c>
      <c r="AH91" s="153">
        <f t="shared" si="21"/>
        <v>2167.285714</v>
      </c>
      <c r="AI91" s="153">
        <f t="shared" si="21"/>
        <v>2167.285714</v>
      </c>
      <c r="AJ91" s="153">
        <f t="shared" si="21"/>
        <v>2167.285714</v>
      </c>
      <c r="AK91" s="168"/>
    </row>
    <row r="92">
      <c r="A92" s="648"/>
      <c r="B92" s="650"/>
      <c r="C92" s="525"/>
      <c r="D92" s="486" t="s">
        <v>392</v>
      </c>
      <c r="E92" s="86"/>
      <c r="F92" s="171"/>
      <c r="G92" s="667"/>
      <c r="H92" s="22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3"/>
      <c r="AH92" s="153"/>
      <c r="AI92" s="153"/>
      <c r="AJ92" s="153"/>
      <c r="AK92" s="168"/>
    </row>
    <row r="93">
      <c r="A93" s="648"/>
      <c r="B93" s="650"/>
      <c r="C93" s="525"/>
      <c r="D93" s="525"/>
      <c r="E93" s="260" t="s">
        <v>394</v>
      </c>
      <c r="F93" s="660" t="s">
        <v>108</v>
      </c>
      <c r="G93" s="661" t="s">
        <v>164</v>
      </c>
      <c r="H93" s="223" t="s">
        <v>165</v>
      </c>
      <c r="I93" s="689">
        <f t="shared" ref="I93:AJ93" si="22">I22*(1-I42)</f>
        <v>100994.5441</v>
      </c>
      <c r="J93" s="689">
        <f t="shared" si="22"/>
        <v>93168.74168</v>
      </c>
      <c r="K93" s="689">
        <f t="shared" si="22"/>
        <v>110596.0061</v>
      </c>
      <c r="L93" s="689">
        <f t="shared" si="22"/>
        <v>110596.0061</v>
      </c>
      <c r="M93" s="689">
        <f t="shared" si="22"/>
        <v>74711.65103</v>
      </c>
      <c r="N93" s="689">
        <f t="shared" si="22"/>
        <v>110596.0061</v>
      </c>
      <c r="O93" s="689">
        <f t="shared" si="22"/>
        <v>110596.0061</v>
      </c>
      <c r="P93" s="689">
        <f t="shared" si="22"/>
        <v>137439.9574</v>
      </c>
      <c r="Q93" s="689">
        <f t="shared" si="22"/>
        <v>126998.2285</v>
      </c>
      <c r="R93" s="689">
        <f t="shared" si="22"/>
        <v>110596.0061</v>
      </c>
      <c r="S93" s="689">
        <f t="shared" si="22"/>
        <v>110596.0061</v>
      </c>
      <c r="T93" s="689">
        <f t="shared" si="22"/>
        <v>110596.0061</v>
      </c>
      <c r="U93" s="689">
        <f t="shared" si="22"/>
        <v>110596.0061</v>
      </c>
      <c r="V93" s="689">
        <f t="shared" si="22"/>
        <v>110596.0061</v>
      </c>
      <c r="W93" s="689">
        <f t="shared" si="22"/>
        <v>110596.0061</v>
      </c>
      <c r="X93" s="689">
        <f t="shared" si="22"/>
        <v>110596.0061</v>
      </c>
      <c r="Y93" s="689">
        <f t="shared" si="22"/>
        <v>110596.0061</v>
      </c>
      <c r="Z93" s="689">
        <f t="shared" si="22"/>
        <v>110596.0061</v>
      </c>
      <c r="AA93" s="689">
        <f t="shared" si="22"/>
        <v>110596.0061</v>
      </c>
      <c r="AB93" s="689">
        <f t="shared" si="22"/>
        <v>110596.0061</v>
      </c>
      <c r="AC93" s="689">
        <f t="shared" si="22"/>
        <v>110596.0061</v>
      </c>
      <c r="AD93" s="689">
        <f t="shared" si="22"/>
        <v>110596.0061</v>
      </c>
      <c r="AE93" s="689">
        <f t="shared" si="22"/>
        <v>110596.0061</v>
      </c>
      <c r="AF93" s="689">
        <f t="shared" si="22"/>
        <v>110596.0061</v>
      </c>
      <c r="AG93" s="689">
        <f t="shared" si="22"/>
        <v>0</v>
      </c>
      <c r="AH93" s="689">
        <f t="shared" si="22"/>
        <v>0</v>
      </c>
      <c r="AI93" s="689">
        <f t="shared" si="22"/>
        <v>0</v>
      </c>
      <c r="AJ93" s="689">
        <f t="shared" si="22"/>
        <v>0</v>
      </c>
      <c r="AK93" s="692"/>
    </row>
    <row r="94">
      <c r="A94" s="648"/>
      <c r="B94" s="650"/>
      <c r="C94" s="525"/>
      <c r="D94" s="525"/>
      <c r="E94" s="260" t="s">
        <v>398</v>
      </c>
      <c r="F94" s="171" t="s">
        <v>116</v>
      </c>
      <c r="G94" s="667" t="s">
        <v>164</v>
      </c>
      <c r="H94" s="223" t="s">
        <v>165</v>
      </c>
      <c r="I94" s="153">
        <f t="shared" ref="I94:AJ94" si="23">I93*$H61</f>
        <v>569.5183336</v>
      </c>
      <c r="J94" s="153">
        <f t="shared" si="23"/>
        <v>525.3878512</v>
      </c>
      <c r="K94" s="153">
        <f t="shared" si="23"/>
        <v>623.661938</v>
      </c>
      <c r="L94" s="153">
        <f t="shared" si="23"/>
        <v>623.661938</v>
      </c>
      <c r="M94" s="153">
        <f t="shared" si="23"/>
        <v>421.3064713</v>
      </c>
      <c r="N94" s="153">
        <f t="shared" si="23"/>
        <v>623.661938</v>
      </c>
      <c r="O94" s="153">
        <f t="shared" si="23"/>
        <v>623.661938</v>
      </c>
      <c r="P94" s="153">
        <f t="shared" si="23"/>
        <v>775.0376637</v>
      </c>
      <c r="Q94" s="153">
        <f t="shared" si="23"/>
        <v>716.1557104</v>
      </c>
      <c r="R94" s="153">
        <f t="shared" si="23"/>
        <v>623.661938</v>
      </c>
      <c r="S94" s="153">
        <f t="shared" si="23"/>
        <v>623.661938</v>
      </c>
      <c r="T94" s="153">
        <f t="shared" si="23"/>
        <v>623.661938</v>
      </c>
      <c r="U94" s="153">
        <f t="shared" si="23"/>
        <v>623.661938</v>
      </c>
      <c r="V94" s="153">
        <f t="shared" si="23"/>
        <v>623.661938</v>
      </c>
      <c r="W94" s="153">
        <f t="shared" si="23"/>
        <v>623.661938</v>
      </c>
      <c r="X94" s="153">
        <f t="shared" si="23"/>
        <v>623.661938</v>
      </c>
      <c r="Y94" s="153">
        <f t="shared" si="23"/>
        <v>623.661938</v>
      </c>
      <c r="Z94" s="153">
        <f t="shared" si="23"/>
        <v>623.661938</v>
      </c>
      <c r="AA94" s="153">
        <f t="shared" si="23"/>
        <v>623.661938</v>
      </c>
      <c r="AB94" s="153">
        <f t="shared" si="23"/>
        <v>623.661938</v>
      </c>
      <c r="AC94" s="153">
        <f t="shared" si="23"/>
        <v>623.661938</v>
      </c>
      <c r="AD94" s="153">
        <f t="shared" si="23"/>
        <v>623.661938</v>
      </c>
      <c r="AE94" s="153">
        <f t="shared" si="23"/>
        <v>623.661938</v>
      </c>
      <c r="AF94" s="153">
        <f t="shared" si="23"/>
        <v>623.661938</v>
      </c>
      <c r="AG94" s="153">
        <f t="shared" si="23"/>
        <v>0</v>
      </c>
      <c r="AH94" s="153">
        <f t="shared" si="23"/>
        <v>0</v>
      </c>
      <c r="AI94" s="153">
        <f t="shared" si="23"/>
        <v>0</v>
      </c>
      <c r="AJ94" s="153">
        <f t="shared" si="23"/>
        <v>0</v>
      </c>
      <c r="AK94" s="168"/>
    </row>
    <row r="95">
      <c r="A95" s="648"/>
      <c r="B95" s="650"/>
      <c r="C95" s="525"/>
      <c r="D95" s="525"/>
      <c r="E95" s="260" t="s">
        <v>400</v>
      </c>
      <c r="F95" s="171" t="s">
        <v>116</v>
      </c>
      <c r="G95" s="667" t="s">
        <v>164</v>
      </c>
      <c r="H95" s="223" t="s">
        <v>165</v>
      </c>
      <c r="I95" s="225">
        <v>0.0</v>
      </c>
      <c r="J95" s="225">
        <v>0.0</v>
      </c>
      <c r="K95" s="225">
        <v>0.0</v>
      </c>
      <c r="L95" s="225">
        <v>0.0</v>
      </c>
      <c r="M95" s="225">
        <v>0.0</v>
      </c>
      <c r="N95" s="225">
        <v>0.0</v>
      </c>
      <c r="O95" s="225">
        <v>0.0</v>
      </c>
      <c r="P95" s="225">
        <v>0.0</v>
      </c>
      <c r="Q95" s="225">
        <v>0.0</v>
      </c>
      <c r="R95" s="225">
        <v>0.0</v>
      </c>
      <c r="S95" s="225">
        <v>0.0</v>
      </c>
      <c r="T95" s="225">
        <v>0.0</v>
      </c>
      <c r="U95" s="225">
        <v>0.0</v>
      </c>
      <c r="V95" s="225">
        <v>0.0</v>
      </c>
      <c r="W95" s="225">
        <v>0.0</v>
      </c>
      <c r="X95" s="225">
        <v>0.0</v>
      </c>
      <c r="Y95" s="225">
        <v>0.0</v>
      </c>
      <c r="Z95" s="225">
        <v>0.0</v>
      </c>
      <c r="AA95" s="225">
        <v>0.0</v>
      </c>
      <c r="AB95" s="225">
        <v>0.0</v>
      </c>
      <c r="AC95" s="225">
        <v>0.0</v>
      </c>
      <c r="AD95" s="225">
        <v>0.0</v>
      </c>
      <c r="AE95" s="225">
        <v>0.0</v>
      </c>
      <c r="AF95" s="225">
        <v>0.0</v>
      </c>
      <c r="AG95" s="153">
        <v>0.0</v>
      </c>
      <c r="AH95" s="153">
        <v>0.0</v>
      </c>
      <c r="AI95" s="153">
        <v>0.0</v>
      </c>
      <c r="AJ95" s="153">
        <v>0.0</v>
      </c>
      <c r="AK95" s="168"/>
    </row>
    <row r="96">
      <c r="A96" s="648"/>
      <c r="B96" s="650"/>
      <c r="C96" s="525"/>
      <c r="D96" s="525"/>
      <c r="E96" s="260" t="s">
        <v>401</v>
      </c>
      <c r="F96" s="171" t="s">
        <v>116</v>
      </c>
      <c r="G96" s="667" t="s">
        <v>164</v>
      </c>
      <c r="H96" s="223" t="s">
        <v>165</v>
      </c>
      <c r="I96" s="153">
        <f t="shared" ref="I96:AJ96" si="24">I94-I95</f>
        <v>569.5183336</v>
      </c>
      <c r="J96" s="153">
        <f t="shared" si="24"/>
        <v>525.3878512</v>
      </c>
      <c r="K96" s="153">
        <f t="shared" si="24"/>
        <v>623.661938</v>
      </c>
      <c r="L96" s="153">
        <f t="shared" si="24"/>
        <v>623.661938</v>
      </c>
      <c r="M96" s="153">
        <f t="shared" si="24"/>
        <v>421.3064713</v>
      </c>
      <c r="N96" s="153">
        <f t="shared" si="24"/>
        <v>623.661938</v>
      </c>
      <c r="O96" s="153">
        <f t="shared" si="24"/>
        <v>623.661938</v>
      </c>
      <c r="P96" s="153">
        <f t="shared" si="24"/>
        <v>775.0376637</v>
      </c>
      <c r="Q96" s="153">
        <f t="shared" si="24"/>
        <v>716.1557104</v>
      </c>
      <c r="R96" s="153">
        <f t="shared" si="24"/>
        <v>623.661938</v>
      </c>
      <c r="S96" s="153">
        <f t="shared" si="24"/>
        <v>623.661938</v>
      </c>
      <c r="T96" s="153">
        <f t="shared" si="24"/>
        <v>623.661938</v>
      </c>
      <c r="U96" s="153">
        <f t="shared" si="24"/>
        <v>623.661938</v>
      </c>
      <c r="V96" s="153">
        <f t="shared" si="24"/>
        <v>623.661938</v>
      </c>
      <c r="W96" s="153">
        <f t="shared" si="24"/>
        <v>623.661938</v>
      </c>
      <c r="X96" s="153">
        <f t="shared" si="24"/>
        <v>623.661938</v>
      </c>
      <c r="Y96" s="153">
        <f t="shared" si="24"/>
        <v>623.661938</v>
      </c>
      <c r="Z96" s="153">
        <f t="shared" si="24"/>
        <v>623.661938</v>
      </c>
      <c r="AA96" s="153">
        <f t="shared" si="24"/>
        <v>623.661938</v>
      </c>
      <c r="AB96" s="153">
        <f t="shared" si="24"/>
        <v>623.661938</v>
      </c>
      <c r="AC96" s="153">
        <f t="shared" si="24"/>
        <v>623.661938</v>
      </c>
      <c r="AD96" s="153">
        <f t="shared" si="24"/>
        <v>623.661938</v>
      </c>
      <c r="AE96" s="153">
        <f t="shared" si="24"/>
        <v>623.661938</v>
      </c>
      <c r="AF96" s="153">
        <f t="shared" si="24"/>
        <v>623.661938</v>
      </c>
      <c r="AG96" s="153">
        <f t="shared" si="24"/>
        <v>0</v>
      </c>
      <c r="AH96" s="153">
        <f t="shared" si="24"/>
        <v>0</v>
      </c>
      <c r="AI96" s="153">
        <f t="shared" si="24"/>
        <v>0</v>
      </c>
      <c r="AJ96" s="153">
        <f t="shared" si="24"/>
        <v>0</v>
      </c>
      <c r="AK96" s="168"/>
    </row>
    <row r="97">
      <c r="A97" s="648"/>
      <c r="B97" s="650"/>
      <c r="C97" s="525"/>
      <c r="D97" s="486" t="s">
        <v>403</v>
      </c>
      <c r="E97" s="86"/>
      <c r="F97" s="171"/>
      <c r="G97" s="667"/>
      <c r="H97" s="223"/>
      <c r="I97" s="153"/>
      <c r="J97" s="153"/>
      <c r="K97" s="153"/>
      <c r="L97" s="153"/>
      <c r="M97" s="153"/>
      <c r="N97" s="153"/>
      <c r="O97" s="153"/>
      <c r="P97" s="153"/>
      <c r="Q97" s="153"/>
      <c r="R97" s="153"/>
      <c r="S97" s="153"/>
      <c r="T97" s="153"/>
      <c r="U97" s="153"/>
      <c r="V97" s="153"/>
      <c r="W97" s="153"/>
      <c r="X97" s="153"/>
      <c r="Y97" s="153"/>
      <c r="Z97" s="153"/>
      <c r="AA97" s="153"/>
      <c r="AB97" s="153"/>
      <c r="AC97" s="153"/>
      <c r="AD97" s="153"/>
      <c r="AE97" s="153"/>
      <c r="AF97" s="153"/>
      <c r="AG97" s="153"/>
      <c r="AH97" s="153"/>
      <c r="AI97" s="153"/>
      <c r="AJ97" s="153"/>
      <c r="AK97" s="168"/>
    </row>
    <row r="98">
      <c r="A98" s="648"/>
      <c r="B98" s="650"/>
      <c r="C98" s="525"/>
      <c r="D98" s="525"/>
      <c r="E98" s="260" t="s">
        <v>360</v>
      </c>
      <c r="F98" s="171" t="s">
        <v>116</v>
      </c>
      <c r="G98" s="667" t="s">
        <v>164</v>
      </c>
      <c r="H98" s="223" t="s">
        <v>165</v>
      </c>
      <c r="I98" s="153">
        <f t="shared" ref="I98:AJ98" si="25">-SUM(I91,I96)</f>
        <v>-2955.688081</v>
      </c>
      <c r="J98" s="153">
        <f t="shared" si="25"/>
        <v>-2894.596848</v>
      </c>
      <c r="K98" s="153">
        <f t="shared" si="25"/>
        <v>-3030.640796</v>
      </c>
      <c r="L98" s="153">
        <f t="shared" si="25"/>
        <v>-3030.640796</v>
      </c>
      <c r="M98" s="153">
        <f t="shared" si="25"/>
        <v>-2750.51368</v>
      </c>
      <c r="N98" s="153">
        <f t="shared" si="25"/>
        <v>-3030.640796</v>
      </c>
      <c r="O98" s="153">
        <f t="shared" si="25"/>
        <v>-3030.640796</v>
      </c>
      <c r="P98" s="153">
        <f t="shared" si="25"/>
        <v>-3240.195034</v>
      </c>
      <c r="Q98" s="153">
        <f t="shared" si="25"/>
        <v>-3158.68322</v>
      </c>
      <c r="R98" s="153">
        <f t="shared" si="25"/>
        <v>-3030.640796</v>
      </c>
      <c r="S98" s="153">
        <f t="shared" si="25"/>
        <v>-3030.640796</v>
      </c>
      <c r="T98" s="153">
        <f t="shared" si="25"/>
        <v>-3030.640796</v>
      </c>
      <c r="U98" s="153">
        <f t="shared" si="25"/>
        <v>-3030.640796</v>
      </c>
      <c r="V98" s="153">
        <f t="shared" si="25"/>
        <v>-3030.640796</v>
      </c>
      <c r="W98" s="153">
        <f t="shared" si="25"/>
        <v>-3030.640796</v>
      </c>
      <c r="X98" s="153">
        <f t="shared" si="25"/>
        <v>-3030.640796</v>
      </c>
      <c r="Y98" s="153">
        <f t="shared" si="25"/>
        <v>-3030.640796</v>
      </c>
      <c r="Z98" s="153">
        <f t="shared" si="25"/>
        <v>-3030.640796</v>
      </c>
      <c r="AA98" s="153">
        <f t="shared" si="25"/>
        <v>-3030.640796</v>
      </c>
      <c r="AB98" s="153">
        <f t="shared" si="25"/>
        <v>-3030.640796</v>
      </c>
      <c r="AC98" s="153">
        <f t="shared" si="25"/>
        <v>-3030.640796</v>
      </c>
      <c r="AD98" s="153">
        <f t="shared" si="25"/>
        <v>-3030.640796</v>
      </c>
      <c r="AE98" s="153">
        <f t="shared" si="25"/>
        <v>-3030.640796</v>
      </c>
      <c r="AF98" s="153">
        <f t="shared" si="25"/>
        <v>-3030.640796</v>
      </c>
      <c r="AG98" s="153">
        <f t="shared" si="25"/>
        <v>-2167.285714</v>
      </c>
      <c r="AH98" s="153">
        <f t="shared" si="25"/>
        <v>-2167.285714</v>
      </c>
      <c r="AI98" s="153">
        <f t="shared" si="25"/>
        <v>-2167.285714</v>
      </c>
      <c r="AJ98" s="153">
        <f t="shared" si="25"/>
        <v>-2167.285714</v>
      </c>
      <c r="AK98" s="168"/>
    </row>
    <row r="99">
      <c r="A99" s="648"/>
      <c r="B99" s="650"/>
      <c r="C99" s="525"/>
      <c r="D99" s="525"/>
      <c r="E99" s="260" t="s">
        <v>362</v>
      </c>
      <c r="F99" s="171" t="str">
        <f>F36</f>
        <v>%</v>
      </c>
      <c r="G99" s="667" t="s">
        <v>60</v>
      </c>
      <c r="H99" s="316" t="str">
        <f t="shared" ref="H99:AJ99" si="26">H36</f>
        <v>-</v>
      </c>
      <c r="I99" s="187">
        <f t="shared" si="26"/>
        <v>0.7</v>
      </c>
      <c r="J99" s="187">
        <f t="shared" si="26"/>
        <v>0.62</v>
      </c>
      <c r="K99" s="187">
        <f t="shared" si="26"/>
        <v>0.55</v>
      </c>
      <c r="L99" s="187">
        <f t="shared" si="26"/>
        <v>0.8</v>
      </c>
      <c r="M99" s="187">
        <f t="shared" si="26"/>
        <v>0.55</v>
      </c>
      <c r="N99" s="187">
        <f t="shared" si="26"/>
        <v>0.65</v>
      </c>
      <c r="O99" s="187">
        <f t="shared" si="26"/>
        <v>0.75</v>
      </c>
      <c r="P99" s="187">
        <f t="shared" si="26"/>
        <v>0.65</v>
      </c>
      <c r="Q99" s="187">
        <f t="shared" si="26"/>
        <v>0.7</v>
      </c>
      <c r="R99" s="187">
        <f t="shared" si="26"/>
        <v>0.75</v>
      </c>
      <c r="S99" s="187">
        <f t="shared" si="26"/>
        <v>0.75</v>
      </c>
      <c r="T99" s="187">
        <f t="shared" si="26"/>
        <v>0.75</v>
      </c>
      <c r="U99" s="187">
        <f t="shared" si="26"/>
        <v>0.75</v>
      </c>
      <c r="V99" s="187">
        <f t="shared" si="26"/>
        <v>0.75</v>
      </c>
      <c r="W99" s="187">
        <f t="shared" si="26"/>
        <v>0.75</v>
      </c>
      <c r="X99" s="187">
        <f t="shared" si="26"/>
        <v>0.75</v>
      </c>
      <c r="Y99" s="187">
        <f t="shared" si="26"/>
        <v>0.75</v>
      </c>
      <c r="Z99" s="187">
        <f t="shared" si="26"/>
        <v>0.75</v>
      </c>
      <c r="AA99" s="187">
        <f t="shared" si="26"/>
        <v>0.75</v>
      </c>
      <c r="AB99" s="187">
        <f t="shared" si="26"/>
        <v>0.75</v>
      </c>
      <c r="AC99" s="187">
        <f t="shared" si="26"/>
        <v>0.75</v>
      </c>
      <c r="AD99" s="187">
        <f t="shared" si="26"/>
        <v>0.75</v>
      </c>
      <c r="AE99" s="187">
        <f t="shared" si="26"/>
        <v>0.75</v>
      </c>
      <c r="AF99" s="187">
        <f t="shared" si="26"/>
        <v>0.75</v>
      </c>
      <c r="AG99" s="187">
        <f t="shared" si="26"/>
        <v>0.6</v>
      </c>
      <c r="AH99" s="187">
        <f t="shared" si="26"/>
        <v>0.5</v>
      </c>
      <c r="AI99" s="187">
        <f t="shared" si="26"/>
        <v>0.6</v>
      </c>
      <c r="AJ99" s="187">
        <f t="shared" si="26"/>
        <v>0.6</v>
      </c>
      <c r="AK99" s="204"/>
    </row>
    <row r="100">
      <c r="A100" s="648"/>
      <c r="B100" s="650"/>
      <c r="C100" s="525"/>
      <c r="D100" s="525"/>
      <c r="E100" s="175" t="s">
        <v>405</v>
      </c>
      <c r="F100" s="192" t="s">
        <v>116</v>
      </c>
      <c r="G100" s="676" t="s">
        <v>164</v>
      </c>
      <c r="H100" s="235" t="s">
        <v>165</v>
      </c>
      <c r="I100" s="200">
        <f t="shared" ref="I100:AJ100" si="27">I98*I99</f>
        <v>-2068.981656</v>
      </c>
      <c r="J100" s="200">
        <f t="shared" si="27"/>
        <v>-1794.650046</v>
      </c>
      <c r="K100" s="200">
        <f t="shared" si="27"/>
        <v>-1666.852438</v>
      </c>
      <c r="L100" s="200">
        <f t="shared" si="27"/>
        <v>-2424.512637</v>
      </c>
      <c r="M100" s="200">
        <f t="shared" si="27"/>
        <v>-1512.782524</v>
      </c>
      <c r="N100" s="200">
        <f t="shared" si="27"/>
        <v>-1969.916518</v>
      </c>
      <c r="O100" s="200">
        <f t="shared" si="27"/>
        <v>-2272.980597</v>
      </c>
      <c r="P100" s="200">
        <f t="shared" si="27"/>
        <v>-2106.126772</v>
      </c>
      <c r="Q100" s="200">
        <f t="shared" si="27"/>
        <v>-2211.078254</v>
      </c>
      <c r="R100" s="200">
        <f t="shared" si="27"/>
        <v>-2272.980597</v>
      </c>
      <c r="S100" s="200">
        <f t="shared" si="27"/>
        <v>-2272.980597</v>
      </c>
      <c r="T100" s="200">
        <f t="shared" si="27"/>
        <v>-2272.980597</v>
      </c>
      <c r="U100" s="200">
        <f t="shared" si="27"/>
        <v>-2272.980597</v>
      </c>
      <c r="V100" s="200">
        <f t="shared" si="27"/>
        <v>-2272.980597</v>
      </c>
      <c r="W100" s="200">
        <f t="shared" si="27"/>
        <v>-2272.980597</v>
      </c>
      <c r="X100" s="200">
        <f t="shared" si="27"/>
        <v>-2272.980597</v>
      </c>
      <c r="Y100" s="200">
        <f t="shared" si="27"/>
        <v>-2272.980597</v>
      </c>
      <c r="Z100" s="200">
        <f t="shared" si="27"/>
        <v>-2272.980597</v>
      </c>
      <c r="AA100" s="200">
        <f t="shared" si="27"/>
        <v>-2272.980597</v>
      </c>
      <c r="AB100" s="200">
        <f t="shared" si="27"/>
        <v>-2272.980597</v>
      </c>
      <c r="AC100" s="200">
        <f t="shared" si="27"/>
        <v>-2272.980597</v>
      </c>
      <c r="AD100" s="200">
        <f t="shared" si="27"/>
        <v>-2272.980597</v>
      </c>
      <c r="AE100" s="200">
        <f t="shared" si="27"/>
        <v>-2272.980597</v>
      </c>
      <c r="AF100" s="200">
        <f t="shared" si="27"/>
        <v>-2272.980597</v>
      </c>
      <c r="AG100" s="200">
        <f t="shared" si="27"/>
        <v>-1300.371429</v>
      </c>
      <c r="AH100" s="200">
        <f t="shared" si="27"/>
        <v>-1083.642857</v>
      </c>
      <c r="AI100" s="200">
        <f t="shared" si="27"/>
        <v>-1300.371429</v>
      </c>
      <c r="AJ100" s="200">
        <f t="shared" si="27"/>
        <v>-1300.371429</v>
      </c>
      <c r="AK100" s="207"/>
    </row>
    <row r="101">
      <c r="A101" s="648"/>
      <c r="B101" s="650"/>
      <c r="C101" s="525"/>
      <c r="D101" s="525"/>
      <c r="E101" s="299"/>
      <c r="F101" s="651"/>
      <c r="G101" s="652"/>
      <c r="H101" s="653"/>
      <c r="I101" s="654"/>
      <c r="J101" s="654"/>
      <c r="K101" s="654"/>
      <c r="L101" s="654"/>
      <c r="M101" s="654"/>
      <c r="N101" s="654"/>
      <c r="O101" s="654"/>
      <c r="P101" s="654"/>
      <c r="Q101" s="654"/>
      <c r="R101" s="654"/>
      <c r="S101" s="654"/>
      <c r="T101" s="654"/>
      <c r="U101" s="654"/>
      <c r="V101" s="654"/>
      <c r="W101" s="654"/>
      <c r="X101" s="654"/>
      <c r="Y101" s="654"/>
      <c r="Z101" s="654"/>
      <c r="AA101" s="654"/>
      <c r="AB101" s="654"/>
      <c r="AC101" s="654"/>
      <c r="AD101" s="654"/>
      <c r="AE101" s="654"/>
      <c r="AF101" s="654"/>
      <c r="AG101" s="654"/>
      <c r="AH101" s="654"/>
      <c r="AI101" s="654"/>
      <c r="AJ101" s="654"/>
      <c r="AK101" s="656"/>
    </row>
    <row r="102">
      <c r="A102" s="648"/>
      <c r="B102" s="650"/>
      <c r="C102" s="130" t="s">
        <v>410</v>
      </c>
      <c r="F102" s="651"/>
      <c r="G102" s="652"/>
      <c r="H102" s="653"/>
      <c r="I102" s="654"/>
      <c r="J102" s="654"/>
      <c r="K102" s="654"/>
      <c r="L102" s="654"/>
      <c r="M102" s="654"/>
      <c r="N102" s="654"/>
      <c r="O102" s="654"/>
      <c r="P102" s="654"/>
      <c r="Q102" s="654"/>
      <c r="R102" s="654"/>
      <c r="S102" s="654"/>
      <c r="T102" s="654"/>
      <c r="U102" s="654"/>
      <c r="V102" s="654"/>
      <c r="W102" s="654"/>
      <c r="X102" s="654"/>
      <c r="Y102" s="654"/>
      <c r="Z102" s="654"/>
      <c r="AA102" s="654"/>
      <c r="AB102" s="654"/>
      <c r="AC102" s="654"/>
      <c r="AD102" s="654"/>
      <c r="AE102" s="654"/>
      <c r="AF102" s="654"/>
      <c r="AG102" s="654"/>
      <c r="AH102" s="654"/>
      <c r="AI102" s="654"/>
      <c r="AJ102" s="654"/>
      <c r="AK102" s="656"/>
    </row>
    <row r="103">
      <c r="A103" s="648"/>
      <c r="B103" s="650"/>
      <c r="C103" s="525"/>
      <c r="D103" s="486" t="s">
        <v>345</v>
      </c>
      <c r="E103" s="86"/>
      <c r="F103" s="660"/>
      <c r="G103" s="661"/>
      <c r="H103" s="256"/>
      <c r="I103" s="297"/>
      <c r="J103" s="297"/>
      <c r="K103" s="297"/>
      <c r="L103" s="297"/>
      <c r="M103" s="297"/>
      <c r="N103" s="297"/>
      <c r="O103" s="297"/>
      <c r="P103" s="297"/>
      <c r="Q103" s="297"/>
      <c r="R103" s="297"/>
      <c r="S103" s="297"/>
      <c r="T103" s="297"/>
      <c r="U103" s="297"/>
      <c r="V103" s="297"/>
      <c r="W103" s="297"/>
      <c r="X103" s="297"/>
      <c r="Y103" s="297"/>
      <c r="Z103" s="297"/>
      <c r="AA103" s="297"/>
      <c r="AB103" s="297"/>
      <c r="AC103" s="297"/>
      <c r="AD103" s="297"/>
      <c r="AE103" s="297"/>
      <c r="AF103" s="297"/>
      <c r="AG103" s="297"/>
      <c r="AH103" s="297"/>
      <c r="AI103" s="297"/>
      <c r="AJ103" s="297"/>
      <c r="AK103" s="306"/>
    </row>
    <row r="104">
      <c r="A104" s="648"/>
      <c r="B104" s="650"/>
      <c r="C104" s="525"/>
      <c r="D104" s="525"/>
      <c r="E104" s="143" t="s">
        <v>384</v>
      </c>
      <c r="F104" s="660" t="s">
        <v>108</v>
      </c>
      <c r="G104" s="661" t="s">
        <v>164</v>
      </c>
      <c r="H104" s="256" t="s">
        <v>165</v>
      </c>
      <c r="I104" s="297">
        <f t="shared" ref="I104:AJ104" si="28">I25</f>
        <v>695952.6641</v>
      </c>
      <c r="J104" s="297">
        <f t="shared" si="28"/>
        <v>468500.8893</v>
      </c>
      <c r="K104" s="297">
        <f t="shared" si="28"/>
        <v>643790.0867</v>
      </c>
      <c r="L104" s="297">
        <f t="shared" si="28"/>
        <v>643790.0867</v>
      </c>
      <c r="M104" s="297">
        <f t="shared" si="28"/>
        <v>542724.6405</v>
      </c>
      <c r="N104" s="297">
        <f t="shared" si="28"/>
        <v>643790.0867</v>
      </c>
      <c r="O104" s="297">
        <f t="shared" si="28"/>
        <v>501412.3951</v>
      </c>
      <c r="P104" s="297">
        <f t="shared" si="28"/>
        <v>693695.029</v>
      </c>
      <c r="Q104" s="297">
        <f t="shared" si="28"/>
        <v>829445.9964</v>
      </c>
      <c r="R104" s="297">
        <f t="shared" si="28"/>
        <v>643790.0867</v>
      </c>
      <c r="S104" s="297">
        <f t="shared" si="28"/>
        <v>643790.0867</v>
      </c>
      <c r="T104" s="297">
        <f t="shared" si="28"/>
        <v>643790.0867</v>
      </c>
      <c r="U104" s="297">
        <f t="shared" si="28"/>
        <v>643790.0867</v>
      </c>
      <c r="V104" s="297">
        <f t="shared" si="28"/>
        <v>643790.0867</v>
      </c>
      <c r="W104" s="297">
        <f t="shared" si="28"/>
        <v>643790.0867</v>
      </c>
      <c r="X104" s="297">
        <f t="shared" si="28"/>
        <v>643790.0867</v>
      </c>
      <c r="Y104" s="297">
        <f t="shared" si="28"/>
        <v>643790.0867</v>
      </c>
      <c r="Z104" s="297">
        <f t="shared" si="28"/>
        <v>643790.0867</v>
      </c>
      <c r="AA104" s="297">
        <f t="shared" si="28"/>
        <v>643790.0867</v>
      </c>
      <c r="AB104" s="297">
        <f t="shared" si="28"/>
        <v>643790.0867</v>
      </c>
      <c r="AC104" s="297">
        <f t="shared" si="28"/>
        <v>643790.0867</v>
      </c>
      <c r="AD104" s="297">
        <f t="shared" si="28"/>
        <v>643790.0867</v>
      </c>
      <c r="AE104" s="297">
        <f t="shared" si="28"/>
        <v>643790.0867</v>
      </c>
      <c r="AF104" s="297">
        <f t="shared" si="28"/>
        <v>643790.0867</v>
      </c>
      <c r="AG104" s="297">
        <f t="shared" si="28"/>
        <v>428571.4286</v>
      </c>
      <c r="AH104" s="297">
        <f t="shared" si="28"/>
        <v>428571.4286</v>
      </c>
      <c r="AI104" s="297">
        <f t="shared" si="28"/>
        <v>428571.4286</v>
      </c>
      <c r="AJ104" s="297">
        <f t="shared" si="28"/>
        <v>428571.4286</v>
      </c>
      <c r="AK104" s="306"/>
    </row>
    <row r="105">
      <c r="A105" s="648"/>
      <c r="B105" s="650"/>
      <c r="C105" s="525"/>
      <c r="D105" s="525"/>
      <c r="E105" s="260" t="s">
        <v>412</v>
      </c>
      <c r="F105" s="171" t="s">
        <v>116</v>
      </c>
      <c r="G105" s="667" t="s">
        <v>164</v>
      </c>
      <c r="H105" s="223" t="s">
        <v>165</v>
      </c>
      <c r="I105" s="153">
        <f t="shared" ref="I105:AJ105" si="29">I104*$H60</f>
        <v>3519.432622</v>
      </c>
      <c r="J105" s="153">
        <f t="shared" si="29"/>
        <v>2369.208997</v>
      </c>
      <c r="K105" s="153">
        <f t="shared" si="29"/>
        <v>3255.646468</v>
      </c>
      <c r="L105" s="153">
        <f t="shared" si="29"/>
        <v>3255.646468</v>
      </c>
      <c r="M105" s="153">
        <f t="shared" si="29"/>
        <v>2744.558507</v>
      </c>
      <c r="N105" s="153">
        <f t="shared" si="29"/>
        <v>3255.646468</v>
      </c>
      <c r="O105" s="153">
        <f t="shared" si="29"/>
        <v>2535.642482</v>
      </c>
      <c r="P105" s="153">
        <f t="shared" si="29"/>
        <v>3508.015762</v>
      </c>
      <c r="Q105" s="153">
        <f t="shared" si="29"/>
        <v>4194.508404</v>
      </c>
      <c r="R105" s="153">
        <f t="shared" si="29"/>
        <v>3255.646468</v>
      </c>
      <c r="S105" s="153">
        <f t="shared" si="29"/>
        <v>3255.646468</v>
      </c>
      <c r="T105" s="153">
        <f t="shared" si="29"/>
        <v>3255.646468</v>
      </c>
      <c r="U105" s="153">
        <f t="shared" si="29"/>
        <v>3255.646468</v>
      </c>
      <c r="V105" s="153">
        <f t="shared" si="29"/>
        <v>3255.646468</v>
      </c>
      <c r="W105" s="153">
        <f t="shared" si="29"/>
        <v>3255.646468</v>
      </c>
      <c r="X105" s="153">
        <f t="shared" si="29"/>
        <v>3255.646468</v>
      </c>
      <c r="Y105" s="153">
        <f t="shared" si="29"/>
        <v>3255.646468</v>
      </c>
      <c r="Z105" s="153">
        <f t="shared" si="29"/>
        <v>3255.646468</v>
      </c>
      <c r="AA105" s="153">
        <f t="shared" si="29"/>
        <v>3255.646468</v>
      </c>
      <c r="AB105" s="153">
        <f t="shared" si="29"/>
        <v>3255.646468</v>
      </c>
      <c r="AC105" s="153">
        <f t="shared" si="29"/>
        <v>3255.646468</v>
      </c>
      <c r="AD105" s="153">
        <f t="shared" si="29"/>
        <v>3255.646468</v>
      </c>
      <c r="AE105" s="153">
        <f t="shared" si="29"/>
        <v>3255.646468</v>
      </c>
      <c r="AF105" s="153">
        <f t="shared" si="29"/>
        <v>3255.646468</v>
      </c>
      <c r="AG105" s="153">
        <f t="shared" si="29"/>
        <v>2167.285714</v>
      </c>
      <c r="AH105" s="153">
        <f t="shared" si="29"/>
        <v>2167.285714</v>
      </c>
      <c r="AI105" s="153">
        <f t="shared" si="29"/>
        <v>2167.285714</v>
      </c>
      <c r="AJ105" s="153">
        <f t="shared" si="29"/>
        <v>2167.285714</v>
      </c>
      <c r="AK105" s="168"/>
    </row>
    <row r="106">
      <c r="A106" s="648"/>
      <c r="B106" s="650"/>
      <c r="C106" s="525"/>
      <c r="D106" s="525"/>
      <c r="E106" s="260" t="s">
        <v>388</v>
      </c>
      <c r="F106" s="171" t="s">
        <v>116</v>
      </c>
      <c r="G106" s="667" t="s">
        <v>164</v>
      </c>
      <c r="H106" s="223" t="s">
        <v>165</v>
      </c>
      <c r="I106" s="153">
        <v>0.0</v>
      </c>
      <c r="J106" s="153">
        <v>0.0</v>
      </c>
      <c r="K106" s="153">
        <v>0.0</v>
      </c>
      <c r="L106" s="153">
        <v>0.0</v>
      </c>
      <c r="M106" s="153">
        <v>0.0</v>
      </c>
      <c r="N106" s="153">
        <v>0.0</v>
      </c>
      <c r="O106" s="153">
        <v>0.0</v>
      </c>
      <c r="P106" s="153">
        <v>0.0</v>
      </c>
      <c r="Q106" s="153">
        <v>0.0</v>
      </c>
      <c r="R106" s="153">
        <v>0.0</v>
      </c>
      <c r="S106" s="153">
        <v>0.0</v>
      </c>
      <c r="T106" s="153">
        <v>0.0</v>
      </c>
      <c r="U106" s="153">
        <v>0.0</v>
      </c>
      <c r="V106" s="153">
        <v>0.0</v>
      </c>
      <c r="W106" s="153">
        <v>0.0</v>
      </c>
      <c r="X106" s="153">
        <v>0.0</v>
      </c>
      <c r="Y106" s="153">
        <v>0.0</v>
      </c>
      <c r="Z106" s="153">
        <v>0.0</v>
      </c>
      <c r="AA106" s="153">
        <v>0.0</v>
      </c>
      <c r="AB106" s="153">
        <v>0.0</v>
      </c>
      <c r="AC106" s="153">
        <v>0.0</v>
      </c>
      <c r="AD106" s="153">
        <v>0.0</v>
      </c>
      <c r="AE106" s="153">
        <v>0.0</v>
      </c>
      <c r="AF106" s="153">
        <v>0.0</v>
      </c>
      <c r="AG106" s="153">
        <v>0.0</v>
      </c>
      <c r="AH106" s="153">
        <v>0.0</v>
      </c>
      <c r="AI106" s="153">
        <v>0.0</v>
      </c>
      <c r="AJ106" s="153">
        <v>0.0</v>
      </c>
      <c r="AK106" s="168"/>
    </row>
    <row r="107">
      <c r="A107" s="648"/>
      <c r="B107" s="650"/>
      <c r="C107" s="525"/>
      <c r="D107" s="525"/>
      <c r="E107" s="260" t="s">
        <v>389</v>
      </c>
      <c r="F107" s="171" t="s">
        <v>116</v>
      </c>
      <c r="G107" s="667" t="s">
        <v>164</v>
      </c>
      <c r="H107" s="223" t="s">
        <v>165</v>
      </c>
      <c r="I107" s="153">
        <f t="shared" ref="I107:AJ107" si="30">I105-I106</f>
        <v>3519.432622</v>
      </c>
      <c r="J107" s="153">
        <f t="shared" si="30"/>
        <v>2369.208997</v>
      </c>
      <c r="K107" s="153">
        <f t="shared" si="30"/>
        <v>3255.646468</v>
      </c>
      <c r="L107" s="153">
        <f t="shared" si="30"/>
        <v>3255.646468</v>
      </c>
      <c r="M107" s="153">
        <f t="shared" si="30"/>
        <v>2744.558507</v>
      </c>
      <c r="N107" s="153">
        <f t="shared" si="30"/>
        <v>3255.646468</v>
      </c>
      <c r="O107" s="153">
        <f t="shared" si="30"/>
        <v>2535.642482</v>
      </c>
      <c r="P107" s="153">
        <f t="shared" si="30"/>
        <v>3508.015762</v>
      </c>
      <c r="Q107" s="153">
        <f t="shared" si="30"/>
        <v>4194.508404</v>
      </c>
      <c r="R107" s="153">
        <f t="shared" si="30"/>
        <v>3255.646468</v>
      </c>
      <c r="S107" s="153">
        <f t="shared" si="30"/>
        <v>3255.646468</v>
      </c>
      <c r="T107" s="153">
        <f t="shared" si="30"/>
        <v>3255.646468</v>
      </c>
      <c r="U107" s="153">
        <f t="shared" si="30"/>
        <v>3255.646468</v>
      </c>
      <c r="V107" s="153">
        <f t="shared" si="30"/>
        <v>3255.646468</v>
      </c>
      <c r="W107" s="153">
        <f t="shared" si="30"/>
        <v>3255.646468</v>
      </c>
      <c r="X107" s="153">
        <f t="shared" si="30"/>
        <v>3255.646468</v>
      </c>
      <c r="Y107" s="153">
        <f t="shared" si="30"/>
        <v>3255.646468</v>
      </c>
      <c r="Z107" s="153">
        <f t="shared" si="30"/>
        <v>3255.646468</v>
      </c>
      <c r="AA107" s="153">
        <f t="shared" si="30"/>
        <v>3255.646468</v>
      </c>
      <c r="AB107" s="153">
        <f t="shared" si="30"/>
        <v>3255.646468</v>
      </c>
      <c r="AC107" s="153">
        <f t="shared" si="30"/>
        <v>3255.646468</v>
      </c>
      <c r="AD107" s="153">
        <f t="shared" si="30"/>
        <v>3255.646468</v>
      </c>
      <c r="AE107" s="153">
        <f t="shared" si="30"/>
        <v>3255.646468</v>
      </c>
      <c r="AF107" s="153">
        <f t="shared" si="30"/>
        <v>3255.646468</v>
      </c>
      <c r="AG107" s="153">
        <f t="shared" si="30"/>
        <v>2167.285714</v>
      </c>
      <c r="AH107" s="153">
        <f t="shared" si="30"/>
        <v>2167.285714</v>
      </c>
      <c r="AI107" s="153">
        <f t="shared" si="30"/>
        <v>2167.285714</v>
      </c>
      <c r="AJ107" s="153">
        <f t="shared" si="30"/>
        <v>2167.285714</v>
      </c>
      <c r="AK107" s="168"/>
    </row>
    <row r="108">
      <c r="A108" s="648"/>
      <c r="B108" s="650"/>
      <c r="C108" s="525"/>
      <c r="D108" s="486" t="s">
        <v>392</v>
      </c>
      <c r="E108" s="86"/>
      <c r="F108" s="171"/>
      <c r="G108" s="667"/>
      <c r="H108" s="22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3"/>
      <c r="AI108" s="153"/>
      <c r="AJ108" s="153"/>
      <c r="AK108" s="168"/>
    </row>
    <row r="109">
      <c r="A109" s="648"/>
      <c r="B109" s="650"/>
      <c r="C109" s="525"/>
      <c r="D109" s="525"/>
      <c r="E109" s="143" t="s">
        <v>394</v>
      </c>
      <c r="F109" s="660" t="s">
        <v>108</v>
      </c>
      <c r="G109" s="661" t="s">
        <v>164</v>
      </c>
      <c r="H109" s="256" t="s">
        <v>165</v>
      </c>
      <c r="I109" s="689">
        <f t="shared" ref="I109:AJ109" si="31">I22</f>
        <v>148959.8523</v>
      </c>
      <c r="J109" s="689">
        <f t="shared" si="31"/>
        <v>93168.74168</v>
      </c>
      <c r="K109" s="689">
        <f t="shared" si="31"/>
        <v>149590.6353</v>
      </c>
      <c r="L109" s="689">
        <f t="shared" si="31"/>
        <v>149590.6353</v>
      </c>
      <c r="M109" s="689">
        <f t="shared" si="31"/>
        <v>88034.4594</v>
      </c>
      <c r="N109" s="689">
        <f t="shared" si="31"/>
        <v>149590.6353</v>
      </c>
      <c r="O109" s="689">
        <f t="shared" si="31"/>
        <v>116507.8499</v>
      </c>
      <c r="P109" s="689">
        <f t="shared" si="31"/>
        <v>195582.4576</v>
      </c>
      <c r="Q109" s="689">
        <f t="shared" si="31"/>
        <v>218091.7655</v>
      </c>
      <c r="R109" s="689">
        <f t="shared" si="31"/>
        <v>149590.6353</v>
      </c>
      <c r="S109" s="689">
        <f t="shared" si="31"/>
        <v>149590.6353</v>
      </c>
      <c r="T109" s="689">
        <f t="shared" si="31"/>
        <v>149590.6353</v>
      </c>
      <c r="U109" s="689">
        <f t="shared" si="31"/>
        <v>149590.6353</v>
      </c>
      <c r="V109" s="689">
        <f t="shared" si="31"/>
        <v>149590.6353</v>
      </c>
      <c r="W109" s="689">
        <f t="shared" si="31"/>
        <v>149590.6353</v>
      </c>
      <c r="X109" s="689">
        <f t="shared" si="31"/>
        <v>149590.6353</v>
      </c>
      <c r="Y109" s="689">
        <f t="shared" si="31"/>
        <v>149590.6353</v>
      </c>
      <c r="Z109" s="689">
        <f t="shared" si="31"/>
        <v>149590.6353</v>
      </c>
      <c r="AA109" s="689">
        <f t="shared" si="31"/>
        <v>149590.6353</v>
      </c>
      <c r="AB109" s="689">
        <f t="shared" si="31"/>
        <v>149590.6353</v>
      </c>
      <c r="AC109" s="689">
        <f t="shared" si="31"/>
        <v>149590.6353</v>
      </c>
      <c r="AD109" s="689">
        <f t="shared" si="31"/>
        <v>149590.6353</v>
      </c>
      <c r="AE109" s="689">
        <f t="shared" si="31"/>
        <v>149590.6353</v>
      </c>
      <c r="AF109" s="689">
        <f t="shared" si="31"/>
        <v>149590.6353</v>
      </c>
      <c r="AG109" s="689">
        <f t="shared" si="31"/>
        <v>0</v>
      </c>
      <c r="AH109" s="689">
        <f t="shared" si="31"/>
        <v>0</v>
      </c>
      <c r="AI109" s="689">
        <f t="shared" si="31"/>
        <v>0</v>
      </c>
      <c r="AJ109" s="689">
        <f t="shared" si="31"/>
        <v>0</v>
      </c>
      <c r="AK109" s="692"/>
    </row>
    <row r="110">
      <c r="A110" s="648"/>
      <c r="B110" s="650"/>
      <c r="C110" s="525"/>
      <c r="D110" s="525"/>
      <c r="E110" s="260" t="s">
        <v>398</v>
      </c>
      <c r="F110" s="171" t="s">
        <v>116</v>
      </c>
      <c r="G110" s="667" t="s">
        <v>164</v>
      </c>
      <c r="H110" s="223" t="s">
        <v>165</v>
      </c>
      <c r="I110" s="153">
        <f t="shared" ref="I110:AJ110" si="32">I109*$H61</f>
        <v>839.9995034</v>
      </c>
      <c r="J110" s="153">
        <f t="shared" si="32"/>
        <v>525.3878512</v>
      </c>
      <c r="K110" s="153">
        <f t="shared" si="32"/>
        <v>843.5565518</v>
      </c>
      <c r="L110" s="153">
        <f t="shared" si="32"/>
        <v>843.5565518</v>
      </c>
      <c r="M110" s="153">
        <f t="shared" si="32"/>
        <v>496.43512</v>
      </c>
      <c r="N110" s="153">
        <f t="shared" si="32"/>
        <v>843.5565518</v>
      </c>
      <c r="O110" s="153">
        <f t="shared" si="32"/>
        <v>656.9994162</v>
      </c>
      <c r="P110" s="153">
        <f t="shared" si="32"/>
        <v>1102.909036</v>
      </c>
      <c r="Q110" s="153">
        <f t="shared" si="32"/>
        <v>1229.841275</v>
      </c>
      <c r="R110" s="153">
        <f t="shared" si="32"/>
        <v>843.5565518</v>
      </c>
      <c r="S110" s="153">
        <f t="shared" si="32"/>
        <v>843.5565518</v>
      </c>
      <c r="T110" s="153">
        <f t="shared" si="32"/>
        <v>843.5565518</v>
      </c>
      <c r="U110" s="153">
        <f t="shared" si="32"/>
        <v>843.5565518</v>
      </c>
      <c r="V110" s="153">
        <f t="shared" si="32"/>
        <v>843.5565518</v>
      </c>
      <c r="W110" s="153">
        <f t="shared" si="32"/>
        <v>843.5565518</v>
      </c>
      <c r="X110" s="153">
        <f t="shared" si="32"/>
        <v>843.5565518</v>
      </c>
      <c r="Y110" s="153">
        <f t="shared" si="32"/>
        <v>843.5565518</v>
      </c>
      <c r="Z110" s="153">
        <f t="shared" si="32"/>
        <v>843.5565518</v>
      </c>
      <c r="AA110" s="153">
        <f t="shared" si="32"/>
        <v>843.5565518</v>
      </c>
      <c r="AB110" s="153">
        <f t="shared" si="32"/>
        <v>843.5565518</v>
      </c>
      <c r="AC110" s="153">
        <f t="shared" si="32"/>
        <v>843.5565518</v>
      </c>
      <c r="AD110" s="153">
        <f t="shared" si="32"/>
        <v>843.5565518</v>
      </c>
      <c r="AE110" s="153">
        <f t="shared" si="32"/>
        <v>843.5565518</v>
      </c>
      <c r="AF110" s="153">
        <f t="shared" si="32"/>
        <v>843.5565518</v>
      </c>
      <c r="AG110" s="153">
        <f t="shared" si="32"/>
        <v>0</v>
      </c>
      <c r="AH110" s="153">
        <f t="shared" si="32"/>
        <v>0</v>
      </c>
      <c r="AI110" s="153">
        <f t="shared" si="32"/>
        <v>0</v>
      </c>
      <c r="AJ110" s="153">
        <f t="shared" si="32"/>
        <v>0</v>
      </c>
      <c r="AK110" s="168"/>
    </row>
    <row r="111">
      <c r="A111" s="648"/>
      <c r="B111" s="650"/>
      <c r="C111" s="525"/>
      <c r="D111" s="525"/>
      <c r="E111" s="260" t="s">
        <v>400</v>
      </c>
      <c r="F111" s="171" t="s">
        <v>116</v>
      </c>
      <c r="G111" s="667" t="s">
        <v>164</v>
      </c>
      <c r="H111" s="223" t="s">
        <v>165</v>
      </c>
      <c r="I111" s="225">
        <v>0.0</v>
      </c>
      <c r="J111" s="225">
        <v>0.0</v>
      </c>
      <c r="K111" s="225">
        <v>0.0</v>
      </c>
      <c r="L111" s="225">
        <v>0.0</v>
      </c>
      <c r="M111" s="225">
        <v>0.0</v>
      </c>
      <c r="N111" s="225">
        <v>0.0</v>
      </c>
      <c r="O111" s="225">
        <v>0.0</v>
      </c>
      <c r="P111" s="225">
        <v>0.0</v>
      </c>
      <c r="Q111" s="225">
        <v>0.0</v>
      </c>
      <c r="R111" s="225">
        <v>0.0</v>
      </c>
      <c r="S111" s="225">
        <v>0.0</v>
      </c>
      <c r="T111" s="225">
        <v>0.0</v>
      </c>
      <c r="U111" s="225">
        <v>0.0</v>
      </c>
      <c r="V111" s="225">
        <v>0.0</v>
      </c>
      <c r="W111" s="225">
        <v>0.0</v>
      </c>
      <c r="X111" s="225">
        <v>0.0</v>
      </c>
      <c r="Y111" s="225">
        <v>0.0</v>
      </c>
      <c r="Z111" s="225">
        <v>0.0</v>
      </c>
      <c r="AA111" s="225">
        <v>0.0</v>
      </c>
      <c r="AB111" s="225">
        <v>0.0</v>
      </c>
      <c r="AC111" s="225">
        <v>0.0</v>
      </c>
      <c r="AD111" s="225">
        <v>0.0</v>
      </c>
      <c r="AE111" s="225">
        <v>0.0</v>
      </c>
      <c r="AF111" s="225">
        <v>0.0</v>
      </c>
      <c r="AG111" s="153">
        <v>0.0</v>
      </c>
      <c r="AH111" s="153">
        <v>0.0</v>
      </c>
      <c r="AI111" s="153">
        <v>0.0</v>
      </c>
      <c r="AJ111" s="153">
        <v>0.0</v>
      </c>
      <c r="AK111" s="168"/>
    </row>
    <row r="112">
      <c r="A112" s="648"/>
      <c r="B112" s="650"/>
      <c r="C112" s="525"/>
      <c r="D112" s="525"/>
      <c r="E112" s="260" t="s">
        <v>401</v>
      </c>
      <c r="F112" s="171" t="s">
        <v>116</v>
      </c>
      <c r="G112" s="667" t="s">
        <v>164</v>
      </c>
      <c r="H112" s="223" t="s">
        <v>165</v>
      </c>
      <c r="I112" s="153">
        <f t="shared" ref="I112:AJ112" si="33">I110-I111</f>
        <v>839.9995034</v>
      </c>
      <c r="J112" s="153">
        <f t="shared" si="33"/>
        <v>525.3878512</v>
      </c>
      <c r="K112" s="153">
        <f t="shared" si="33"/>
        <v>843.5565518</v>
      </c>
      <c r="L112" s="153">
        <f t="shared" si="33"/>
        <v>843.5565518</v>
      </c>
      <c r="M112" s="153">
        <f t="shared" si="33"/>
        <v>496.43512</v>
      </c>
      <c r="N112" s="153">
        <f t="shared" si="33"/>
        <v>843.5565518</v>
      </c>
      <c r="O112" s="153">
        <f t="shared" si="33"/>
        <v>656.9994162</v>
      </c>
      <c r="P112" s="153">
        <f t="shared" si="33"/>
        <v>1102.909036</v>
      </c>
      <c r="Q112" s="153">
        <f t="shared" si="33"/>
        <v>1229.841275</v>
      </c>
      <c r="R112" s="153">
        <f t="shared" si="33"/>
        <v>843.5565518</v>
      </c>
      <c r="S112" s="153">
        <f t="shared" si="33"/>
        <v>843.5565518</v>
      </c>
      <c r="T112" s="153">
        <f t="shared" si="33"/>
        <v>843.5565518</v>
      </c>
      <c r="U112" s="153">
        <f t="shared" si="33"/>
        <v>843.5565518</v>
      </c>
      <c r="V112" s="153">
        <f t="shared" si="33"/>
        <v>843.5565518</v>
      </c>
      <c r="W112" s="153">
        <f t="shared" si="33"/>
        <v>843.5565518</v>
      </c>
      <c r="X112" s="153">
        <f t="shared" si="33"/>
        <v>843.5565518</v>
      </c>
      <c r="Y112" s="153">
        <f t="shared" si="33"/>
        <v>843.5565518</v>
      </c>
      <c r="Z112" s="153">
        <f t="shared" si="33"/>
        <v>843.5565518</v>
      </c>
      <c r="AA112" s="153">
        <f t="shared" si="33"/>
        <v>843.5565518</v>
      </c>
      <c r="AB112" s="153">
        <f t="shared" si="33"/>
        <v>843.5565518</v>
      </c>
      <c r="AC112" s="153">
        <f t="shared" si="33"/>
        <v>843.5565518</v>
      </c>
      <c r="AD112" s="153">
        <f t="shared" si="33"/>
        <v>843.5565518</v>
      </c>
      <c r="AE112" s="153">
        <f t="shared" si="33"/>
        <v>843.5565518</v>
      </c>
      <c r="AF112" s="153">
        <f t="shared" si="33"/>
        <v>843.5565518</v>
      </c>
      <c r="AG112" s="153">
        <f t="shared" si="33"/>
        <v>0</v>
      </c>
      <c r="AH112" s="153">
        <f t="shared" si="33"/>
        <v>0</v>
      </c>
      <c r="AI112" s="153">
        <f t="shared" si="33"/>
        <v>0</v>
      </c>
      <c r="AJ112" s="153">
        <f t="shared" si="33"/>
        <v>0</v>
      </c>
      <c r="AK112" s="168"/>
    </row>
    <row r="113">
      <c r="A113" s="648"/>
      <c r="B113" s="650"/>
      <c r="C113" s="525"/>
      <c r="D113" s="486" t="s">
        <v>367</v>
      </c>
      <c r="E113" s="86"/>
      <c r="F113" s="171"/>
      <c r="G113" s="667"/>
      <c r="H113" s="223"/>
      <c r="I113" s="689"/>
      <c r="J113" s="689"/>
      <c r="K113" s="689"/>
      <c r="L113" s="689"/>
      <c r="M113" s="689"/>
      <c r="N113" s="689"/>
      <c r="O113" s="689"/>
      <c r="P113" s="689"/>
      <c r="Q113" s="689"/>
      <c r="R113" s="689"/>
      <c r="S113" s="689"/>
      <c r="T113" s="689"/>
      <c r="U113" s="689"/>
      <c r="V113" s="689"/>
      <c r="W113" s="689"/>
      <c r="X113" s="689"/>
      <c r="Y113" s="689"/>
      <c r="Z113" s="689"/>
      <c r="AA113" s="689"/>
      <c r="AB113" s="689"/>
      <c r="AC113" s="689"/>
      <c r="AD113" s="689"/>
      <c r="AE113" s="689"/>
      <c r="AF113" s="689"/>
      <c r="AG113" s="689"/>
      <c r="AH113" s="689"/>
      <c r="AI113" s="689"/>
      <c r="AJ113" s="689"/>
      <c r="AK113" s="692"/>
    </row>
    <row r="114">
      <c r="A114" s="648"/>
      <c r="B114" s="650"/>
      <c r="C114" s="525"/>
      <c r="D114" s="525"/>
      <c r="E114" s="143" t="s">
        <v>421</v>
      </c>
      <c r="F114" s="171" t="s">
        <v>108</v>
      </c>
      <c r="G114" s="667" t="s">
        <v>164</v>
      </c>
      <c r="H114" s="223" t="s">
        <v>165</v>
      </c>
      <c r="I114" s="689">
        <f t="shared" ref="I114:AJ114" si="34">I23</f>
        <v>131161.7909</v>
      </c>
      <c r="J114" s="689">
        <f t="shared" si="34"/>
        <v>0</v>
      </c>
      <c r="K114" s="689">
        <f t="shared" si="34"/>
        <v>283953.2746</v>
      </c>
      <c r="L114" s="689">
        <f t="shared" si="34"/>
        <v>283953.2746</v>
      </c>
      <c r="M114" s="689">
        <f t="shared" si="34"/>
        <v>178323.0351</v>
      </c>
      <c r="N114" s="689">
        <f t="shared" si="34"/>
        <v>283953.2746</v>
      </c>
      <c r="O114" s="689">
        <f t="shared" si="34"/>
        <v>0</v>
      </c>
      <c r="P114" s="689">
        <f t="shared" si="34"/>
        <v>423039.2768</v>
      </c>
      <c r="Q114" s="689">
        <f t="shared" si="34"/>
        <v>717281.9497</v>
      </c>
      <c r="R114" s="689">
        <f t="shared" si="34"/>
        <v>283953.2746</v>
      </c>
      <c r="S114" s="689">
        <f t="shared" si="34"/>
        <v>283953.2746</v>
      </c>
      <c r="T114" s="689">
        <f t="shared" si="34"/>
        <v>283953.2746</v>
      </c>
      <c r="U114" s="689">
        <f t="shared" si="34"/>
        <v>283953.2746</v>
      </c>
      <c r="V114" s="689">
        <f t="shared" si="34"/>
        <v>283953.2746</v>
      </c>
      <c r="W114" s="689">
        <f t="shared" si="34"/>
        <v>283953.2746</v>
      </c>
      <c r="X114" s="689">
        <f t="shared" si="34"/>
        <v>283953.2746</v>
      </c>
      <c r="Y114" s="689">
        <f t="shared" si="34"/>
        <v>283953.2746</v>
      </c>
      <c r="Z114" s="689">
        <f t="shared" si="34"/>
        <v>283953.2746</v>
      </c>
      <c r="AA114" s="689">
        <f t="shared" si="34"/>
        <v>283953.2746</v>
      </c>
      <c r="AB114" s="689">
        <f t="shared" si="34"/>
        <v>283953.2746</v>
      </c>
      <c r="AC114" s="689">
        <f t="shared" si="34"/>
        <v>283953.2746</v>
      </c>
      <c r="AD114" s="689">
        <f t="shared" si="34"/>
        <v>283953.2746</v>
      </c>
      <c r="AE114" s="689">
        <f t="shared" si="34"/>
        <v>283953.2746</v>
      </c>
      <c r="AF114" s="689">
        <f t="shared" si="34"/>
        <v>283953.2746</v>
      </c>
      <c r="AG114" s="689">
        <f t="shared" si="34"/>
        <v>0</v>
      </c>
      <c r="AH114" s="689">
        <f t="shared" si="34"/>
        <v>0</v>
      </c>
      <c r="AI114" s="689">
        <f t="shared" si="34"/>
        <v>0</v>
      </c>
      <c r="AJ114" s="689">
        <f t="shared" si="34"/>
        <v>0</v>
      </c>
      <c r="AK114" s="692"/>
    </row>
    <row r="115">
      <c r="A115" s="648"/>
      <c r="B115" s="650"/>
      <c r="C115" s="525"/>
      <c r="D115" s="525"/>
      <c r="E115" s="260" t="s">
        <v>422</v>
      </c>
      <c r="F115" s="171" t="s">
        <v>116</v>
      </c>
      <c r="G115" s="667" t="s">
        <v>164</v>
      </c>
      <c r="H115" s="223" t="s">
        <v>165</v>
      </c>
      <c r="I115" s="153">
        <f t="shared" ref="I115:AJ115" si="35">I114*I51</f>
        <v>13935.58918</v>
      </c>
      <c r="J115" s="153">
        <f t="shared" si="35"/>
        <v>0</v>
      </c>
      <c r="K115" s="153">
        <f t="shared" si="35"/>
        <v>13055.70143</v>
      </c>
      <c r="L115" s="153">
        <f t="shared" si="35"/>
        <v>20236.35898</v>
      </c>
      <c r="M115" s="153">
        <f t="shared" si="35"/>
        <v>10732.72302</v>
      </c>
      <c r="N115" s="153">
        <f t="shared" si="35"/>
        <v>7002.702232</v>
      </c>
      <c r="O115" s="153">
        <f t="shared" si="35"/>
        <v>0</v>
      </c>
      <c r="P115" s="153">
        <f t="shared" si="35"/>
        <v>71277.02767</v>
      </c>
      <c r="Q115" s="153">
        <f t="shared" si="35"/>
        <v>203083.9201</v>
      </c>
      <c r="R115" s="153">
        <f t="shared" si="35"/>
        <v>27428.51417</v>
      </c>
      <c r="S115" s="153">
        <f t="shared" si="35"/>
        <v>5913.536713</v>
      </c>
      <c r="T115" s="153">
        <f t="shared" si="35"/>
        <v>3256.479106</v>
      </c>
      <c r="U115" s="153">
        <f t="shared" si="35"/>
        <v>12362.19924</v>
      </c>
      <c r="V115" s="153">
        <f t="shared" si="35"/>
        <v>6902.313213</v>
      </c>
      <c r="W115" s="153">
        <f t="shared" si="35"/>
        <v>17393.40908</v>
      </c>
      <c r="X115" s="153">
        <f t="shared" si="35"/>
        <v>5155.619047</v>
      </c>
      <c r="Y115" s="153">
        <f t="shared" si="35"/>
        <v>7781.051503</v>
      </c>
      <c r="Z115" s="153">
        <f t="shared" si="35"/>
        <v>4327.753992</v>
      </c>
      <c r="AA115" s="153">
        <f t="shared" si="35"/>
        <v>5629.075199</v>
      </c>
      <c r="AB115" s="153">
        <f t="shared" si="35"/>
        <v>15448.07895</v>
      </c>
      <c r="AC115" s="153">
        <f t="shared" si="35"/>
        <v>6436.141894</v>
      </c>
      <c r="AD115" s="153">
        <f t="shared" si="35"/>
        <v>3284.574337</v>
      </c>
      <c r="AE115" s="153">
        <f t="shared" si="35"/>
        <v>10039.37438</v>
      </c>
      <c r="AF115" s="153">
        <f t="shared" si="35"/>
        <v>36861.94097</v>
      </c>
      <c r="AG115" s="153">
        <f t="shared" si="35"/>
        <v>0</v>
      </c>
      <c r="AH115" s="153">
        <f t="shared" si="35"/>
        <v>0</v>
      </c>
      <c r="AI115" s="153">
        <f t="shared" si="35"/>
        <v>0</v>
      </c>
      <c r="AJ115" s="153">
        <f t="shared" si="35"/>
        <v>0</v>
      </c>
      <c r="AK115" s="168"/>
    </row>
    <row r="116">
      <c r="A116" s="648"/>
      <c r="B116" s="650"/>
      <c r="C116" s="525"/>
      <c r="D116" s="525"/>
      <c r="E116" s="260" t="s">
        <v>425</v>
      </c>
      <c r="F116" s="171" t="s">
        <v>116</v>
      </c>
      <c r="G116" s="667" t="s">
        <v>164</v>
      </c>
      <c r="H116" s="223" t="s">
        <v>165</v>
      </c>
      <c r="I116" s="225">
        <v>0.0</v>
      </c>
      <c r="J116" s="225">
        <v>0.0</v>
      </c>
      <c r="K116" s="225">
        <v>0.0</v>
      </c>
      <c r="L116" s="225">
        <v>0.0</v>
      </c>
      <c r="M116" s="225">
        <v>0.0</v>
      </c>
      <c r="N116" s="225">
        <v>0.0</v>
      </c>
      <c r="O116" s="225">
        <v>0.0</v>
      </c>
      <c r="P116" s="225">
        <v>0.0</v>
      </c>
      <c r="Q116" s="225">
        <v>0.0</v>
      </c>
      <c r="R116" s="225">
        <v>0.0</v>
      </c>
      <c r="S116" s="225">
        <v>0.0</v>
      </c>
      <c r="T116" s="225">
        <v>0.0</v>
      </c>
      <c r="U116" s="225">
        <v>0.0</v>
      </c>
      <c r="V116" s="225">
        <v>0.0</v>
      </c>
      <c r="W116" s="225">
        <v>0.0</v>
      </c>
      <c r="X116" s="225">
        <v>0.0</v>
      </c>
      <c r="Y116" s="225">
        <v>0.0</v>
      </c>
      <c r="Z116" s="225">
        <v>0.0</v>
      </c>
      <c r="AA116" s="225">
        <v>0.0</v>
      </c>
      <c r="AB116" s="225">
        <v>0.0</v>
      </c>
      <c r="AC116" s="225">
        <v>0.0</v>
      </c>
      <c r="AD116" s="225">
        <v>0.0</v>
      </c>
      <c r="AE116" s="225">
        <v>0.0</v>
      </c>
      <c r="AF116" s="225">
        <v>0.0</v>
      </c>
      <c r="AG116" s="153">
        <v>0.0</v>
      </c>
      <c r="AH116" s="153">
        <v>0.0</v>
      </c>
      <c r="AI116" s="153">
        <v>0.0</v>
      </c>
      <c r="AJ116" s="153">
        <v>0.0</v>
      </c>
      <c r="AK116" s="168"/>
    </row>
    <row r="117">
      <c r="A117" s="648"/>
      <c r="B117" s="650"/>
      <c r="C117" s="525"/>
      <c r="D117" s="525"/>
      <c r="E117" s="260" t="s">
        <v>426</v>
      </c>
      <c r="F117" s="171" t="s">
        <v>116</v>
      </c>
      <c r="G117" s="667" t="s">
        <v>164</v>
      </c>
      <c r="H117" s="223" t="s">
        <v>165</v>
      </c>
      <c r="I117" s="153">
        <f t="shared" ref="I117:AJ117" si="36">I115-I116</f>
        <v>13935.58918</v>
      </c>
      <c r="J117" s="153">
        <f t="shared" si="36"/>
        <v>0</v>
      </c>
      <c r="K117" s="153">
        <f t="shared" si="36"/>
        <v>13055.70143</v>
      </c>
      <c r="L117" s="153">
        <f t="shared" si="36"/>
        <v>20236.35898</v>
      </c>
      <c r="M117" s="153">
        <f t="shared" si="36"/>
        <v>10732.72302</v>
      </c>
      <c r="N117" s="153">
        <f t="shared" si="36"/>
        <v>7002.702232</v>
      </c>
      <c r="O117" s="153">
        <f t="shared" si="36"/>
        <v>0</v>
      </c>
      <c r="P117" s="153">
        <f t="shared" si="36"/>
        <v>71277.02767</v>
      </c>
      <c r="Q117" s="153">
        <f t="shared" si="36"/>
        <v>203083.9201</v>
      </c>
      <c r="R117" s="153">
        <f t="shared" si="36"/>
        <v>27428.51417</v>
      </c>
      <c r="S117" s="153">
        <f t="shared" si="36"/>
        <v>5913.536713</v>
      </c>
      <c r="T117" s="153">
        <f t="shared" si="36"/>
        <v>3256.479106</v>
      </c>
      <c r="U117" s="153">
        <f t="shared" si="36"/>
        <v>12362.19924</v>
      </c>
      <c r="V117" s="153">
        <f t="shared" si="36"/>
        <v>6902.313213</v>
      </c>
      <c r="W117" s="153">
        <f t="shared" si="36"/>
        <v>17393.40908</v>
      </c>
      <c r="X117" s="153">
        <f t="shared" si="36"/>
        <v>5155.619047</v>
      </c>
      <c r="Y117" s="153">
        <f t="shared" si="36"/>
        <v>7781.051503</v>
      </c>
      <c r="Z117" s="153">
        <f t="shared" si="36"/>
        <v>4327.753992</v>
      </c>
      <c r="AA117" s="153">
        <f t="shared" si="36"/>
        <v>5629.075199</v>
      </c>
      <c r="AB117" s="153">
        <f t="shared" si="36"/>
        <v>15448.07895</v>
      </c>
      <c r="AC117" s="153">
        <f t="shared" si="36"/>
        <v>6436.141894</v>
      </c>
      <c r="AD117" s="153">
        <f t="shared" si="36"/>
        <v>3284.574337</v>
      </c>
      <c r="AE117" s="153">
        <f t="shared" si="36"/>
        <v>10039.37438</v>
      </c>
      <c r="AF117" s="153">
        <f t="shared" si="36"/>
        <v>36861.94097</v>
      </c>
      <c r="AG117" s="153">
        <f t="shared" si="36"/>
        <v>0</v>
      </c>
      <c r="AH117" s="153">
        <f t="shared" si="36"/>
        <v>0</v>
      </c>
      <c r="AI117" s="153">
        <f t="shared" si="36"/>
        <v>0</v>
      </c>
      <c r="AJ117" s="153">
        <f t="shared" si="36"/>
        <v>0</v>
      </c>
      <c r="AK117" s="168"/>
    </row>
    <row r="118">
      <c r="A118" s="648"/>
      <c r="B118" s="650"/>
      <c r="C118" s="525"/>
      <c r="D118" s="486" t="s">
        <v>403</v>
      </c>
      <c r="E118" s="86"/>
      <c r="F118" s="171"/>
      <c r="G118" s="667"/>
      <c r="H118" s="223"/>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68"/>
    </row>
    <row r="119">
      <c r="A119" s="648"/>
      <c r="B119" s="650"/>
      <c r="C119" s="525"/>
      <c r="D119" s="525"/>
      <c r="E119" s="260" t="s">
        <v>360</v>
      </c>
      <c r="F119" s="171" t="s">
        <v>116</v>
      </c>
      <c r="G119" s="667" t="s">
        <v>164</v>
      </c>
      <c r="H119" s="223" t="s">
        <v>165</v>
      </c>
      <c r="I119" s="153">
        <f t="shared" ref="I119:AJ119" si="37">-SUM(I107,I112,I117)</f>
        <v>-18295.02131</v>
      </c>
      <c r="J119" s="153">
        <f t="shared" si="37"/>
        <v>-2894.596848</v>
      </c>
      <c r="K119" s="153">
        <f t="shared" si="37"/>
        <v>-17154.90445</v>
      </c>
      <c r="L119" s="153">
        <f t="shared" si="37"/>
        <v>-24335.562</v>
      </c>
      <c r="M119" s="153">
        <f t="shared" si="37"/>
        <v>-13973.71665</v>
      </c>
      <c r="N119" s="153">
        <f t="shared" si="37"/>
        <v>-11101.90525</v>
      </c>
      <c r="O119" s="153">
        <f t="shared" si="37"/>
        <v>-3192.641898</v>
      </c>
      <c r="P119" s="153">
        <f t="shared" si="37"/>
        <v>-75887.95246</v>
      </c>
      <c r="Q119" s="153">
        <f t="shared" si="37"/>
        <v>-208508.2697</v>
      </c>
      <c r="R119" s="153">
        <f t="shared" si="37"/>
        <v>-31527.71719</v>
      </c>
      <c r="S119" s="153">
        <f t="shared" si="37"/>
        <v>-10012.73973</v>
      </c>
      <c r="T119" s="153">
        <f t="shared" si="37"/>
        <v>-7355.682126</v>
      </c>
      <c r="U119" s="153">
        <f t="shared" si="37"/>
        <v>-16461.40226</v>
      </c>
      <c r="V119" s="153">
        <f t="shared" si="37"/>
        <v>-11001.51623</v>
      </c>
      <c r="W119" s="153">
        <f t="shared" si="37"/>
        <v>-21492.6121</v>
      </c>
      <c r="X119" s="153">
        <f t="shared" si="37"/>
        <v>-9254.822067</v>
      </c>
      <c r="Y119" s="153">
        <f t="shared" si="37"/>
        <v>-11880.25452</v>
      </c>
      <c r="Z119" s="153">
        <f t="shared" si="37"/>
        <v>-8426.957012</v>
      </c>
      <c r="AA119" s="153">
        <f t="shared" si="37"/>
        <v>-9728.278219</v>
      </c>
      <c r="AB119" s="153">
        <f t="shared" si="37"/>
        <v>-19547.28197</v>
      </c>
      <c r="AC119" s="153">
        <f t="shared" si="37"/>
        <v>-10535.34491</v>
      </c>
      <c r="AD119" s="153">
        <f t="shared" si="37"/>
        <v>-7383.777357</v>
      </c>
      <c r="AE119" s="153">
        <f t="shared" si="37"/>
        <v>-14138.5774</v>
      </c>
      <c r="AF119" s="153">
        <f t="shared" si="37"/>
        <v>-40961.14399</v>
      </c>
      <c r="AG119" s="153">
        <f t="shared" si="37"/>
        <v>-2167.285714</v>
      </c>
      <c r="AH119" s="153">
        <f t="shared" si="37"/>
        <v>-2167.285714</v>
      </c>
      <c r="AI119" s="153">
        <f t="shared" si="37"/>
        <v>-2167.285714</v>
      </c>
      <c r="AJ119" s="153">
        <f t="shared" si="37"/>
        <v>-2167.285714</v>
      </c>
      <c r="AK119" s="168"/>
    </row>
    <row r="120">
      <c r="A120" s="648"/>
      <c r="B120" s="650"/>
      <c r="C120" s="525"/>
      <c r="D120" s="525"/>
      <c r="E120" s="260" t="s">
        <v>362</v>
      </c>
      <c r="F120" s="171" t="str">
        <f>F37</f>
        <v>%</v>
      </c>
      <c r="G120" s="667" t="s">
        <v>60</v>
      </c>
      <c r="H120" s="705" t="str">
        <f t="shared" ref="H120:AJ120" si="38">H37</f>
        <v>-</v>
      </c>
      <c r="I120" s="187">
        <f t="shared" si="38"/>
        <v>0</v>
      </c>
      <c r="J120" s="187">
        <f t="shared" si="38"/>
        <v>0</v>
      </c>
      <c r="K120" s="187">
        <f t="shared" si="38"/>
        <v>0</v>
      </c>
      <c r="L120" s="187">
        <f t="shared" si="38"/>
        <v>0</v>
      </c>
      <c r="M120" s="187">
        <f t="shared" si="38"/>
        <v>0</v>
      </c>
      <c r="N120" s="187">
        <f t="shared" si="38"/>
        <v>0</v>
      </c>
      <c r="O120" s="187">
        <f t="shared" si="38"/>
        <v>0</v>
      </c>
      <c r="P120" s="187">
        <f t="shared" si="38"/>
        <v>0</v>
      </c>
      <c r="Q120" s="187">
        <f t="shared" si="38"/>
        <v>0</v>
      </c>
      <c r="R120" s="187">
        <f t="shared" si="38"/>
        <v>0</v>
      </c>
      <c r="S120" s="187">
        <f t="shared" si="38"/>
        <v>0</v>
      </c>
      <c r="T120" s="187">
        <f t="shared" si="38"/>
        <v>0</v>
      </c>
      <c r="U120" s="187">
        <f t="shared" si="38"/>
        <v>0</v>
      </c>
      <c r="V120" s="187">
        <f t="shared" si="38"/>
        <v>0</v>
      </c>
      <c r="W120" s="187">
        <f t="shared" si="38"/>
        <v>0</v>
      </c>
      <c r="X120" s="187">
        <f t="shared" si="38"/>
        <v>0</v>
      </c>
      <c r="Y120" s="187">
        <f t="shared" si="38"/>
        <v>0</v>
      </c>
      <c r="Z120" s="187">
        <f t="shared" si="38"/>
        <v>0</v>
      </c>
      <c r="AA120" s="187">
        <f t="shared" si="38"/>
        <v>0</v>
      </c>
      <c r="AB120" s="187">
        <f t="shared" si="38"/>
        <v>0</v>
      </c>
      <c r="AC120" s="187">
        <f t="shared" si="38"/>
        <v>0</v>
      </c>
      <c r="AD120" s="187">
        <f t="shared" si="38"/>
        <v>0</v>
      </c>
      <c r="AE120" s="187">
        <f t="shared" si="38"/>
        <v>0</v>
      </c>
      <c r="AF120" s="187">
        <f t="shared" si="38"/>
        <v>0</v>
      </c>
      <c r="AG120" s="187">
        <f t="shared" si="38"/>
        <v>0</v>
      </c>
      <c r="AH120" s="187">
        <f t="shared" si="38"/>
        <v>0</v>
      </c>
      <c r="AI120" s="187">
        <f t="shared" si="38"/>
        <v>0</v>
      </c>
      <c r="AJ120" s="187">
        <f t="shared" si="38"/>
        <v>0</v>
      </c>
      <c r="AK120" s="204"/>
    </row>
    <row r="121">
      <c r="A121" s="648"/>
      <c r="B121" s="650"/>
      <c r="C121" s="525"/>
      <c r="D121" s="525"/>
      <c r="E121" s="175" t="s">
        <v>405</v>
      </c>
      <c r="F121" s="192" t="s">
        <v>116</v>
      </c>
      <c r="G121" s="676" t="s">
        <v>164</v>
      </c>
      <c r="H121" s="235" t="s">
        <v>165</v>
      </c>
      <c r="I121" s="200">
        <f t="shared" ref="I121:AJ121" si="39">I119*I120</f>
        <v>0</v>
      </c>
      <c r="J121" s="200">
        <f t="shared" si="39"/>
        <v>0</v>
      </c>
      <c r="K121" s="200">
        <f t="shared" si="39"/>
        <v>0</v>
      </c>
      <c r="L121" s="200">
        <f t="shared" si="39"/>
        <v>0</v>
      </c>
      <c r="M121" s="200">
        <f t="shared" si="39"/>
        <v>0</v>
      </c>
      <c r="N121" s="200">
        <f t="shared" si="39"/>
        <v>0</v>
      </c>
      <c r="O121" s="200">
        <f t="shared" si="39"/>
        <v>0</v>
      </c>
      <c r="P121" s="200">
        <f t="shared" si="39"/>
        <v>0</v>
      </c>
      <c r="Q121" s="200">
        <f t="shared" si="39"/>
        <v>0</v>
      </c>
      <c r="R121" s="200">
        <f t="shared" si="39"/>
        <v>0</v>
      </c>
      <c r="S121" s="200">
        <f t="shared" si="39"/>
        <v>0</v>
      </c>
      <c r="T121" s="200">
        <f t="shared" si="39"/>
        <v>0</v>
      </c>
      <c r="U121" s="200">
        <f t="shared" si="39"/>
        <v>0</v>
      </c>
      <c r="V121" s="200">
        <f t="shared" si="39"/>
        <v>0</v>
      </c>
      <c r="W121" s="200">
        <f t="shared" si="39"/>
        <v>0</v>
      </c>
      <c r="X121" s="200">
        <f t="shared" si="39"/>
        <v>0</v>
      </c>
      <c r="Y121" s="200">
        <f t="shared" si="39"/>
        <v>0</v>
      </c>
      <c r="Z121" s="200">
        <f t="shared" si="39"/>
        <v>0</v>
      </c>
      <c r="AA121" s="200">
        <f t="shared" si="39"/>
        <v>0</v>
      </c>
      <c r="AB121" s="200">
        <f t="shared" si="39"/>
        <v>0</v>
      </c>
      <c r="AC121" s="200">
        <f t="shared" si="39"/>
        <v>0</v>
      </c>
      <c r="AD121" s="200">
        <f t="shared" si="39"/>
        <v>0</v>
      </c>
      <c r="AE121" s="200">
        <f t="shared" si="39"/>
        <v>0</v>
      </c>
      <c r="AF121" s="200">
        <f t="shared" si="39"/>
        <v>0</v>
      </c>
      <c r="AG121" s="200">
        <f t="shared" si="39"/>
        <v>0</v>
      </c>
      <c r="AH121" s="200">
        <f t="shared" si="39"/>
        <v>0</v>
      </c>
      <c r="AI121" s="200">
        <f t="shared" si="39"/>
        <v>0</v>
      </c>
      <c r="AJ121" s="200">
        <f t="shared" si="39"/>
        <v>0</v>
      </c>
      <c r="AK121" s="207"/>
    </row>
    <row r="122">
      <c r="A122" s="648"/>
      <c r="B122" s="650"/>
      <c r="C122" s="525"/>
      <c r="D122" s="525"/>
      <c r="E122" s="299"/>
      <c r="F122" s="651"/>
      <c r="G122" s="652"/>
      <c r="H122" s="653"/>
      <c r="I122" s="654"/>
      <c r="J122" s="654"/>
      <c r="K122" s="654"/>
      <c r="L122" s="654"/>
      <c r="M122" s="654"/>
      <c r="N122" s="654"/>
      <c r="O122" s="654"/>
      <c r="P122" s="654"/>
      <c r="Q122" s="654"/>
      <c r="R122" s="654"/>
      <c r="S122" s="654"/>
      <c r="T122" s="654"/>
      <c r="U122" s="654"/>
      <c r="V122" s="654"/>
      <c r="W122" s="654"/>
      <c r="X122" s="654"/>
      <c r="Y122" s="654"/>
      <c r="Z122" s="654"/>
      <c r="AA122" s="654"/>
      <c r="AB122" s="654"/>
      <c r="AC122" s="654"/>
      <c r="AD122" s="654"/>
      <c r="AE122" s="654"/>
      <c r="AF122" s="654"/>
      <c r="AG122" s="654"/>
      <c r="AH122" s="654"/>
      <c r="AI122" s="654"/>
      <c r="AJ122" s="654"/>
      <c r="AK122" s="656"/>
    </row>
    <row r="123">
      <c r="A123" s="706" t="s">
        <v>431</v>
      </c>
      <c r="B123" s="12"/>
      <c r="C123" s="12"/>
      <c r="D123" s="12"/>
      <c r="E123" s="12"/>
      <c r="F123" s="12"/>
      <c r="G123" s="30"/>
      <c r="H123" s="707"/>
      <c r="I123" s="708"/>
      <c r="J123" s="708"/>
      <c r="K123" s="708"/>
      <c r="L123" s="708"/>
      <c r="M123" s="708"/>
      <c r="N123" s="708"/>
      <c r="O123" s="708"/>
      <c r="P123" s="708"/>
      <c r="Q123" s="708"/>
      <c r="R123" s="708"/>
      <c r="S123" s="708"/>
      <c r="T123" s="708"/>
      <c r="U123" s="708"/>
      <c r="V123" s="708"/>
      <c r="W123" s="708"/>
      <c r="X123" s="708"/>
      <c r="Y123" s="708"/>
      <c r="Z123" s="708"/>
      <c r="AA123" s="708"/>
      <c r="AB123" s="708"/>
      <c r="AC123" s="708"/>
      <c r="AD123" s="708"/>
      <c r="AE123" s="708"/>
      <c r="AF123" s="708"/>
      <c r="AG123" s="708"/>
      <c r="AH123" s="708"/>
      <c r="AI123" s="708"/>
      <c r="AJ123" s="708"/>
      <c r="AK123" s="709"/>
    </row>
    <row r="124">
      <c r="A124" s="648"/>
      <c r="B124" s="650"/>
      <c r="C124" s="130"/>
      <c r="D124" s="525"/>
      <c r="E124" s="299"/>
      <c r="F124" s="651"/>
      <c r="G124" s="652"/>
      <c r="H124" s="653"/>
      <c r="I124" s="710"/>
      <c r="J124" s="710"/>
      <c r="K124" s="710"/>
      <c r="L124" s="710"/>
      <c r="M124" s="710"/>
      <c r="N124" s="710"/>
      <c r="O124" s="710"/>
      <c r="P124" s="710"/>
      <c r="Q124" s="710"/>
      <c r="R124" s="710"/>
      <c r="S124" s="710"/>
      <c r="T124" s="710"/>
      <c r="U124" s="710"/>
      <c r="V124" s="710"/>
      <c r="W124" s="710"/>
      <c r="X124" s="710"/>
      <c r="Y124" s="710"/>
      <c r="Z124" s="710"/>
      <c r="AA124" s="654"/>
      <c r="AB124" s="654"/>
      <c r="AC124" s="654"/>
      <c r="AD124" s="654"/>
      <c r="AE124" s="654"/>
      <c r="AF124" s="654"/>
      <c r="AG124" s="654"/>
      <c r="AH124" s="654"/>
      <c r="AI124" s="654"/>
      <c r="AJ124" s="654"/>
      <c r="AK124" s="656"/>
    </row>
    <row r="125">
      <c r="A125" s="648"/>
      <c r="B125" s="650"/>
      <c r="C125" s="130" t="s">
        <v>432</v>
      </c>
      <c r="F125" s="651"/>
      <c r="G125" s="652"/>
      <c r="H125" s="653"/>
      <c r="I125" s="654"/>
      <c r="J125" s="654"/>
      <c r="K125" s="654"/>
      <c r="L125" s="654"/>
      <c r="M125" s="654"/>
      <c r="N125" s="654"/>
      <c r="O125" s="654"/>
      <c r="P125" s="654"/>
      <c r="Q125" s="654"/>
      <c r="R125" s="654"/>
      <c r="S125" s="654"/>
      <c r="T125" s="654"/>
      <c r="U125" s="654"/>
      <c r="V125" s="654"/>
      <c r="W125" s="654"/>
      <c r="X125" s="654"/>
      <c r="Y125" s="654"/>
      <c r="Z125" s="654"/>
      <c r="AA125" s="654"/>
      <c r="AB125" s="654"/>
      <c r="AC125" s="654"/>
      <c r="AD125" s="654"/>
      <c r="AE125" s="654"/>
      <c r="AF125" s="654"/>
      <c r="AG125" s="654"/>
      <c r="AH125" s="654"/>
      <c r="AI125" s="654"/>
      <c r="AJ125" s="654"/>
      <c r="AK125" s="656"/>
    </row>
    <row r="126">
      <c r="A126" s="648"/>
      <c r="B126" s="650"/>
      <c r="C126" s="525"/>
      <c r="D126" s="525"/>
      <c r="E126" s="143" t="s">
        <v>433</v>
      </c>
      <c r="F126" s="660" t="s">
        <v>116</v>
      </c>
      <c r="G126" s="661" t="s">
        <v>164</v>
      </c>
      <c r="H126" s="256" t="s">
        <v>165</v>
      </c>
      <c r="I126" s="118">
        <f t="shared" ref="I126:AJ126" si="40">I21*I51</f>
        <v>106247.3232</v>
      </c>
      <c r="J126" s="118">
        <f t="shared" si="40"/>
        <v>81375.77049</v>
      </c>
      <c r="K126" s="118">
        <f t="shared" si="40"/>
        <v>45978.34434</v>
      </c>
      <c r="L126" s="118">
        <f t="shared" si="40"/>
        <v>71266.51034</v>
      </c>
      <c r="M126" s="118">
        <f t="shared" si="40"/>
        <v>60186.96921</v>
      </c>
      <c r="N126" s="118">
        <f t="shared" si="40"/>
        <v>24661.45968</v>
      </c>
      <c r="O126" s="118">
        <f t="shared" si="40"/>
        <v>70064.16363</v>
      </c>
      <c r="P126" s="118">
        <f t="shared" si="40"/>
        <v>168487.9669</v>
      </c>
      <c r="Q126" s="118">
        <f t="shared" si="40"/>
        <v>283129.835</v>
      </c>
      <c r="R126" s="118">
        <f t="shared" si="40"/>
        <v>96595.16769</v>
      </c>
      <c r="S126" s="118">
        <f t="shared" si="40"/>
        <v>20825.73875</v>
      </c>
      <c r="T126" s="118">
        <f t="shared" si="40"/>
        <v>11468.36257</v>
      </c>
      <c r="U126" s="118">
        <f t="shared" si="40"/>
        <v>43536.0334</v>
      </c>
      <c r="V126" s="118">
        <f t="shared" si="40"/>
        <v>24307.91905</v>
      </c>
      <c r="W126" s="118">
        <f t="shared" si="40"/>
        <v>61254.47613</v>
      </c>
      <c r="X126" s="118">
        <f t="shared" si="40"/>
        <v>18156.57542</v>
      </c>
      <c r="Y126" s="118">
        <f t="shared" si="40"/>
        <v>27402.57711</v>
      </c>
      <c r="Z126" s="118">
        <f t="shared" si="40"/>
        <v>15241.07795</v>
      </c>
      <c r="AA126" s="118">
        <f t="shared" si="40"/>
        <v>19823.94888</v>
      </c>
      <c r="AB126" s="118">
        <f t="shared" si="40"/>
        <v>54403.595</v>
      </c>
      <c r="AC126" s="118">
        <f t="shared" si="40"/>
        <v>22666.20064</v>
      </c>
      <c r="AD126" s="118">
        <f t="shared" si="40"/>
        <v>11567.30572</v>
      </c>
      <c r="AE126" s="118">
        <f t="shared" si="40"/>
        <v>35355.72675</v>
      </c>
      <c r="AF126" s="118">
        <f t="shared" si="40"/>
        <v>129816.9251</v>
      </c>
      <c r="AG126" s="118">
        <f t="shared" si="40"/>
        <v>26402.65478</v>
      </c>
      <c r="AH126" s="118">
        <f t="shared" si="40"/>
        <v>125335.572</v>
      </c>
      <c r="AI126" s="118">
        <f t="shared" si="40"/>
        <v>77833.00248</v>
      </c>
      <c r="AJ126" s="118">
        <f t="shared" si="40"/>
        <v>33528.72811</v>
      </c>
      <c r="AK126" s="142"/>
    </row>
    <row r="127">
      <c r="A127" s="648"/>
      <c r="B127" s="650"/>
      <c r="C127" s="525"/>
      <c r="D127" s="525"/>
      <c r="E127" s="143" t="s">
        <v>435</v>
      </c>
      <c r="F127" s="660" t="s">
        <v>116</v>
      </c>
      <c r="G127" s="661" t="s">
        <v>164</v>
      </c>
      <c r="H127" s="256" t="s">
        <v>165</v>
      </c>
      <c r="I127" s="118">
        <f t="shared" ref="I127:AJ127" si="41">SUM(I100,I121)</f>
        <v>-2068.981656</v>
      </c>
      <c r="J127" s="118">
        <f t="shared" si="41"/>
        <v>-1794.650046</v>
      </c>
      <c r="K127" s="118">
        <f t="shared" si="41"/>
        <v>-1666.852438</v>
      </c>
      <c r="L127" s="118">
        <f t="shared" si="41"/>
        <v>-2424.512637</v>
      </c>
      <c r="M127" s="118">
        <f t="shared" si="41"/>
        <v>-1512.782524</v>
      </c>
      <c r="N127" s="118">
        <f t="shared" si="41"/>
        <v>-1969.916518</v>
      </c>
      <c r="O127" s="118">
        <f t="shared" si="41"/>
        <v>-2272.980597</v>
      </c>
      <c r="P127" s="118">
        <f t="shared" si="41"/>
        <v>-2106.126772</v>
      </c>
      <c r="Q127" s="118">
        <f t="shared" si="41"/>
        <v>-2211.078254</v>
      </c>
      <c r="R127" s="118">
        <f t="shared" si="41"/>
        <v>-2272.980597</v>
      </c>
      <c r="S127" s="118">
        <f t="shared" si="41"/>
        <v>-2272.980597</v>
      </c>
      <c r="T127" s="118">
        <f t="shared" si="41"/>
        <v>-2272.980597</v>
      </c>
      <c r="U127" s="118">
        <f t="shared" si="41"/>
        <v>-2272.980597</v>
      </c>
      <c r="V127" s="118">
        <f t="shared" si="41"/>
        <v>-2272.980597</v>
      </c>
      <c r="W127" s="118">
        <f t="shared" si="41"/>
        <v>-2272.980597</v>
      </c>
      <c r="X127" s="118">
        <f t="shared" si="41"/>
        <v>-2272.980597</v>
      </c>
      <c r="Y127" s="118">
        <f t="shared" si="41"/>
        <v>-2272.980597</v>
      </c>
      <c r="Z127" s="118">
        <f t="shared" si="41"/>
        <v>-2272.980597</v>
      </c>
      <c r="AA127" s="118">
        <f t="shared" si="41"/>
        <v>-2272.980597</v>
      </c>
      <c r="AB127" s="118">
        <f t="shared" si="41"/>
        <v>-2272.980597</v>
      </c>
      <c r="AC127" s="118">
        <f t="shared" si="41"/>
        <v>-2272.980597</v>
      </c>
      <c r="AD127" s="118">
        <f t="shared" si="41"/>
        <v>-2272.980597</v>
      </c>
      <c r="AE127" s="118">
        <f t="shared" si="41"/>
        <v>-2272.980597</v>
      </c>
      <c r="AF127" s="118">
        <f t="shared" si="41"/>
        <v>-2272.980597</v>
      </c>
      <c r="AG127" s="118">
        <f t="shared" si="41"/>
        <v>-1300.371429</v>
      </c>
      <c r="AH127" s="118">
        <f t="shared" si="41"/>
        <v>-1083.642857</v>
      </c>
      <c r="AI127" s="118">
        <f t="shared" si="41"/>
        <v>-1300.371429</v>
      </c>
      <c r="AJ127" s="118">
        <f t="shared" si="41"/>
        <v>-1300.371429</v>
      </c>
      <c r="AK127" s="142"/>
    </row>
    <row r="128">
      <c r="A128" s="648"/>
      <c r="B128" s="650"/>
      <c r="C128" s="525"/>
      <c r="D128" s="525"/>
      <c r="E128" s="143" t="s">
        <v>437</v>
      </c>
      <c r="F128" s="660" t="s">
        <v>116</v>
      </c>
      <c r="G128" s="661" t="s">
        <v>164</v>
      </c>
      <c r="H128" s="256" t="s">
        <v>165</v>
      </c>
      <c r="I128" s="118">
        <f t="shared" ref="I128:AJ128" si="42">SUM(I74,I84)</f>
        <v>-28906.49695</v>
      </c>
      <c r="J128" s="118">
        <f t="shared" si="42"/>
        <v>-26607.64279</v>
      </c>
      <c r="K128" s="118">
        <f t="shared" si="42"/>
        <v>-15876.05495</v>
      </c>
      <c r="L128" s="118">
        <f t="shared" si="42"/>
        <v>-12516.60207</v>
      </c>
      <c r="M128" s="118">
        <f t="shared" si="42"/>
        <v>-22269.93614</v>
      </c>
      <c r="N128" s="118">
        <f t="shared" si="42"/>
        <v>-6716.035888</v>
      </c>
      <c r="O128" s="118">
        <f t="shared" si="42"/>
        <v>-14801.19091</v>
      </c>
      <c r="P128" s="118">
        <f t="shared" si="42"/>
        <v>-57055.31342</v>
      </c>
      <c r="Q128" s="118">
        <f t="shared" si="42"/>
        <v>-83305.4305</v>
      </c>
      <c r="R128" s="118">
        <f t="shared" si="42"/>
        <v>-22797.22692</v>
      </c>
      <c r="S128" s="118">
        <f t="shared" si="42"/>
        <v>-3854.869687</v>
      </c>
      <c r="T128" s="118">
        <f t="shared" si="42"/>
        <v>-1515.525643</v>
      </c>
      <c r="U128" s="118">
        <f t="shared" si="42"/>
        <v>-9532.443349</v>
      </c>
      <c r="V128" s="118">
        <f t="shared" si="42"/>
        <v>-4725.414763</v>
      </c>
      <c r="W128" s="118">
        <f t="shared" si="42"/>
        <v>-13962.05403</v>
      </c>
      <c r="X128" s="118">
        <f t="shared" si="42"/>
        <v>-3187.578856</v>
      </c>
      <c r="Y128" s="118">
        <f t="shared" si="42"/>
        <v>-5499.079279</v>
      </c>
      <c r="Z128" s="118">
        <f t="shared" si="42"/>
        <v>-2458.704487</v>
      </c>
      <c r="AA128" s="118">
        <f t="shared" si="42"/>
        <v>-3604.42222</v>
      </c>
      <c r="AB128" s="118">
        <f t="shared" si="42"/>
        <v>-12249.33375</v>
      </c>
      <c r="AC128" s="118">
        <f t="shared" si="42"/>
        <v>-4314.98516</v>
      </c>
      <c r="AD128" s="118">
        <f t="shared" si="42"/>
        <v>-1540.26143</v>
      </c>
      <c r="AE128" s="118">
        <f t="shared" si="42"/>
        <v>-7487.366686</v>
      </c>
      <c r="AF128" s="118">
        <f t="shared" si="42"/>
        <v>-31102.66626</v>
      </c>
      <c r="AG128" s="118">
        <f t="shared" si="42"/>
        <v>-6362.361911</v>
      </c>
      <c r="AH128" s="118">
        <f t="shared" si="42"/>
        <v>-57238.08599</v>
      </c>
      <c r="AI128" s="118">
        <f t="shared" si="42"/>
        <v>-26934.50099</v>
      </c>
      <c r="AJ128" s="118">
        <f t="shared" si="42"/>
        <v>-11214.06124</v>
      </c>
      <c r="AK128" s="142"/>
    </row>
    <row r="129">
      <c r="A129" s="648"/>
      <c r="B129" s="650"/>
      <c r="C129" s="525"/>
      <c r="D129" s="525"/>
      <c r="E129" s="260" t="s">
        <v>440</v>
      </c>
      <c r="F129" s="171" t="s">
        <v>116</v>
      </c>
      <c r="G129" s="667" t="s">
        <v>164</v>
      </c>
      <c r="H129" s="223" t="s">
        <v>165</v>
      </c>
      <c r="I129" s="153">
        <f t="shared" ref="I129:AJ129" si="43">SUM(I74,I84,I100,I121)</f>
        <v>-30975.4786</v>
      </c>
      <c r="J129" s="153">
        <f t="shared" si="43"/>
        <v>-28402.29283</v>
      </c>
      <c r="K129" s="153">
        <f t="shared" si="43"/>
        <v>-17542.90739</v>
      </c>
      <c r="L129" s="153">
        <f t="shared" si="43"/>
        <v>-14941.11471</v>
      </c>
      <c r="M129" s="153">
        <f t="shared" si="43"/>
        <v>-23782.71867</v>
      </c>
      <c r="N129" s="153">
        <f t="shared" si="43"/>
        <v>-8685.952406</v>
      </c>
      <c r="O129" s="153">
        <f t="shared" si="43"/>
        <v>-17074.17151</v>
      </c>
      <c r="P129" s="153">
        <f t="shared" si="43"/>
        <v>-59161.44019</v>
      </c>
      <c r="Q129" s="153">
        <f t="shared" si="43"/>
        <v>-85516.50875</v>
      </c>
      <c r="R129" s="153">
        <f t="shared" si="43"/>
        <v>-25070.20752</v>
      </c>
      <c r="S129" s="153">
        <f t="shared" si="43"/>
        <v>-6127.850285</v>
      </c>
      <c r="T129" s="153">
        <f t="shared" si="43"/>
        <v>-3788.50624</v>
      </c>
      <c r="U129" s="153">
        <f t="shared" si="43"/>
        <v>-11805.42395</v>
      </c>
      <c r="V129" s="153">
        <f t="shared" si="43"/>
        <v>-6998.39536</v>
      </c>
      <c r="W129" s="153">
        <f t="shared" si="43"/>
        <v>-16235.03463</v>
      </c>
      <c r="X129" s="153">
        <f t="shared" si="43"/>
        <v>-5460.559453</v>
      </c>
      <c r="Y129" s="153">
        <f t="shared" si="43"/>
        <v>-7772.059876</v>
      </c>
      <c r="Z129" s="153">
        <f t="shared" si="43"/>
        <v>-4731.685085</v>
      </c>
      <c r="AA129" s="153">
        <f t="shared" si="43"/>
        <v>-5877.402817</v>
      </c>
      <c r="AB129" s="153">
        <f t="shared" si="43"/>
        <v>-14522.31435</v>
      </c>
      <c r="AC129" s="153">
        <f t="shared" si="43"/>
        <v>-6587.965758</v>
      </c>
      <c r="AD129" s="153">
        <f t="shared" si="43"/>
        <v>-3813.242027</v>
      </c>
      <c r="AE129" s="153">
        <f t="shared" si="43"/>
        <v>-9760.347284</v>
      </c>
      <c r="AF129" s="153">
        <f t="shared" si="43"/>
        <v>-33375.64686</v>
      </c>
      <c r="AG129" s="153">
        <f t="shared" si="43"/>
        <v>-7662.73334</v>
      </c>
      <c r="AH129" s="153">
        <f t="shared" si="43"/>
        <v>-58321.72884</v>
      </c>
      <c r="AI129" s="153">
        <f t="shared" si="43"/>
        <v>-28234.87242</v>
      </c>
      <c r="AJ129" s="153">
        <f t="shared" si="43"/>
        <v>-12514.43267</v>
      </c>
      <c r="AK129" s="168"/>
    </row>
    <row r="130">
      <c r="A130" s="648"/>
      <c r="B130" s="650"/>
      <c r="C130" s="525"/>
      <c r="D130" s="525"/>
      <c r="E130" s="274" t="s">
        <v>442</v>
      </c>
      <c r="F130" s="711" t="s">
        <v>443</v>
      </c>
      <c r="G130" s="711" t="s">
        <v>164</v>
      </c>
      <c r="H130" s="249" t="s">
        <v>165</v>
      </c>
      <c r="I130" s="446">
        <f t="shared" ref="I130:AJ130" si="44">SUM(I126,I129)</f>
        <v>75271.84455</v>
      </c>
      <c r="J130" s="446">
        <f t="shared" si="44"/>
        <v>52973.47766</v>
      </c>
      <c r="K130" s="446">
        <f t="shared" si="44"/>
        <v>28435.43695</v>
      </c>
      <c r="L130" s="446">
        <f t="shared" si="44"/>
        <v>56325.39564</v>
      </c>
      <c r="M130" s="446">
        <f t="shared" si="44"/>
        <v>36404.25054</v>
      </c>
      <c r="N130" s="446">
        <f t="shared" si="44"/>
        <v>15975.50727</v>
      </c>
      <c r="O130" s="446">
        <f t="shared" si="44"/>
        <v>52989.99213</v>
      </c>
      <c r="P130" s="446">
        <f t="shared" si="44"/>
        <v>109326.5267</v>
      </c>
      <c r="Q130" s="446">
        <f t="shared" si="44"/>
        <v>197613.3262</v>
      </c>
      <c r="R130" s="446">
        <f t="shared" si="44"/>
        <v>71524.96017</v>
      </c>
      <c r="S130" s="446">
        <f t="shared" si="44"/>
        <v>14697.88846</v>
      </c>
      <c r="T130" s="446">
        <f t="shared" si="44"/>
        <v>7679.85633</v>
      </c>
      <c r="U130" s="446">
        <f t="shared" si="44"/>
        <v>31730.60945</v>
      </c>
      <c r="V130" s="446">
        <f t="shared" si="44"/>
        <v>17309.52369</v>
      </c>
      <c r="W130" s="446">
        <f t="shared" si="44"/>
        <v>45019.4415</v>
      </c>
      <c r="X130" s="446">
        <f t="shared" si="44"/>
        <v>12696.01597</v>
      </c>
      <c r="Y130" s="446">
        <f t="shared" si="44"/>
        <v>19630.51724</v>
      </c>
      <c r="Z130" s="446">
        <f t="shared" si="44"/>
        <v>10509.39286</v>
      </c>
      <c r="AA130" s="446">
        <f t="shared" si="44"/>
        <v>13946.54606</v>
      </c>
      <c r="AB130" s="446">
        <f t="shared" si="44"/>
        <v>39881.28065</v>
      </c>
      <c r="AC130" s="446">
        <f t="shared" si="44"/>
        <v>16078.23488</v>
      </c>
      <c r="AD130" s="446">
        <f t="shared" si="44"/>
        <v>7754.063691</v>
      </c>
      <c r="AE130" s="446">
        <f t="shared" si="44"/>
        <v>25595.37946</v>
      </c>
      <c r="AF130" s="446">
        <f t="shared" si="44"/>
        <v>96441.2782</v>
      </c>
      <c r="AG130" s="446">
        <f t="shared" si="44"/>
        <v>18739.92144</v>
      </c>
      <c r="AH130" s="446">
        <f t="shared" si="44"/>
        <v>67013.84313</v>
      </c>
      <c r="AI130" s="446">
        <f t="shared" si="44"/>
        <v>49598.13006</v>
      </c>
      <c r="AJ130" s="446">
        <f t="shared" si="44"/>
        <v>21014.29544</v>
      </c>
      <c r="AK130" s="451"/>
    </row>
    <row r="131">
      <c r="A131" s="648"/>
      <c r="B131" s="650"/>
      <c r="C131" s="525"/>
      <c r="D131" s="525"/>
      <c r="E131" s="299"/>
      <c r="F131" s="651"/>
      <c r="G131" s="651"/>
      <c r="H131" s="712"/>
      <c r="I131" s="323"/>
      <c r="J131" s="323"/>
      <c r="K131" s="323"/>
      <c r="L131" s="323"/>
      <c r="M131" s="323"/>
      <c r="N131" s="323"/>
      <c r="O131" s="323"/>
      <c r="P131" s="323"/>
      <c r="Q131" s="323"/>
      <c r="R131" s="323"/>
      <c r="S131" s="323"/>
      <c r="T131" s="323"/>
      <c r="U131" s="323"/>
      <c r="V131" s="323"/>
      <c r="W131" s="323"/>
      <c r="X131" s="323"/>
      <c r="Y131" s="323"/>
      <c r="Z131" s="323"/>
      <c r="AA131" s="323"/>
      <c r="AB131" s="323"/>
      <c r="AC131" s="323"/>
      <c r="AD131" s="323"/>
      <c r="AE131" s="323"/>
      <c r="AF131" s="323"/>
      <c r="AG131" s="323"/>
      <c r="AH131" s="323"/>
      <c r="AI131" s="323"/>
      <c r="AJ131" s="323"/>
      <c r="AK131" s="713"/>
    </row>
    <row r="132">
      <c r="A132" s="648"/>
      <c r="B132" s="650"/>
      <c r="C132" s="130" t="s">
        <v>431</v>
      </c>
      <c r="F132" s="651"/>
      <c r="G132" s="651"/>
      <c r="H132" s="712"/>
      <c r="AK132" s="714"/>
    </row>
    <row r="133">
      <c r="A133" s="648"/>
      <c r="B133" s="650"/>
      <c r="C133" s="525"/>
      <c r="D133" s="525"/>
      <c r="E133" s="143" t="s">
        <v>445</v>
      </c>
      <c r="F133" s="660" t="s">
        <v>112</v>
      </c>
      <c r="G133" s="661" t="s">
        <v>164</v>
      </c>
      <c r="H133" s="256" t="s">
        <v>165</v>
      </c>
      <c r="I133" s="166">
        <f t="shared" ref="I133:AJ133" si="45">I127/I126</f>
        <v>-0.01947325914</v>
      </c>
      <c r="J133" s="166">
        <f t="shared" si="45"/>
        <v>-0.02205386241</v>
      </c>
      <c r="K133" s="166">
        <f t="shared" si="45"/>
        <v>-0.03625298958</v>
      </c>
      <c r="L133" s="166">
        <f t="shared" si="45"/>
        <v>-0.0340203642</v>
      </c>
      <c r="M133" s="166">
        <f t="shared" si="45"/>
        <v>-0.02513471842</v>
      </c>
      <c r="N133" s="166">
        <f t="shared" si="45"/>
        <v>-0.07987834229</v>
      </c>
      <c r="O133" s="166">
        <f t="shared" si="45"/>
        <v>-0.03244141483</v>
      </c>
      <c r="P133" s="166">
        <f t="shared" si="45"/>
        <v>-0.01250016135</v>
      </c>
      <c r="Q133" s="166">
        <f t="shared" si="45"/>
        <v>-0.007809414554</v>
      </c>
      <c r="R133" s="166">
        <f t="shared" si="45"/>
        <v>-0.02353099696</v>
      </c>
      <c r="S133" s="166">
        <f t="shared" si="45"/>
        <v>-0.1091428556</v>
      </c>
      <c r="T133" s="166">
        <f t="shared" si="45"/>
        <v>-0.1981957392</v>
      </c>
      <c r="U133" s="166">
        <f t="shared" si="45"/>
        <v>-0.05220917985</v>
      </c>
      <c r="V133" s="166">
        <f t="shared" si="45"/>
        <v>-0.09350782321</v>
      </c>
      <c r="W133" s="166">
        <f t="shared" si="45"/>
        <v>-0.03710717552</v>
      </c>
      <c r="X133" s="166">
        <f t="shared" si="45"/>
        <v>-0.1251877375</v>
      </c>
      <c r="Y133" s="166">
        <f t="shared" si="45"/>
        <v>-0.08294769458</v>
      </c>
      <c r="Z133" s="166">
        <f t="shared" si="45"/>
        <v>-0.1491351599</v>
      </c>
      <c r="AA133" s="166">
        <f t="shared" si="45"/>
        <v>-0.1146583161</v>
      </c>
      <c r="AB133" s="166">
        <f t="shared" si="45"/>
        <v>-0.04177997056</v>
      </c>
      <c r="AC133" s="166">
        <f t="shared" si="45"/>
        <v>-0.1002806175</v>
      </c>
      <c r="AD133" s="166">
        <f t="shared" si="45"/>
        <v>-0.1965004343</v>
      </c>
      <c r="AE133" s="166">
        <f t="shared" si="45"/>
        <v>-0.0642888948</v>
      </c>
      <c r="AF133" s="166">
        <f t="shared" si="45"/>
        <v>-0.01750912369</v>
      </c>
      <c r="AG133" s="166">
        <f t="shared" si="45"/>
        <v>-0.04925154078</v>
      </c>
      <c r="AH133" s="166">
        <f t="shared" si="45"/>
        <v>-0.008645932197</v>
      </c>
      <c r="AI133" s="166">
        <f t="shared" si="45"/>
        <v>-0.01670719858</v>
      </c>
      <c r="AJ133" s="166">
        <f t="shared" si="45"/>
        <v>-0.03878379831</v>
      </c>
      <c r="AK133" s="180"/>
    </row>
    <row r="134">
      <c r="A134" s="648"/>
      <c r="B134" s="650"/>
      <c r="C134" s="525"/>
      <c r="D134" s="525"/>
      <c r="E134" s="143" t="s">
        <v>448</v>
      </c>
      <c r="F134" s="660" t="s">
        <v>112</v>
      </c>
      <c r="G134" s="661" t="s">
        <v>164</v>
      </c>
      <c r="H134" s="256" t="s">
        <v>165</v>
      </c>
      <c r="I134" s="323">
        <f t="shared" ref="I134:AJ134" si="46">I128/I126</f>
        <v>-0.2720680022</v>
      </c>
      <c r="J134" s="323">
        <f t="shared" si="46"/>
        <v>-0.3269725451</v>
      </c>
      <c r="K134" s="323">
        <f t="shared" si="46"/>
        <v>-0.3452941854</v>
      </c>
      <c r="L134" s="323">
        <f t="shared" si="46"/>
        <v>-0.1756309101</v>
      </c>
      <c r="M134" s="323">
        <f t="shared" si="46"/>
        <v>-0.3700125864</v>
      </c>
      <c r="N134" s="323">
        <f t="shared" si="46"/>
        <v>-0.2723292123</v>
      </c>
      <c r="O134" s="323">
        <f t="shared" si="46"/>
        <v>-0.2112519459</v>
      </c>
      <c r="P134" s="323">
        <f t="shared" si="46"/>
        <v>-0.338631384</v>
      </c>
      <c r="Q134" s="323">
        <f t="shared" si="46"/>
        <v>-0.2942304915</v>
      </c>
      <c r="R134" s="323">
        <f t="shared" si="46"/>
        <v>-0.236007944</v>
      </c>
      <c r="S134" s="323">
        <f t="shared" si="46"/>
        <v>-0.1851012218</v>
      </c>
      <c r="T134" s="323">
        <f t="shared" si="46"/>
        <v>-0.1321483894</v>
      </c>
      <c r="U134" s="323">
        <f t="shared" si="46"/>
        <v>-0.2189552563</v>
      </c>
      <c r="V134" s="323">
        <f t="shared" si="46"/>
        <v>-0.1943981611</v>
      </c>
      <c r="W134" s="323">
        <f t="shared" si="46"/>
        <v>-0.2279352451</v>
      </c>
      <c r="X134" s="323">
        <f t="shared" si="46"/>
        <v>-0.1755605769</v>
      </c>
      <c r="Y134" s="323">
        <f t="shared" si="46"/>
        <v>-0.2006774493</v>
      </c>
      <c r="Z134" s="323">
        <f t="shared" si="46"/>
        <v>-0.161320905</v>
      </c>
      <c r="AA134" s="323">
        <f t="shared" si="46"/>
        <v>-0.1818216059</v>
      </c>
      <c r="AB134" s="323">
        <f t="shared" si="46"/>
        <v>-0.2251566969</v>
      </c>
      <c r="AC134" s="323">
        <f t="shared" si="46"/>
        <v>-0.1903709064</v>
      </c>
      <c r="AD134" s="323">
        <f t="shared" si="46"/>
        <v>-0.1331564555</v>
      </c>
      <c r="AE134" s="323">
        <f t="shared" si="46"/>
        <v>-0.2117723881</v>
      </c>
      <c r="AF134" s="323">
        <f t="shared" si="46"/>
        <v>-0.2395886842</v>
      </c>
      <c r="AG134" s="323">
        <f t="shared" si="46"/>
        <v>-0.2409743249</v>
      </c>
      <c r="AH134" s="323">
        <f t="shared" si="46"/>
        <v>-0.4566786993</v>
      </c>
      <c r="AI134" s="323">
        <f t="shared" si="46"/>
        <v>-0.3460550169</v>
      </c>
      <c r="AJ134" s="323">
        <f t="shared" si="46"/>
        <v>-0.3344612777</v>
      </c>
      <c r="AK134" s="713"/>
    </row>
    <row r="135">
      <c r="A135" s="648"/>
      <c r="B135" s="650"/>
      <c r="C135" s="525"/>
      <c r="D135" s="525"/>
      <c r="E135" s="175" t="s">
        <v>450</v>
      </c>
      <c r="F135" s="192" t="s">
        <v>112</v>
      </c>
      <c r="G135" s="676" t="s">
        <v>164</v>
      </c>
      <c r="H135" s="235" t="s">
        <v>165</v>
      </c>
      <c r="I135" s="233">
        <f t="shared" ref="I135:AJ135" si="47">I129/I126</f>
        <v>-0.2915412613</v>
      </c>
      <c r="J135" s="233">
        <f t="shared" si="47"/>
        <v>-0.3490264075</v>
      </c>
      <c r="K135" s="233">
        <f t="shared" si="47"/>
        <v>-0.3815471749</v>
      </c>
      <c r="L135" s="233">
        <f t="shared" si="47"/>
        <v>-0.2096512743</v>
      </c>
      <c r="M135" s="233">
        <f t="shared" si="47"/>
        <v>-0.3951473048</v>
      </c>
      <c r="N135" s="233">
        <f t="shared" si="47"/>
        <v>-0.3522075546</v>
      </c>
      <c r="O135" s="233">
        <f t="shared" si="47"/>
        <v>-0.2436933608</v>
      </c>
      <c r="P135" s="233">
        <f t="shared" si="47"/>
        <v>-0.3511315453</v>
      </c>
      <c r="Q135" s="233">
        <f t="shared" si="47"/>
        <v>-0.302039906</v>
      </c>
      <c r="R135" s="233">
        <f t="shared" si="47"/>
        <v>-0.2595389409</v>
      </c>
      <c r="S135" s="233">
        <f t="shared" si="47"/>
        <v>-0.2942440774</v>
      </c>
      <c r="T135" s="233">
        <f t="shared" si="47"/>
        <v>-0.3303441286</v>
      </c>
      <c r="U135" s="233">
        <f t="shared" si="47"/>
        <v>-0.2711644361</v>
      </c>
      <c r="V135" s="233">
        <f t="shared" si="47"/>
        <v>-0.2879059843</v>
      </c>
      <c r="W135" s="233">
        <f t="shared" si="47"/>
        <v>-0.2650424207</v>
      </c>
      <c r="X135" s="233">
        <f t="shared" si="47"/>
        <v>-0.3007483144</v>
      </c>
      <c r="Y135" s="233">
        <f t="shared" si="47"/>
        <v>-0.2836251438</v>
      </c>
      <c r="Z135" s="233">
        <f t="shared" si="47"/>
        <v>-0.3104560649</v>
      </c>
      <c r="AA135" s="233">
        <f t="shared" si="47"/>
        <v>-0.296479922</v>
      </c>
      <c r="AB135" s="233">
        <f t="shared" si="47"/>
        <v>-0.2669366675</v>
      </c>
      <c r="AC135" s="233">
        <f t="shared" si="47"/>
        <v>-0.2906515239</v>
      </c>
      <c r="AD135" s="233">
        <f t="shared" si="47"/>
        <v>-0.3296568898</v>
      </c>
      <c r="AE135" s="233">
        <f t="shared" si="47"/>
        <v>-0.2760612829</v>
      </c>
      <c r="AF135" s="233">
        <f t="shared" si="47"/>
        <v>-0.2570978079</v>
      </c>
      <c r="AG135" s="233">
        <f t="shared" si="47"/>
        <v>-0.2902258657</v>
      </c>
      <c r="AH135" s="233">
        <f t="shared" si="47"/>
        <v>-0.4653246315</v>
      </c>
      <c r="AI135" s="233">
        <f t="shared" si="47"/>
        <v>-0.3627622155</v>
      </c>
      <c r="AJ135" s="233">
        <f t="shared" si="47"/>
        <v>-0.373245076</v>
      </c>
      <c r="AK135" s="239"/>
    </row>
    <row r="136">
      <c r="A136" s="648"/>
      <c r="B136" s="650"/>
      <c r="C136" s="525"/>
      <c r="D136" s="525"/>
      <c r="E136" s="299"/>
      <c r="F136" s="651"/>
      <c r="G136" s="652"/>
      <c r="H136" s="653"/>
      <c r="I136" s="323"/>
      <c r="J136" s="323"/>
      <c r="K136" s="323"/>
      <c r="L136" s="323"/>
      <c r="M136" s="323"/>
      <c r="N136" s="323"/>
      <c r="O136" s="323"/>
      <c r="P136" s="323"/>
      <c r="Q136" s="323"/>
      <c r="R136" s="323"/>
      <c r="S136" s="323"/>
      <c r="T136" s="323"/>
      <c r="U136" s="323"/>
      <c r="V136" s="323"/>
      <c r="W136" s="323"/>
      <c r="X136" s="323"/>
      <c r="Y136" s="323"/>
      <c r="Z136" s="323"/>
      <c r="AA136" s="323"/>
      <c r="AB136" s="323"/>
      <c r="AC136" s="323"/>
      <c r="AD136" s="323"/>
      <c r="AE136" s="323"/>
      <c r="AF136" s="323"/>
      <c r="AG136" s="323"/>
      <c r="AH136" s="323"/>
      <c r="AI136" s="323"/>
      <c r="AJ136" s="323"/>
      <c r="AK136" s="713"/>
    </row>
    <row r="137">
      <c r="A137" s="648"/>
      <c r="B137" s="650"/>
      <c r="C137" s="130" t="s">
        <v>452</v>
      </c>
      <c r="F137" s="651"/>
      <c r="G137" s="651"/>
      <c r="H137" s="653"/>
      <c r="I137" s="323"/>
      <c r="J137" s="323"/>
      <c r="K137" s="323"/>
      <c r="L137" s="323"/>
      <c r="M137" s="323"/>
      <c r="N137" s="323"/>
      <c r="O137" s="323"/>
      <c r="P137" s="323"/>
      <c r="Q137" s="323"/>
      <c r="R137" s="323"/>
      <c r="S137" s="323"/>
      <c r="T137" s="323"/>
      <c r="U137" s="323"/>
      <c r="V137" s="323"/>
      <c r="W137" s="323"/>
      <c r="X137" s="323"/>
      <c r="Y137" s="323"/>
      <c r="Z137" s="323"/>
      <c r="AA137" s="323"/>
      <c r="AB137" s="323"/>
      <c r="AC137" s="323"/>
      <c r="AD137" s="323"/>
      <c r="AE137" s="323"/>
      <c r="AF137" s="323"/>
      <c r="AG137" s="323"/>
      <c r="AH137" s="323"/>
      <c r="AI137" s="323"/>
      <c r="AJ137" s="323"/>
      <c r="AK137" s="713"/>
    </row>
    <row r="138">
      <c r="A138" s="648"/>
      <c r="B138" s="650"/>
      <c r="C138" s="525"/>
      <c r="D138" s="525"/>
      <c r="E138" s="274" t="s">
        <v>452</v>
      </c>
      <c r="F138" s="711" t="s">
        <v>112</v>
      </c>
      <c r="G138" s="711" t="s">
        <v>164</v>
      </c>
      <c r="H138" s="249" t="s">
        <v>165</v>
      </c>
      <c r="I138" s="675">
        <f t="shared" ref="I138:AJ138" si="48">((MIN(I72,0)*I73)+(MIN(I82,0)*I83)+I127)/I126</f>
        <v>-0.2915412613</v>
      </c>
      <c r="J138" s="675">
        <f t="shared" si="48"/>
        <v>-0.3490264075</v>
      </c>
      <c r="K138" s="675">
        <f t="shared" si="48"/>
        <v>-0.3815471749</v>
      </c>
      <c r="L138" s="675">
        <f t="shared" si="48"/>
        <v>-0.2096512743</v>
      </c>
      <c r="M138" s="675">
        <f t="shared" si="48"/>
        <v>-0.3951473048</v>
      </c>
      <c r="N138" s="675">
        <f t="shared" si="48"/>
        <v>-0.3522075546</v>
      </c>
      <c r="O138" s="675">
        <f t="shared" si="48"/>
        <v>-0.2436933608</v>
      </c>
      <c r="P138" s="675">
        <f t="shared" si="48"/>
        <v>-0.3511315453</v>
      </c>
      <c r="Q138" s="675">
        <f t="shared" si="48"/>
        <v>-0.302039906</v>
      </c>
      <c r="R138" s="675">
        <f t="shared" si="48"/>
        <v>-0.2595389409</v>
      </c>
      <c r="S138" s="675">
        <f t="shared" si="48"/>
        <v>-0.2942440774</v>
      </c>
      <c r="T138" s="675">
        <f t="shared" si="48"/>
        <v>-0.3303441286</v>
      </c>
      <c r="U138" s="675">
        <f t="shared" si="48"/>
        <v>-0.2711644361</v>
      </c>
      <c r="V138" s="675">
        <f t="shared" si="48"/>
        <v>-0.2879059843</v>
      </c>
      <c r="W138" s="675">
        <f t="shared" si="48"/>
        <v>-0.2650424207</v>
      </c>
      <c r="X138" s="675">
        <f t="shared" si="48"/>
        <v>-0.3007483144</v>
      </c>
      <c r="Y138" s="675">
        <f t="shared" si="48"/>
        <v>-0.2836251438</v>
      </c>
      <c r="Z138" s="675">
        <f t="shared" si="48"/>
        <v>-0.3104560649</v>
      </c>
      <c r="AA138" s="675">
        <f t="shared" si="48"/>
        <v>-0.296479922</v>
      </c>
      <c r="AB138" s="675">
        <f t="shared" si="48"/>
        <v>-0.2669366675</v>
      </c>
      <c r="AC138" s="675">
        <f t="shared" si="48"/>
        <v>-0.2906515239</v>
      </c>
      <c r="AD138" s="675">
        <f t="shared" si="48"/>
        <v>-0.3296568898</v>
      </c>
      <c r="AE138" s="675">
        <f t="shared" si="48"/>
        <v>-0.2760612829</v>
      </c>
      <c r="AF138" s="675">
        <f t="shared" si="48"/>
        <v>-0.2570978079</v>
      </c>
      <c r="AG138" s="675">
        <f t="shared" si="48"/>
        <v>-0.2902258657</v>
      </c>
      <c r="AH138" s="675">
        <f t="shared" si="48"/>
        <v>-0.4653246315</v>
      </c>
      <c r="AI138" s="675">
        <f t="shared" si="48"/>
        <v>-0.3627622155</v>
      </c>
      <c r="AJ138" s="675">
        <f t="shared" si="48"/>
        <v>-0.373245076</v>
      </c>
      <c r="AK138" s="679"/>
    </row>
    <row r="139">
      <c r="A139" s="719"/>
      <c r="B139" s="720"/>
      <c r="C139" s="541"/>
      <c r="D139" s="541"/>
      <c r="E139" s="274"/>
      <c r="F139" s="711"/>
      <c r="G139" s="711"/>
      <c r="H139" s="722"/>
      <c r="I139" s="446"/>
      <c r="J139" s="446"/>
      <c r="K139" s="446"/>
      <c r="L139" s="446"/>
      <c r="M139" s="446"/>
      <c r="N139" s="446"/>
      <c r="O139" s="446"/>
      <c r="P139" s="446"/>
      <c r="Q139" s="446"/>
      <c r="R139" s="446"/>
      <c r="S139" s="446"/>
      <c r="T139" s="446"/>
      <c r="U139" s="446"/>
      <c r="V139" s="446"/>
      <c r="W139" s="446"/>
      <c r="X139" s="446"/>
      <c r="Y139" s="446"/>
      <c r="Z139" s="446"/>
      <c r="AA139" s="446"/>
      <c r="AB139" s="446"/>
      <c r="AC139" s="446"/>
      <c r="AD139" s="446"/>
      <c r="AE139" s="446"/>
      <c r="AF139" s="446"/>
      <c r="AG139" s="446"/>
      <c r="AH139" s="446"/>
      <c r="AI139" s="446"/>
      <c r="AJ139" s="446"/>
      <c r="AK139" s="451"/>
    </row>
  </sheetData>
  <mergeCells count="36">
    <mergeCell ref="I1:P1"/>
    <mergeCell ref="Q1:X1"/>
    <mergeCell ref="Y1:AF1"/>
    <mergeCell ref="AG1:AJ1"/>
    <mergeCell ref="A3:E3"/>
    <mergeCell ref="A5:G5"/>
    <mergeCell ref="C7:E7"/>
    <mergeCell ref="C10:E10"/>
    <mergeCell ref="C17:E17"/>
    <mergeCell ref="C20:E20"/>
    <mergeCell ref="C27:E27"/>
    <mergeCell ref="A31:G31"/>
    <mergeCell ref="C33:E33"/>
    <mergeCell ref="C39:E39"/>
    <mergeCell ref="A45:G45"/>
    <mergeCell ref="C47:E47"/>
    <mergeCell ref="C53:E53"/>
    <mergeCell ref="C59:E59"/>
    <mergeCell ref="A64:G64"/>
    <mergeCell ref="C66:E66"/>
    <mergeCell ref="D67:E67"/>
    <mergeCell ref="D103:E103"/>
    <mergeCell ref="D108:E108"/>
    <mergeCell ref="D113:E113"/>
    <mergeCell ref="D118:E118"/>
    <mergeCell ref="A123:G123"/>
    <mergeCell ref="C125:E125"/>
    <mergeCell ref="C132:E132"/>
    <mergeCell ref="C137:E137"/>
    <mergeCell ref="C76:E76"/>
    <mergeCell ref="D77:E77"/>
    <mergeCell ref="C86:E86"/>
    <mergeCell ref="D87:E87"/>
    <mergeCell ref="D92:E92"/>
    <mergeCell ref="D97:E97"/>
    <mergeCell ref="C102:E102"/>
  </mergeCells>
  <hyperlinks>
    <hyperlink display="Grant size" location="Inputs!E8" ref="E8"/>
    <hyperlink display="Percentage of total costs covered by the grantee" location="Inputs!E11" ref="E11"/>
    <hyperlink display="Percentage of total costs covered by Nutrition International (vitamin A capsule procurement)" location="Inputs!E12" ref="E12"/>
    <hyperlink display="Percentage of total costs covered by other philanthropic actors" location="Inputs!E13" ref="E13"/>
    <hyperlink display="Percentage of total costs covered by domestic governments (financial contributions)" location="Inputs!E14" ref="E14"/>
    <hyperlink display="Percentage of total costs covered by domestic governments (in-kind contributions)" location="Inputs!E15" ref="E15"/>
    <hyperlink display="Total spending by all contributors" location="'Main CEA'!E18" ref="E18"/>
    <hyperlink display="Total spending contributed by grantee" location="'Main CEA'!E21" ref="E21"/>
    <hyperlink display="Total spending contributed by Nutrition International (vitamin A capsule procurement)" location="'Main CEA'!E22" ref="E22"/>
    <hyperlink display="Total spending contributed by other philanthropic actors" location="'Main CEA'!E23" ref="E23"/>
    <hyperlink display="Total spending contributed by domestic governments (financial contributions)" location="'Main CEA'!E24" ref="E24"/>
    <hyperlink display="Total spending contributed by domestic governments (in-kind contributions)" location="'Main CEA'!E25" ref="E25"/>
    <hyperlink display="Scenario 1: Domestic governments would replace the grantee's costs" location="Inputs!E193" ref="E34"/>
    <hyperlink display="Scenario 2: Other philanthropic actors would replace the grantee's costs" location="Inputs!E194" ref="E35"/>
    <hyperlink display="Scenario 3: Other actors' upstream costs would stay the same (downstream costs would shrink in proportion to the total size of the program)" location="Inputs!E195" ref="E36"/>
    <hyperlink display="Scenario 1: Domestic governments would replace the grantee's costs" location="Inputs!E198" ref="E40"/>
    <hyperlink display="Scenario 2: Other philanthropic actors would replace the grantee's costs" location="Inputs!E199" ref="E41"/>
    <hyperlink display="Scenario 4: Distributions would go unfunded" location="Inputs!E200" ref="E43"/>
    <hyperlink display="Units of value generated per dollar spent (before final adjustments)" location="'Main CEA'!E93" ref="E48"/>
    <hyperlink display="Total supplemental grantee-level adjustment" location="'Main CEA'!D121" ref="E49"/>
    <hyperlink display="Total supplemental intervention-level adjustment" location="'Main CEA'!D135" ref="E50"/>
    <hyperlink display="Total lives saved (before final adjustments)" location="'Main CEA'!E103" ref="E54"/>
    <hyperlink display="Total supplemental intervention-level adjustment affecting lives saved" location="'Main CEA'!E160" ref="E56"/>
    <hyperlink display="Counterfactual value per dollar spent by domestic governments on VAS programs" location="Inputs!E203" ref="E60"/>
    <hyperlink display="Counterfactual value per dollar spent by Nutrition International" location="Inputs!E204" ref="E61"/>
    <hyperlink display="Counterfactual value per dollar spent by other philanthropic actors supporting VAS campaigns" location="Inputs!E205" ref="E6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4" width="1.88"/>
    <col customWidth="1" min="5" max="5" width="70.25"/>
    <col customWidth="1" min="6" max="7" width="7.25"/>
    <col customWidth="1" min="8" max="36" width="12.13"/>
    <col customWidth="1" min="37" max="37" width="3.63"/>
    <col customWidth="1" min="38" max="38" width="17.38"/>
    <col customWidth="1" min="39" max="39" width="61.13"/>
  </cols>
  <sheetData>
    <row r="1">
      <c r="A1" s="1"/>
      <c r="B1" s="4"/>
      <c r="C1" s="4"/>
      <c r="D1" s="4"/>
      <c r="E1" s="296"/>
      <c r="F1" s="7"/>
      <c r="G1" s="7"/>
      <c r="H1" s="8"/>
      <c r="I1" s="51" t="s">
        <v>1</v>
      </c>
      <c r="J1" s="47"/>
      <c r="K1" s="47"/>
      <c r="L1" s="47"/>
      <c r="M1" s="47"/>
      <c r="N1" s="47"/>
      <c r="O1" s="47"/>
      <c r="P1" s="47"/>
      <c r="Q1" s="210" t="s">
        <v>1</v>
      </c>
      <c r="R1" s="12"/>
      <c r="S1" s="12"/>
      <c r="T1" s="12"/>
      <c r="U1" s="12"/>
      <c r="V1" s="12"/>
      <c r="W1" s="12"/>
      <c r="X1" s="12"/>
      <c r="Y1" s="210" t="s">
        <v>1</v>
      </c>
      <c r="Z1" s="12"/>
      <c r="AA1" s="12"/>
      <c r="AB1" s="12"/>
      <c r="AC1" s="12"/>
      <c r="AD1" s="12"/>
      <c r="AE1" s="12"/>
      <c r="AF1" s="30"/>
      <c r="AG1" s="20" t="s">
        <v>3</v>
      </c>
      <c r="AH1" s="12"/>
      <c r="AI1" s="12"/>
      <c r="AJ1" s="30"/>
      <c r="AK1" s="298"/>
      <c r="AL1" s="300"/>
      <c r="AM1" s="301"/>
    </row>
    <row r="2">
      <c r="A2" s="23"/>
      <c r="B2" s="24"/>
      <c r="C2" s="24"/>
      <c r="D2" s="24"/>
      <c r="E2" s="304"/>
      <c r="F2" s="27"/>
      <c r="G2" s="27"/>
      <c r="H2" s="28"/>
      <c r="I2" s="41" t="s">
        <v>5</v>
      </c>
      <c r="J2" s="41" t="s">
        <v>6</v>
      </c>
      <c r="K2" s="41" t="s">
        <v>7</v>
      </c>
      <c r="L2" s="41" t="s">
        <v>8</v>
      </c>
      <c r="M2" s="41" t="s">
        <v>9</v>
      </c>
      <c r="N2" s="41" t="s">
        <v>10</v>
      </c>
      <c r="O2" s="41" t="s">
        <v>11</v>
      </c>
      <c r="P2" s="41" t="s">
        <v>12</v>
      </c>
      <c r="Q2" s="41" t="s">
        <v>13</v>
      </c>
      <c r="R2" s="41" t="s">
        <v>14</v>
      </c>
      <c r="S2" s="41" t="s">
        <v>14</v>
      </c>
      <c r="T2" s="41" t="s">
        <v>14</v>
      </c>
      <c r="U2" s="41" t="s">
        <v>14</v>
      </c>
      <c r="V2" s="41" t="s">
        <v>14</v>
      </c>
      <c r="W2" s="41" t="s">
        <v>14</v>
      </c>
      <c r="X2" s="41" t="s">
        <v>14</v>
      </c>
      <c r="Y2" s="41" t="s">
        <v>14</v>
      </c>
      <c r="Z2" s="41" t="s">
        <v>14</v>
      </c>
      <c r="AA2" s="41" t="s">
        <v>14</v>
      </c>
      <c r="AB2" s="41" t="s">
        <v>14</v>
      </c>
      <c r="AC2" s="41" t="s">
        <v>14</v>
      </c>
      <c r="AD2" s="41" t="s">
        <v>14</v>
      </c>
      <c r="AE2" s="41" t="s">
        <v>14</v>
      </c>
      <c r="AF2" s="63" t="s">
        <v>14</v>
      </c>
      <c r="AG2" s="39" t="s">
        <v>17</v>
      </c>
      <c r="AH2" s="41" t="s">
        <v>19</v>
      </c>
      <c r="AI2" s="41" t="s">
        <v>20</v>
      </c>
      <c r="AJ2" s="63" t="s">
        <v>21</v>
      </c>
      <c r="AK2" s="307"/>
      <c r="AL2" s="308"/>
      <c r="AM2" s="309"/>
    </row>
    <row r="3">
      <c r="A3" s="46" t="s">
        <v>39</v>
      </c>
      <c r="B3" s="47"/>
      <c r="C3" s="47"/>
      <c r="D3" s="47"/>
      <c r="E3" s="47"/>
      <c r="F3" s="48" t="s">
        <v>50</v>
      </c>
      <c r="G3" s="48" t="s">
        <v>52</v>
      </c>
      <c r="H3" s="49" t="s">
        <v>25</v>
      </c>
      <c r="I3" s="50"/>
      <c r="J3" s="50"/>
      <c r="K3" s="50"/>
      <c r="L3" s="50"/>
      <c r="M3" s="50"/>
      <c r="N3" s="50"/>
      <c r="O3" s="50"/>
      <c r="P3" s="50"/>
      <c r="Q3" s="50"/>
      <c r="R3" s="50" t="s">
        <v>27</v>
      </c>
      <c r="S3" s="50" t="s">
        <v>28</v>
      </c>
      <c r="T3" s="50" t="s">
        <v>30</v>
      </c>
      <c r="U3" s="50" t="s">
        <v>31</v>
      </c>
      <c r="V3" s="50" t="s">
        <v>32</v>
      </c>
      <c r="W3" s="50" t="s">
        <v>33</v>
      </c>
      <c r="X3" s="50" t="s">
        <v>34</v>
      </c>
      <c r="Y3" s="50" t="s">
        <v>35</v>
      </c>
      <c r="Z3" s="50" t="s">
        <v>36</v>
      </c>
      <c r="AA3" s="50" t="s">
        <v>37</v>
      </c>
      <c r="AB3" s="50" t="s">
        <v>38</v>
      </c>
      <c r="AC3" s="50" t="s">
        <v>40</v>
      </c>
      <c r="AD3" s="50" t="s">
        <v>41</v>
      </c>
      <c r="AE3" s="50" t="s">
        <v>42</v>
      </c>
      <c r="AF3" s="70" t="s">
        <v>43</v>
      </c>
      <c r="AG3" s="53"/>
      <c r="AH3" s="310"/>
      <c r="AI3" s="50"/>
      <c r="AJ3" s="70"/>
      <c r="AK3" s="311"/>
      <c r="AL3" s="312" t="s">
        <v>204</v>
      </c>
      <c r="AM3" s="313" t="s">
        <v>206</v>
      </c>
    </row>
    <row r="4">
      <c r="A4" s="56"/>
      <c r="B4" s="57"/>
      <c r="C4" s="57"/>
      <c r="D4" s="57"/>
      <c r="E4" s="314" t="s">
        <v>48</v>
      </c>
      <c r="F4" s="67" t="str">
        <f>'Main CEA'!F149</f>
        <v>xbenchmark</v>
      </c>
      <c r="G4" s="67" t="s">
        <v>55</v>
      </c>
      <c r="H4" s="71" t="str">
        <f>'Main CEA'!H149</f>
        <v>-</v>
      </c>
      <c r="I4" s="76">
        <f>'Main CEA'!I149</f>
        <v>22.60415752</v>
      </c>
      <c r="J4" s="76">
        <f>'Main CEA'!J149</f>
        <v>15.90795125</v>
      </c>
      <c r="K4" s="76">
        <f>'Main CEA'!K149</f>
        <v>8.539170255</v>
      </c>
      <c r="L4" s="76">
        <f>'Main CEA'!L149</f>
        <v>16.91453322</v>
      </c>
      <c r="M4" s="76">
        <f>'Main CEA'!M149</f>
        <v>10.93220737</v>
      </c>
      <c r="N4" s="76">
        <f>'Main CEA'!N149</f>
        <v>4.797449632</v>
      </c>
      <c r="O4" s="76">
        <f>'Main CEA'!O149</f>
        <v>15.91291055</v>
      </c>
      <c r="P4" s="76">
        <f>'Main CEA'!P149</f>
        <v>32.8307888</v>
      </c>
      <c r="Q4" s="76">
        <f>'Main CEA'!Q149</f>
        <v>59.34334121</v>
      </c>
      <c r="R4" s="76">
        <f>'Main CEA'!R149</f>
        <v>21.47896702</v>
      </c>
      <c r="S4" s="76">
        <f>'Main CEA'!S149</f>
        <v>4.41378032</v>
      </c>
      <c r="T4" s="76">
        <f>'Main CEA'!T149</f>
        <v>2.306263162</v>
      </c>
      <c r="U4" s="76">
        <f>'Main CEA'!U149</f>
        <v>9.528711546</v>
      </c>
      <c r="V4" s="76">
        <f>'Main CEA'!V149</f>
        <v>5.198055163</v>
      </c>
      <c r="W4" s="76">
        <f>'Main CEA'!W149</f>
        <v>13.5193518</v>
      </c>
      <c r="X4" s="76">
        <f>'Main CEA'!X149</f>
        <v>3.812617409</v>
      </c>
      <c r="Y4" s="76">
        <f>'Main CEA'!Y149</f>
        <v>5.895050222</v>
      </c>
      <c r="Z4" s="76">
        <f>'Main CEA'!Z149</f>
        <v>3.155973833</v>
      </c>
      <c r="AA4" s="76">
        <f>'Main CEA'!AA149</f>
        <v>4.188151971</v>
      </c>
      <c r="AB4" s="76">
        <f>'Main CEA'!AB149</f>
        <v>11.97636056</v>
      </c>
      <c r="AC4" s="76">
        <f>'Main CEA'!AC149</f>
        <v>4.828298764</v>
      </c>
      <c r="AD4" s="76">
        <f>'Main CEA'!AD149</f>
        <v>2.328547655</v>
      </c>
      <c r="AE4" s="76">
        <f>'Main CEA'!AE149</f>
        <v>7.686300139</v>
      </c>
      <c r="AF4" s="94">
        <f>'Main CEA'!AF149</f>
        <v>28.9613448</v>
      </c>
      <c r="AG4" s="91">
        <f>'Main CEA'!AG149</f>
        <v>5.627604036</v>
      </c>
      <c r="AH4" s="76">
        <f>'Main CEA'!AH149</f>
        <v>20.12427722</v>
      </c>
      <c r="AI4" s="76">
        <f>'Main CEA'!AI149</f>
        <v>14.89433335</v>
      </c>
      <c r="AJ4" s="94">
        <f>'Main CEA'!AJ149</f>
        <v>6.31059923</v>
      </c>
      <c r="AK4" s="327"/>
      <c r="AL4" s="328"/>
      <c r="AM4" s="329"/>
    </row>
    <row r="5">
      <c r="A5" s="99" t="s">
        <v>79</v>
      </c>
      <c r="B5" s="12"/>
      <c r="C5" s="12"/>
      <c r="D5" s="12"/>
      <c r="E5" s="12"/>
      <c r="F5" s="12"/>
      <c r="G5" s="30"/>
      <c r="H5" s="330"/>
      <c r="I5" s="331"/>
      <c r="J5" s="331"/>
      <c r="K5" s="331"/>
      <c r="L5" s="331"/>
      <c r="M5" s="331"/>
      <c r="N5" s="331"/>
      <c r="O5" s="331"/>
      <c r="P5" s="331"/>
      <c r="Q5" s="331"/>
      <c r="R5" s="331"/>
      <c r="S5" s="331"/>
      <c r="T5" s="331"/>
      <c r="U5" s="331"/>
      <c r="V5" s="331"/>
      <c r="W5" s="331"/>
      <c r="X5" s="331"/>
      <c r="Y5" s="331"/>
      <c r="Z5" s="331"/>
      <c r="AA5" s="331"/>
      <c r="AB5" s="331"/>
      <c r="AC5" s="331"/>
      <c r="AD5" s="331"/>
      <c r="AE5" s="331"/>
      <c r="AF5" s="331"/>
      <c r="AG5" s="332"/>
      <c r="AH5" s="331"/>
      <c r="AI5" s="331"/>
      <c r="AJ5" s="333"/>
      <c r="AK5" s="334"/>
      <c r="AL5" s="328"/>
      <c r="AM5" s="336"/>
    </row>
    <row r="6">
      <c r="A6" s="101"/>
      <c r="B6" s="102"/>
      <c r="C6" s="102"/>
      <c r="D6" s="102"/>
      <c r="E6" s="337"/>
      <c r="F6" s="104"/>
      <c r="G6" s="111"/>
      <c r="H6" s="339"/>
      <c r="I6" s="340"/>
      <c r="J6" s="340"/>
      <c r="K6" s="340"/>
      <c r="L6" s="340"/>
      <c r="M6" s="340"/>
      <c r="N6" s="340"/>
      <c r="O6" s="340"/>
      <c r="P6" s="340"/>
      <c r="Q6" s="340"/>
      <c r="R6" s="340"/>
      <c r="S6" s="340"/>
      <c r="T6" s="340"/>
      <c r="U6" s="340"/>
      <c r="V6" s="340"/>
      <c r="W6" s="340"/>
      <c r="X6" s="340"/>
      <c r="Y6" s="340"/>
      <c r="Z6" s="340"/>
      <c r="AA6" s="340"/>
      <c r="AB6" s="340"/>
      <c r="AC6" s="340"/>
      <c r="AD6" s="340"/>
      <c r="AE6" s="340"/>
      <c r="AF6" s="340"/>
      <c r="AG6" s="342"/>
      <c r="AH6" s="340"/>
      <c r="AI6" s="340"/>
      <c r="AJ6" s="157"/>
      <c r="AK6" s="165"/>
      <c r="AL6" s="343"/>
      <c r="AM6" s="344"/>
    </row>
    <row r="7">
      <c r="A7" s="101"/>
      <c r="B7" s="102"/>
      <c r="C7" s="113" t="s">
        <v>91</v>
      </c>
      <c r="F7" s="104"/>
      <c r="G7" s="115"/>
      <c r="H7" s="339"/>
      <c r="I7" s="340"/>
      <c r="J7" s="340"/>
      <c r="K7" s="340"/>
      <c r="L7" s="340"/>
      <c r="M7" s="340"/>
      <c r="N7" s="340"/>
      <c r="O7" s="340"/>
      <c r="P7" s="340"/>
      <c r="Q7" s="340"/>
      <c r="R7" s="340"/>
      <c r="S7" s="340"/>
      <c r="T7" s="340"/>
      <c r="U7" s="340"/>
      <c r="V7" s="340"/>
      <c r="W7" s="340"/>
      <c r="X7" s="340"/>
      <c r="Y7" s="340"/>
      <c r="Z7" s="340"/>
      <c r="AA7" s="340"/>
      <c r="AB7" s="340"/>
      <c r="AC7" s="340"/>
      <c r="AD7" s="340"/>
      <c r="AE7" s="340"/>
      <c r="AF7" s="340"/>
      <c r="AG7" s="342"/>
      <c r="AH7" s="340"/>
      <c r="AI7" s="340"/>
      <c r="AJ7" s="157"/>
      <c r="AK7" s="165"/>
      <c r="AL7" s="343"/>
      <c r="AM7" s="344"/>
    </row>
    <row r="8">
      <c r="A8" s="101"/>
      <c r="B8" s="102"/>
      <c r="C8" s="102"/>
      <c r="D8" s="102"/>
      <c r="E8" s="246" t="s">
        <v>96</v>
      </c>
      <c r="F8" s="121" t="s">
        <v>108</v>
      </c>
      <c r="G8" s="122" t="s">
        <v>213</v>
      </c>
      <c r="H8" s="345">
        <v>1000000.0</v>
      </c>
      <c r="I8" s="346" t="s">
        <v>165</v>
      </c>
      <c r="J8" s="346" t="s">
        <v>165</v>
      </c>
      <c r="K8" s="346" t="s">
        <v>165</v>
      </c>
      <c r="L8" s="346" t="s">
        <v>165</v>
      </c>
      <c r="M8" s="346" t="s">
        <v>165</v>
      </c>
      <c r="N8" s="346" t="s">
        <v>165</v>
      </c>
      <c r="O8" s="346" t="s">
        <v>165</v>
      </c>
      <c r="P8" s="346" t="s">
        <v>165</v>
      </c>
      <c r="Q8" s="346" t="s">
        <v>165</v>
      </c>
      <c r="R8" s="346" t="s">
        <v>165</v>
      </c>
      <c r="S8" s="346" t="s">
        <v>165</v>
      </c>
      <c r="T8" s="346" t="s">
        <v>165</v>
      </c>
      <c r="U8" s="346" t="s">
        <v>165</v>
      </c>
      <c r="V8" s="346" t="s">
        <v>165</v>
      </c>
      <c r="W8" s="346" t="s">
        <v>165</v>
      </c>
      <c r="X8" s="346" t="s">
        <v>165</v>
      </c>
      <c r="Y8" s="346" t="s">
        <v>165</v>
      </c>
      <c r="Z8" s="346" t="s">
        <v>165</v>
      </c>
      <c r="AA8" s="346" t="s">
        <v>165</v>
      </c>
      <c r="AB8" s="346" t="s">
        <v>165</v>
      </c>
      <c r="AC8" s="346" t="s">
        <v>165</v>
      </c>
      <c r="AD8" s="346" t="s">
        <v>165</v>
      </c>
      <c r="AE8" s="346" t="s">
        <v>165</v>
      </c>
      <c r="AF8" s="346" t="s">
        <v>165</v>
      </c>
      <c r="AG8" s="347" t="s">
        <v>165</v>
      </c>
      <c r="AH8" s="346" t="s">
        <v>165</v>
      </c>
      <c r="AI8" s="346" t="s">
        <v>165</v>
      </c>
      <c r="AJ8" s="348" t="s">
        <v>165</v>
      </c>
      <c r="AK8" s="206"/>
      <c r="AL8" s="349" t="s">
        <v>214</v>
      </c>
      <c r="AM8" s="350"/>
    </row>
    <row r="9">
      <c r="A9" s="101"/>
      <c r="B9" s="102"/>
      <c r="C9" s="22"/>
      <c r="D9" s="22"/>
      <c r="E9" s="351"/>
      <c r="F9" s="156"/>
      <c r="G9" s="157"/>
      <c r="H9" s="352"/>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2"/>
      <c r="AH9" s="340"/>
      <c r="AI9" s="340"/>
      <c r="AJ9" s="157"/>
      <c r="AK9" s="165"/>
      <c r="AL9" s="343"/>
      <c r="AM9" s="344"/>
    </row>
    <row r="10">
      <c r="A10" s="101"/>
      <c r="B10" s="102"/>
      <c r="C10" s="123" t="s">
        <v>136</v>
      </c>
      <c r="F10" s="156"/>
      <c r="G10" s="157"/>
      <c r="H10" s="352"/>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2"/>
      <c r="AH10" s="340"/>
      <c r="AI10" s="340"/>
      <c r="AJ10" s="157"/>
      <c r="AK10" s="165"/>
      <c r="AL10" s="343"/>
      <c r="AM10" s="344"/>
    </row>
    <row r="11">
      <c r="A11" s="101"/>
      <c r="B11" s="102"/>
      <c r="C11" s="22"/>
      <c r="D11" s="22"/>
      <c r="E11" s="353" t="s">
        <v>137</v>
      </c>
      <c r="F11" s="162" t="s">
        <v>112</v>
      </c>
      <c r="G11" s="163" t="s">
        <v>213</v>
      </c>
      <c r="H11" s="354" t="s">
        <v>165</v>
      </c>
      <c r="I11" s="355">
        <v>0.4310638</v>
      </c>
      <c r="J11" s="355">
        <v>0.6403403</v>
      </c>
      <c r="K11" s="355">
        <v>0.4659904</v>
      </c>
      <c r="L11" s="355">
        <v>0.4659904</v>
      </c>
      <c r="M11" s="355">
        <v>0.5527665</v>
      </c>
      <c r="N11" s="355">
        <v>0.4659904</v>
      </c>
      <c r="O11" s="355">
        <v>0.5983099</v>
      </c>
      <c r="P11" s="355">
        <v>0.4324667</v>
      </c>
      <c r="Q11" s="355">
        <v>0.3616872</v>
      </c>
      <c r="R11" s="355">
        <v>0.4659904</v>
      </c>
      <c r="S11" s="355">
        <v>0.4659904</v>
      </c>
      <c r="T11" s="355">
        <v>0.4659904</v>
      </c>
      <c r="U11" s="355">
        <v>0.4659904</v>
      </c>
      <c r="V11" s="355">
        <v>0.4659904</v>
      </c>
      <c r="W11" s="355">
        <v>0.4659904</v>
      </c>
      <c r="X11" s="355">
        <v>0.4659904</v>
      </c>
      <c r="Y11" s="355">
        <v>0.4659904</v>
      </c>
      <c r="Z11" s="355">
        <v>0.4659904</v>
      </c>
      <c r="AA11" s="355">
        <v>0.4659904</v>
      </c>
      <c r="AB11" s="355">
        <v>0.4659904</v>
      </c>
      <c r="AC11" s="355">
        <v>0.4659904</v>
      </c>
      <c r="AD11" s="355">
        <v>0.4659904</v>
      </c>
      <c r="AE11" s="355">
        <v>0.4659904</v>
      </c>
      <c r="AF11" s="355">
        <v>0.4659904</v>
      </c>
      <c r="AG11" s="357">
        <v>0.7</v>
      </c>
      <c r="AH11" s="355">
        <v>0.7</v>
      </c>
      <c r="AI11" s="355">
        <v>0.7</v>
      </c>
      <c r="AJ11" s="358">
        <v>0.7</v>
      </c>
      <c r="AK11" s="359"/>
      <c r="AL11" s="360" t="s">
        <v>216</v>
      </c>
      <c r="AM11" s="363" t="s">
        <v>135</v>
      </c>
    </row>
    <row r="12">
      <c r="A12" s="101"/>
      <c r="B12" s="102"/>
      <c r="C12" s="22"/>
      <c r="D12" s="22"/>
      <c r="E12" s="364" t="s">
        <v>147</v>
      </c>
      <c r="F12" s="183" t="s">
        <v>112</v>
      </c>
      <c r="G12" s="184" t="s">
        <v>213</v>
      </c>
      <c r="H12" s="365" t="s">
        <v>165</v>
      </c>
      <c r="I12" s="366">
        <v>0.0642112</v>
      </c>
      <c r="J12" s="366">
        <v>0.0596597</v>
      </c>
      <c r="K12" s="366">
        <v>0.0697078</v>
      </c>
      <c r="L12" s="366">
        <v>0.0697078</v>
      </c>
      <c r="M12" s="366">
        <v>0.0486625</v>
      </c>
      <c r="N12" s="366">
        <v>0.0697078</v>
      </c>
      <c r="O12" s="366">
        <v>0.0697078</v>
      </c>
      <c r="P12" s="366">
        <v>0.0845829</v>
      </c>
      <c r="Q12" s="366">
        <v>0.078881</v>
      </c>
      <c r="R12" s="366">
        <v>0.0697078</v>
      </c>
      <c r="S12" s="366">
        <v>0.0697078</v>
      </c>
      <c r="T12" s="366">
        <v>0.0697078</v>
      </c>
      <c r="U12" s="366">
        <v>0.0697078</v>
      </c>
      <c r="V12" s="366">
        <v>0.0697078</v>
      </c>
      <c r="W12" s="366">
        <v>0.0697078</v>
      </c>
      <c r="X12" s="366">
        <v>0.0697078</v>
      </c>
      <c r="Y12" s="366">
        <v>0.0697078</v>
      </c>
      <c r="Z12" s="366">
        <v>0.0697078</v>
      </c>
      <c r="AA12" s="366">
        <v>0.0697078</v>
      </c>
      <c r="AB12" s="366">
        <v>0.0697078</v>
      </c>
      <c r="AC12" s="366">
        <v>0.0697078</v>
      </c>
      <c r="AD12" s="366">
        <v>0.0697078</v>
      </c>
      <c r="AE12" s="366">
        <v>0.0697078</v>
      </c>
      <c r="AF12" s="366">
        <v>0.0697078</v>
      </c>
      <c r="AG12" s="367">
        <v>0.0</v>
      </c>
      <c r="AH12" s="366">
        <v>0.0</v>
      </c>
      <c r="AI12" s="366">
        <v>0.0</v>
      </c>
      <c r="AJ12" s="368">
        <v>0.0</v>
      </c>
      <c r="AK12" s="369"/>
      <c r="AL12" s="370" t="s">
        <v>216</v>
      </c>
      <c r="AM12" s="363" t="s">
        <v>135</v>
      </c>
    </row>
    <row r="13">
      <c r="A13" s="101"/>
      <c r="B13" s="102"/>
      <c r="C13" s="22"/>
      <c r="D13" s="22"/>
      <c r="E13" s="364" t="s">
        <v>158</v>
      </c>
      <c r="F13" s="183" t="s">
        <v>112</v>
      </c>
      <c r="G13" s="184" t="s">
        <v>213</v>
      </c>
      <c r="H13" s="365" t="s">
        <v>165</v>
      </c>
      <c r="I13" s="366">
        <v>0.0565391</v>
      </c>
      <c r="J13" s="366">
        <v>0.0</v>
      </c>
      <c r="K13" s="366">
        <v>0.1323195</v>
      </c>
      <c r="L13" s="366">
        <v>0.1323195</v>
      </c>
      <c r="M13" s="366">
        <v>0.098571</v>
      </c>
      <c r="N13" s="366">
        <v>0.1323195</v>
      </c>
      <c r="O13" s="366">
        <v>0.0</v>
      </c>
      <c r="P13" s="366">
        <v>0.1829504</v>
      </c>
      <c r="Q13" s="366">
        <v>0.2594317</v>
      </c>
      <c r="R13" s="366">
        <v>0.1323195</v>
      </c>
      <c r="S13" s="366">
        <v>0.1323195</v>
      </c>
      <c r="T13" s="366">
        <v>0.1323195</v>
      </c>
      <c r="U13" s="366">
        <v>0.1323195</v>
      </c>
      <c r="V13" s="366">
        <v>0.1323195</v>
      </c>
      <c r="W13" s="366">
        <v>0.1323195</v>
      </c>
      <c r="X13" s="366">
        <v>0.1323195</v>
      </c>
      <c r="Y13" s="366">
        <v>0.1323195</v>
      </c>
      <c r="Z13" s="366">
        <v>0.1323195</v>
      </c>
      <c r="AA13" s="366">
        <v>0.1323195</v>
      </c>
      <c r="AB13" s="366">
        <v>0.1323195</v>
      </c>
      <c r="AC13" s="366">
        <v>0.1323195</v>
      </c>
      <c r="AD13" s="366">
        <v>0.1323195</v>
      </c>
      <c r="AE13" s="366">
        <v>0.1323195</v>
      </c>
      <c r="AF13" s="366">
        <v>0.1323195</v>
      </c>
      <c r="AG13" s="367">
        <v>0.0</v>
      </c>
      <c r="AH13" s="366">
        <v>0.0</v>
      </c>
      <c r="AI13" s="366">
        <v>0.0</v>
      </c>
      <c r="AJ13" s="368">
        <v>0.0</v>
      </c>
      <c r="AK13" s="369"/>
      <c r="AL13" s="370" t="s">
        <v>216</v>
      </c>
      <c r="AM13" s="363" t="s">
        <v>135</v>
      </c>
    </row>
    <row r="14">
      <c r="A14" s="101"/>
      <c r="B14" s="102"/>
      <c r="C14" s="22"/>
      <c r="D14" s="22"/>
      <c r="E14" s="372" t="s">
        <v>160</v>
      </c>
      <c r="F14" s="214" t="s">
        <v>112</v>
      </c>
      <c r="G14" s="215" t="s">
        <v>213</v>
      </c>
      <c r="H14" s="373" t="s">
        <v>165</v>
      </c>
      <c r="I14" s="375">
        <v>0.1481859</v>
      </c>
      <c r="J14" s="375">
        <v>0.0</v>
      </c>
      <c r="K14" s="375">
        <v>0.0319823</v>
      </c>
      <c r="L14" s="375">
        <v>0.0319823</v>
      </c>
      <c r="M14" s="375">
        <v>0.0</v>
      </c>
      <c r="N14" s="375">
        <v>0.0319823</v>
      </c>
      <c r="O14" s="375">
        <v>0.0319823</v>
      </c>
      <c r="P14" s="375">
        <v>0.0</v>
      </c>
      <c r="Q14" s="375">
        <v>0.0</v>
      </c>
      <c r="R14" s="375">
        <v>0.0319823</v>
      </c>
      <c r="S14" s="375">
        <v>0.0319823</v>
      </c>
      <c r="T14" s="375">
        <v>0.0319823</v>
      </c>
      <c r="U14" s="375">
        <v>0.0319823</v>
      </c>
      <c r="V14" s="375">
        <v>0.0319823</v>
      </c>
      <c r="W14" s="375">
        <v>0.0319823</v>
      </c>
      <c r="X14" s="375">
        <v>0.0319823</v>
      </c>
      <c r="Y14" s="375">
        <v>0.0319823</v>
      </c>
      <c r="Z14" s="375">
        <v>0.0319823</v>
      </c>
      <c r="AA14" s="375">
        <v>0.0319823</v>
      </c>
      <c r="AB14" s="375">
        <v>0.0319823</v>
      </c>
      <c r="AC14" s="375">
        <v>0.0319823</v>
      </c>
      <c r="AD14" s="375">
        <v>0.0319823</v>
      </c>
      <c r="AE14" s="375">
        <v>0.0319823</v>
      </c>
      <c r="AF14" s="375">
        <v>0.0319823</v>
      </c>
      <c r="AG14" s="376">
        <v>0.0</v>
      </c>
      <c r="AH14" s="375">
        <v>0.0</v>
      </c>
      <c r="AI14" s="375">
        <v>0.0</v>
      </c>
      <c r="AJ14" s="379">
        <v>0.0</v>
      </c>
      <c r="AK14" s="380"/>
      <c r="AL14" s="370" t="s">
        <v>216</v>
      </c>
      <c r="AM14" s="363" t="s">
        <v>135</v>
      </c>
    </row>
    <row r="15">
      <c r="A15" s="101"/>
      <c r="B15" s="102"/>
      <c r="C15" s="22"/>
      <c r="D15" s="22"/>
      <c r="E15" s="381" t="s">
        <v>167</v>
      </c>
      <c r="F15" s="230" t="s">
        <v>112</v>
      </c>
      <c r="G15" s="231" t="s">
        <v>213</v>
      </c>
      <c r="H15" s="382" t="s">
        <v>165</v>
      </c>
      <c r="I15" s="383">
        <v>0.3</v>
      </c>
      <c r="J15" s="383">
        <v>0.3</v>
      </c>
      <c r="K15" s="383">
        <v>0.3</v>
      </c>
      <c r="L15" s="383">
        <v>0.3</v>
      </c>
      <c r="M15" s="383">
        <v>0.3</v>
      </c>
      <c r="N15" s="383">
        <v>0.3</v>
      </c>
      <c r="O15" s="383">
        <v>0.3</v>
      </c>
      <c r="P15" s="383">
        <v>0.3</v>
      </c>
      <c r="Q15" s="383">
        <v>0.3</v>
      </c>
      <c r="R15" s="383">
        <v>0.3</v>
      </c>
      <c r="S15" s="383">
        <v>0.3</v>
      </c>
      <c r="T15" s="383">
        <v>0.3</v>
      </c>
      <c r="U15" s="383">
        <v>0.3</v>
      </c>
      <c r="V15" s="383">
        <v>0.3</v>
      </c>
      <c r="W15" s="383">
        <v>0.3</v>
      </c>
      <c r="X15" s="383">
        <v>0.3</v>
      </c>
      <c r="Y15" s="383">
        <v>0.3</v>
      </c>
      <c r="Z15" s="383">
        <v>0.3</v>
      </c>
      <c r="AA15" s="383">
        <v>0.3</v>
      </c>
      <c r="AB15" s="383">
        <v>0.3</v>
      </c>
      <c r="AC15" s="383">
        <v>0.3</v>
      </c>
      <c r="AD15" s="383">
        <v>0.3</v>
      </c>
      <c r="AE15" s="383">
        <v>0.3</v>
      </c>
      <c r="AF15" s="383">
        <v>0.3</v>
      </c>
      <c r="AG15" s="384">
        <v>0.3</v>
      </c>
      <c r="AH15" s="383">
        <v>0.3</v>
      </c>
      <c r="AI15" s="383">
        <v>0.3</v>
      </c>
      <c r="AJ15" s="389">
        <v>0.3</v>
      </c>
      <c r="AK15" s="391"/>
      <c r="AL15" s="393" t="s">
        <v>216</v>
      </c>
      <c r="AM15" s="394" t="s">
        <v>135</v>
      </c>
    </row>
    <row r="16">
      <c r="A16" s="101"/>
      <c r="B16" s="102"/>
      <c r="C16" s="22"/>
      <c r="D16" s="22"/>
      <c r="E16" s="351"/>
      <c r="F16" s="340"/>
      <c r="G16" s="157"/>
      <c r="H16" s="339"/>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2"/>
      <c r="AH16" s="340"/>
      <c r="AI16" s="340"/>
      <c r="AJ16" s="157"/>
      <c r="AK16" s="165"/>
      <c r="AL16" s="343"/>
      <c r="AM16" s="344"/>
    </row>
    <row r="17">
      <c r="A17" s="101"/>
      <c r="B17" s="102"/>
      <c r="C17" s="109" t="s">
        <v>196</v>
      </c>
      <c r="F17" s="104"/>
      <c r="G17" s="111"/>
      <c r="H17" s="339"/>
      <c r="I17" s="340"/>
      <c r="J17" s="340"/>
      <c r="K17" s="340"/>
      <c r="L17" s="340"/>
      <c r="M17" s="340"/>
      <c r="N17" s="340"/>
      <c r="O17" s="340"/>
      <c r="P17" s="340"/>
      <c r="Q17" s="340"/>
      <c r="R17" s="340"/>
      <c r="S17" s="340"/>
      <c r="T17" s="340"/>
      <c r="U17" s="340"/>
      <c r="V17" s="340"/>
      <c r="W17" s="340"/>
      <c r="X17" s="340"/>
      <c r="Y17" s="340"/>
      <c r="Z17" s="340"/>
      <c r="AA17" s="340"/>
      <c r="AB17" s="340"/>
      <c r="AC17" s="340"/>
      <c r="AD17" s="340"/>
      <c r="AE17" s="340"/>
      <c r="AF17" s="340"/>
      <c r="AG17" s="342"/>
      <c r="AH17" s="340"/>
      <c r="AI17" s="340"/>
      <c r="AJ17" s="157"/>
      <c r="AK17" s="165"/>
      <c r="AL17" s="343"/>
      <c r="AM17" s="344"/>
    </row>
    <row r="18">
      <c r="A18" s="101"/>
      <c r="B18" s="102"/>
      <c r="C18" s="102"/>
      <c r="D18" s="395"/>
      <c r="E18" s="396" t="s">
        <v>197</v>
      </c>
      <c r="F18" s="114" t="s">
        <v>108</v>
      </c>
      <c r="G18" s="286" t="s">
        <v>213</v>
      </c>
      <c r="H18" s="354" t="s">
        <v>165</v>
      </c>
      <c r="I18" s="398">
        <v>1.05602</v>
      </c>
      <c r="J18" s="398">
        <v>1.13658</v>
      </c>
      <c r="K18" s="398">
        <v>1.01732</v>
      </c>
      <c r="L18" s="398">
        <v>1.01732</v>
      </c>
      <c r="M18" s="398">
        <v>1.39344</v>
      </c>
      <c r="N18" s="398">
        <v>1.01732</v>
      </c>
      <c r="O18" s="398">
        <v>1.01732</v>
      </c>
      <c r="P18" s="398">
        <v>0.80168</v>
      </c>
      <c r="Q18" s="398">
        <v>0.85963</v>
      </c>
      <c r="R18" s="398">
        <v>1.01732</v>
      </c>
      <c r="S18" s="398">
        <v>1.01732</v>
      </c>
      <c r="T18" s="398">
        <v>1.01732</v>
      </c>
      <c r="U18" s="398">
        <v>1.01732</v>
      </c>
      <c r="V18" s="398">
        <v>1.01732</v>
      </c>
      <c r="W18" s="398">
        <v>1.01732</v>
      </c>
      <c r="X18" s="398">
        <v>1.01732</v>
      </c>
      <c r="Y18" s="398">
        <v>1.01732</v>
      </c>
      <c r="Z18" s="398">
        <v>1.01732</v>
      </c>
      <c r="AA18" s="398">
        <v>1.01732</v>
      </c>
      <c r="AB18" s="398">
        <v>1.01732</v>
      </c>
      <c r="AC18" s="398">
        <v>1.01732</v>
      </c>
      <c r="AD18" s="398">
        <v>1.01732</v>
      </c>
      <c r="AE18" s="398">
        <v>1.01732</v>
      </c>
      <c r="AF18" s="398">
        <v>1.01732</v>
      </c>
      <c r="AG18" s="399">
        <f>AJ18*1.5</f>
        <v>1.52598</v>
      </c>
      <c r="AH18" s="398">
        <f>AJ18*1.5</f>
        <v>1.52598</v>
      </c>
      <c r="AI18" s="398">
        <v>1.0895</v>
      </c>
      <c r="AJ18" s="401">
        <v>1.01732</v>
      </c>
      <c r="AK18" s="359"/>
      <c r="AL18" s="402" t="s">
        <v>216</v>
      </c>
      <c r="AM18" s="363" t="s">
        <v>135</v>
      </c>
    </row>
    <row r="19">
      <c r="A19" s="101"/>
      <c r="B19" s="102"/>
      <c r="C19" s="102"/>
      <c r="D19" s="395"/>
      <c r="E19" s="403" t="s">
        <v>199</v>
      </c>
      <c r="F19" s="121" t="s">
        <v>101</v>
      </c>
      <c r="G19" s="248" t="s">
        <v>213</v>
      </c>
      <c r="H19" s="404">
        <v>2.0</v>
      </c>
      <c r="I19" s="346" t="s">
        <v>165</v>
      </c>
      <c r="J19" s="346" t="s">
        <v>165</v>
      </c>
      <c r="K19" s="346" t="s">
        <v>165</v>
      </c>
      <c r="L19" s="346" t="s">
        <v>165</v>
      </c>
      <c r="M19" s="346" t="s">
        <v>165</v>
      </c>
      <c r="N19" s="346" t="s">
        <v>165</v>
      </c>
      <c r="O19" s="346" t="s">
        <v>165</v>
      </c>
      <c r="P19" s="346" t="s">
        <v>165</v>
      </c>
      <c r="Q19" s="346" t="s">
        <v>165</v>
      </c>
      <c r="R19" s="346" t="s">
        <v>165</v>
      </c>
      <c r="S19" s="346" t="s">
        <v>165</v>
      </c>
      <c r="T19" s="346" t="s">
        <v>165</v>
      </c>
      <c r="U19" s="346" t="s">
        <v>165</v>
      </c>
      <c r="V19" s="346" t="s">
        <v>165</v>
      </c>
      <c r="W19" s="346" t="s">
        <v>165</v>
      </c>
      <c r="X19" s="346" t="s">
        <v>165</v>
      </c>
      <c r="Y19" s="346" t="s">
        <v>165</v>
      </c>
      <c r="Z19" s="346" t="s">
        <v>165</v>
      </c>
      <c r="AA19" s="346" t="s">
        <v>165</v>
      </c>
      <c r="AB19" s="346" t="s">
        <v>165</v>
      </c>
      <c r="AC19" s="346" t="s">
        <v>165</v>
      </c>
      <c r="AD19" s="346" t="s">
        <v>165</v>
      </c>
      <c r="AE19" s="346" t="s">
        <v>165</v>
      </c>
      <c r="AF19" s="346" t="s">
        <v>165</v>
      </c>
      <c r="AG19" s="347" t="s">
        <v>165</v>
      </c>
      <c r="AH19" s="346" t="s">
        <v>165</v>
      </c>
      <c r="AI19" s="346" t="s">
        <v>165</v>
      </c>
      <c r="AJ19" s="348" t="s">
        <v>165</v>
      </c>
      <c r="AK19" s="206"/>
      <c r="AL19" s="349" t="s">
        <v>1</v>
      </c>
      <c r="AM19" s="406"/>
    </row>
    <row r="20">
      <c r="A20" s="101"/>
      <c r="B20" s="102"/>
      <c r="C20" s="22"/>
      <c r="D20" s="22"/>
      <c r="E20" s="351"/>
      <c r="F20" s="340"/>
      <c r="G20" s="157"/>
      <c r="H20" s="339"/>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2"/>
      <c r="AH20" s="340"/>
      <c r="AI20" s="340"/>
      <c r="AJ20" s="157"/>
      <c r="AK20" s="165"/>
      <c r="AL20" s="343"/>
      <c r="AM20" s="344"/>
    </row>
    <row r="21">
      <c r="A21" s="99" t="s">
        <v>16</v>
      </c>
      <c r="B21" s="12"/>
      <c r="C21" s="12"/>
      <c r="D21" s="12"/>
      <c r="E21" s="12"/>
      <c r="F21" s="12"/>
      <c r="G21" s="30"/>
      <c r="H21" s="407"/>
      <c r="I21" s="408"/>
      <c r="J21" s="408"/>
      <c r="K21" s="408"/>
      <c r="L21" s="408"/>
      <c r="M21" s="408"/>
      <c r="N21" s="408"/>
      <c r="O21" s="408"/>
      <c r="P21" s="408"/>
      <c r="Q21" s="408"/>
      <c r="R21" s="408"/>
      <c r="S21" s="408"/>
      <c r="T21" s="408"/>
      <c r="U21" s="408"/>
      <c r="V21" s="408"/>
      <c r="W21" s="408"/>
      <c r="X21" s="408"/>
      <c r="Y21" s="408"/>
      <c r="Z21" s="408"/>
      <c r="AA21" s="408"/>
      <c r="AB21" s="408"/>
      <c r="AC21" s="408"/>
      <c r="AD21" s="408"/>
      <c r="AE21" s="408"/>
      <c r="AF21" s="408"/>
      <c r="AG21" s="409"/>
      <c r="AH21" s="408"/>
      <c r="AI21" s="408"/>
      <c r="AJ21" s="410"/>
      <c r="AK21" s="409"/>
      <c r="AL21" s="411"/>
      <c r="AM21" s="412"/>
    </row>
    <row r="22">
      <c r="A22" s="101"/>
      <c r="B22" s="102"/>
      <c r="C22" s="102"/>
      <c r="D22" s="102"/>
      <c r="E22" s="337"/>
      <c r="F22" s="104"/>
      <c r="G22" s="321"/>
      <c r="H22" s="339"/>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2"/>
      <c r="AH22" s="340"/>
      <c r="AI22" s="340"/>
      <c r="AJ22" s="157"/>
      <c r="AK22" s="165"/>
      <c r="AL22" s="343"/>
      <c r="AM22" s="344"/>
    </row>
    <row r="23">
      <c r="A23" s="101"/>
      <c r="B23" s="102"/>
      <c r="C23" s="130" t="s">
        <v>225</v>
      </c>
      <c r="F23" s="132"/>
      <c r="G23" s="271"/>
      <c r="H23" s="413"/>
      <c r="I23" s="414"/>
      <c r="J23" s="414"/>
      <c r="K23" s="414"/>
      <c r="L23" s="414"/>
      <c r="M23" s="414"/>
      <c r="N23" s="414"/>
      <c r="O23" s="414"/>
      <c r="P23" s="414"/>
      <c r="Q23" s="414"/>
      <c r="R23" s="414"/>
      <c r="S23" s="414"/>
      <c r="T23" s="414"/>
      <c r="U23" s="414"/>
      <c r="V23" s="414"/>
      <c r="W23" s="414"/>
      <c r="X23" s="414"/>
      <c r="Y23" s="414"/>
      <c r="Z23" s="414"/>
      <c r="AA23" s="414"/>
      <c r="AB23" s="414"/>
      <c r="AC23" s="414"/>
      <c r="AD23" s="414"/>
      <c r="AE23" s="414"/>
      <c r="AF23" s="414"/>
      <c r="AG23" s="415"/>
      <c r="AH23" s="414"/>
      <c r="AI23" s="414"/>
      <c r="AJ23" s="416"/>
      <c r="AK23" s="165"/>
      <c r="AL23" s="417"/>
      <c r="AM23" s="418"/>
    </row>
    <row r="24">
      <c r="A24" s="101"/>
      <c r="B24" s="102"/>
      <c r="C24" s="102"/>
      <c r="D24" s="102"/>
      <c r="E24" s="396" t="s">
        <v>90</v>
      </c>
      <c r="F24" s="114" t="s">
        <v>101</v>
      </c>
      <c r="G24" s="272" t="s">
        <v>213</v>
      </c>
      <c r="H24" s="354" t="s">
        <v>165</v>
      </c>
      <c r="I24" s="421">
        <f>IFERROR(__xludf.DUMMYFUNCTION("FILTER('GBD estimates'!$I$4:$I$1203,'GBD estimates'!$C$4:$C$1203=I$2,'GBD estimates'!$F$4:$F$1203=""All causes"",'GBD estimates'!$E$4:$E$1203=""&lt;5 years"")"),98779.14033)</f>
        <v>98779.14033</v>
      </c>
      <c r="J24" s="421">
        <f>IFERROR(__xludf.DUMMYFUNCTION("FILTER('GBD estimates'!$I$4:$I$1203,'GBD estimates'!$C$4:$C$1203=J$2,'GBD estimates'!$F$4:$F$1203=""All causes"",'GBD estimates'!$E$4:$E$1203=""&lt;5 years"")"),64035.00739)</f>
        <v>64035.00739</v>
      </c>
      <c r="K24" s="421">
        <f>IFERROR(__xludf.DUMMYFUNCTION("FILTER('GBD estimates'!$I$4:$I$1203,'GBD estimates'!$C$4:$C$1203=K$2,'GBD estimates'!$F$4:$F$1203=""All causes"",'GBD estimates'!$E$4:$E$1203=""&lt;5 years"")"),64816.60409)</f>
        <v>64816.60409</v>
      </c>
      <c r="L24" s="421">
        <f>IFERROR(__xludf.DUMMYFUNCTION("FILTER('GBD estimates'!$I$4:$I$1203,'GBD estimates'!$C$4:$C$1203=L$2,'GBD estimates'!$F$4:$F$1203=""All causes"",'GBD estimates'!$E$4:$E$1203=""&lt;5 years"")"),168468.4512)</f>
        <v>168468.4512</v>
      </c>
      <c r="M24" s="421">
        <f>IFERROR(__xludf.DUMMYFUNCTION("FILTER('GBD estimates'!$I$4:$I$1203,'GBD estimates'!$C$4:$C$1203=M$2,'GBD estimates'!$F$4:$F$1203=""All causes"",'GBD estimates'!$E$4:$E$1203=""&lt;5 years"")"),45406.17471)</f>
        <v>45406.17471</v>
      </c>
      <c r="N24" s="421">
        <f>IFERROR(__xludf.DUMMYFUNCTION("FILTER('GBD estimates'!$I$4:$I$1203,'GBD estimates'!$C$4:$C$1203=N$2,'GBD estimates'!$F$4:$F$1203=""All causes"",'GBD estimates'!$E$4:$E$1203=""&lt;5 years"")"),53344.7099)</f>
        <v>53344.7099</v>
      </c>
      <c r="O24" s="421">
        <f>IFERROR(__xludf.DUMMYFUNCTION("FILTER('GBD estimates'!$I$4:$I$1203,'GBD estimates'!$C$4:$C$1203=O$2,'GBD estimates'!$F$4:$F$1203=""All causes"",'GBD estimates'!$E$4:$E$1203=""&lt;5 years"")"),48156.10418)</f>
        <v>48156.10418</v>
      </c>
      <c r="P24" s="421">
        <f>IFERROR(__xludf.DUMMYFUNCTION("FILTER('GBD estimates'!$I$4:$I$1203,'GBD estimates'!$C$4:$C$1203=P$2,'GBD estimates'!$F$4:$F$1203=""All causes"",'GBD estimates'!$E$4:$E$1203=""&lt;5 years"")"),109642.6225)</f>
        <v>109642.6225</v>
      </c>
      <c r="Q24" s="421">
        <f>IFERROR(__xludf.DUMMYFUNCTION("FILTER('GBD estimates'!$I$4:$I$1203,'GBD estimates'!$C$4:$C$1203=Q$2,'GBD estimates'!$F$4:$F$1203=""All causes"",'GBD estimates'!$E$4:$E$1203=""&lt;5 years"")"),120216.7235)</f>
        <v>120216.7235</v>
      </c>
      <c r="R24" s="421">
        <f>IFERROR(__xludf.DUMMYFUNCTION("FILTER('GBD estimates'!$AF$4:$AF$1203,'GBD estimates'!$AA$4:$AA$1203=R$3,'GBD estimates'!$X$4:$X$1203=""All causes"",'GBD estimates'!$Z$4:$Z$1203=""Under 5"")"),13907.73873)</f>
        <v>13907.73873</v>
      </c>
      <c r="S24" s="421">
        <f>IFERROR(__xludf.DUMMYFUNCTION("FILTER('GBD estimates'!$AF$4:$AF$1203,'GBD estimates'!$AA$4:$AA$1203=S$3,'GBD estimates'!$X$4:$X$1203=""All causes"",'GBD estimates'!$Z$4:$Z$1203=""Under 5"")"),3462.225164)</f>
        <v>3462.225164</v>
      </c>
      <c r="T24" s="421">
        <f>IFERROR(__xludf.DUMMYFUNCTION("FILTER('GBD estimates'!$AF$4:$AF$1203,'GBD estimates'!$AA$4:$AA$1203=T$3,'GBD estimates'!$X$4:$X$1203=""All causes"",'GBD estimates'!$Z$4:$Z$1203=""Under 5"")"),7871.751135)</f>
        <v>7871.751135</v>
      </c>
      <c r="U24" s="421">
        <f>IFERROR(__xludf.DUMMYFUNCTION("FILTER('GBD estimates'!$AF$4:$AF$1203,'GBD estimates'!$AA$4:$AA$1203=U$3,'GBD estimates'!$X$4:$X$1203=""All causes"",'GBD estimates'!$Z$4:$Z$1203=""Under 5"")"),26884.78566)</f>
        <v>26884.78566</v>
      </c>
      <c r="V24" s="421">
        <f>IFERROR(__xludf.DUMMYFUNCTION("FILTER('GBD estimates'!$AF$4:$AF$1203,'GBD estimates'!$AA$4:$AA$1203=V$3,'GBD estimates'!$X$4:$X$1203=""All causes"",'GBD estimates'!$Z$4:$Z$1203=""Under 5"")"),7861.21423)</f>
        <v>7861.21423</v>
      </c>
      <c r="W24" s="421">
        <f>IFERROR(__xludf.DUMMYFUNCTION("FILTER('GBD estimates'!$AF$4:$AF$1203,'GBD estimates'!$AA$4:$AA$1203=W$3,'GBD estimates'!$X$4:$X$1203=""All causes"",'GBD estimates'!$Z$4:$Z$1203=""Under 5"")"),7938.591477)</f>
        <v>7938.591477</v>
      </c>
      <c r="X24" s="421">
        <f>IFERROR(__xludf.DUMMYFUNCTION("FILTER('GBD estimates'!$AF$4:$AF$1203,'GBD estimates'!$AA$4:$AA$1203=X$3,'GBD estimates'!$X$4:$X$1203=""All causes"",'GBD estimates'!$Z$4:$Z$1203=""Under 5"")"),5408.39386)</f>
        <v>5408.39386</v>
      </c>
      <c r="Y24" s="421">
        <f>IFERROR(__xludf.DUMMYFUNCTION("FILTER('GBD estimates'!$AF$4:$AF$1203,'GBD estimates'!$AA$4:$AA$1203=Y$3,'GBD estimates'!$X$4:$X$1203=""All causes"",'GBD estimates'!$Z$4:$Z$1203=""Under 5"")"),2631.649859)</f>
        <v>2631.649859</v>
      </c>
      <c r="Z24" s="421">
        <f>IFERROR(__xludf.DUMMYFUNCTION("FILTER('GBD estimates'!$AF$4:$AF$1203,'GBD estimates'!$AA$4:$AA$1203=Z$3,'GBD estimates'!$X$4:$X$1203=""All causes"",'GBD estimates'!$Z$4:$Z$1203=""Under 5"")"),11380.79524)</f>
        <v>11380.79524</v>
      </c>
      <c r="AA24" s="421">
        <f>IFERROR(__xludf.DUMMYFUNCTION("FILTER('GBD estimates'!$AF$4:$AF$1203,'GBD estimates'!$AA$4:$AA$1203=AA$3,'GBD estimates'!$X$4:$X$1203=""All causes"",'GBD estimates'!$Z$4:$Z$1203=""Under 5"")"),3662.544731)</f>
        <v>3662.544731</v>
      </c>
      <c r="AB24" s="421">
        <f>IFERROR(__xludf.DUMMYFUNCTION("FILTER('GBD estimates'!$AF$4:$AF$1203,'GBD estimates'!$AA$4:$AA$1203=AB$3,'GBD estimates'!$X$4:$X$1203=""All causes"",'GBD estimates'!$Z$4:$Z$1203=""Under 5"")"),13333.45365)</f>
        <v>13333.45365</v>
      </c>
      <c r="AC24" s="421">
        <f>IFERROR(__xludf.DUMMYFUNCTION("FILTER('GBD estimates'!$AF$4:$AF$1203,'GBD estimates'!$AA$4:$AA$1203=AC$3,'GBD estimates'!$X$4:$X$1203=""All causes"",'GBD estimates'!$Z$4:$Z$1203=""Under 5"")"),20448.01213)</f>
        <v>20448.01213</v>
      </c>
      <c r="AD24" s="421">
        <f>IFERROR(__xludf.DUMMYFUNCTION("FILTER('GBD estimates'!$AF$4:$AF$1203,'GBD estimates'!$AA$4:$AA$1203=AD$3,'GBD estimates'!$X$4:$X$1203=""All causes"",'GBD estimates'!$Z$4:$Z$1203=""Under 5"")"),4522.234854)</f>
        <v>4522.234854</v>
      </c>
      <c r="AE24" s="421">
        <f>IFERROR(__xludf.DUMMYFUNCTION("FILTER('GBD estimates'!$AF$4:$AF$1203,'GBD estimates'!$AA$4:$AA$1203=AE$3,'GBD estimates'!$X$4:$X$1203=""All causes"",'GBD estimates'!$Z$4:$Z$1203=""Under 5"")"),6707.239581)</f>
        <v>6707.239581</v>
      </c>
      <c r="AF24" s="421">
        <f>IFERROR(__xludf.DUMMYFUNCTION("FILTER('GBD estimates'!$AF$4:$AF$1203,'GBD estimates'!$AA$4:$AA$1203=AF$3,'GBD estimates'!$X$4:$X$1203=""All causes"",'GBD estimates'!$Z$4:$Z$1203=""Under 5"")"),34193.94716)</f>
        <v>34193.94716</v>
      </c>
      <c r="AG24" s="424">
        <f>IFERROR(__xludf.DUMMYFUNCTION("FILTER('GBD estimates'!$I$4:$I$1203,'GBD estimates'!$C$4:$C$1203=AG$2,'GBD estimates'!$F$4:$F$1203=""All causes"",'GBD estimates'!$E$4:$E$1203=""&lt;5 years"")"),58764.73414)</f>
        <v>58764.73414</v>
      </c>
      <c r="AH24" s="421">
        <f>IFERROR(__xludf.DUMMYFUNCTION("FILTER('GBD estimates'!$I$4:$I$1203,'GBD estimates'!$C$4:$C$1203=AH$2,'GBD estimates'!$F$4:$F$1203=""All causes"",'GBD estimates'!$E$4:$E$1203=""&lt;5 years"")"),85575.12265)</f>
        <v>85575.12265</v>
      </c>
      <c r="AI24" s="421">
        <f>IFERROR(__xludf.DUMMYFUNCTION("FILTER('GBD estimates'!$I$4:$I$1203,'GBD estimates'!$C$4:$C$1203=AI$2,'GBD estimates'!$F$4:$F$1203=""All causes"",'GBD estimates'!$E$4:$E$1203=""&lt;5 years"")"),15010.42875)</f>
        <v>15010.42875</v>
      </c>
      <c r="AJ24" s="425">
        <f>IFERROR(__xludf.DUMMYFUNCTION("FILTER('GBD estimates'!$I$4:$I$1203,'GBD estimates'!$C$4:$C$1203=AJ$2,'GBD estimates'!$F$4:$F$1203=""All causes"",'GBD estimates'!$E$4:$E$1203=""&lt;5 years"")"),91702.41553)</f>
        <v>91702.41553</v>
      </c>
      <c r="AK24" s="359"/>
      <c r="AL24" s="402" t="s">
        <v>233</v>
      </c>
      <c r="AM24" s="426"/>
    </row>
    <row r="25">
      <c r="A25" s="101"/>
      <c r="B25" s="102"/>
      <c r="C25" s="130"/>
      <c r="D25" s="102"/>
      <c r="E25" s="396" t="s">
        <v>132</v>
      </c>
      <c r="F25" s="114" t="s">
        <v>101</v>
      </c>
      <c r="G25" s="286" t="s">
        <v>213</v>
      </c>
      <c r="H25" s="354" t="s">
        <v>165</v>
      </c>
      <c r="I25" s="421">
        <f>IFERROR(__xludf.DUMMYFUNCTION("FILTER('GBD estimates'!$I$4:$I$1203,'GBD estimates'!$C$4:$C$1203=I$2,'GBD estimates'!$F$4:$F$1203=""All causes"",'GBD estimates'!$E$4:$E$1203=""0-6 days"")"),19940.74855)</f>
        <v>19940.74855</v>
      </c>
      <c r="J25" s="421">
        <f>IFERROR(__xludf.DUMMYFUNCTION("FILTER('GBD estimates'!$I$4:$I$1203,'GBD estimates'!$C$4:$C$1203=J$2,'GBD estimates'!$F$4:$F$1203=""All causes"",'GBD estimates'!$E$4:$E$1203=""0-6 days"")"),17016.72353)</f>
        <v>17016.72353</v>
      </c>
      <c r="K25" s="421">
        <f>IFERROR(__xludf.DUMMYFUNCTION("FILTER('GBD estimates'!$I$4:$I$1203,'GBD estimates'!$C$4:$C$1203=K$2,'GBD estimates'!$F$4:$F$1203=""All causes"",'GBD estimates'!$E$4:$E$1203=""0-6 days"")"),25085.60233)</f>
        <v>25085.60233</v>
      </c>
      <c r="L25" s="421">
        <f>IFERROR(__xludf.DUMMYFUNCTION("FILTER('GBD estimates'!$I$4:$I$1203,'GBD estimates'!$C$4:$C$1203=L$2,'GBD estimates'!$F$4:$F$1203=""All causes"",'GBD estimates'!$E$4:$E$1203=""0-6 days"")"),53762.70372)</f>
        <v>53762.70372</v>
      </c>
      <c r="M25" s="421">
        <f>IFERROR(__xludf.DUMMYFUNCTION("FILTER('GBD estimates'!$I$4:$I$1203,'GBD estimates'!$C$4:$C$1203=M$2,'GBD estimates'!$F$4:$F$1203=""All causes"",'GBD estimates'!$E$4:$E$1203=""0-6 days"")"),11002.66188)</f>
        <v>11002.66188</v>
      </c>
      <c r="N25" s="421">
        <f>IFERROR(__xludf.DUMMYFUNCTION("FILTER('GBD estimates'!$I$4:$I$1203,'GBD estimates'!$C$4:$C$1203=N$2,'GBD estimates'!$F$4:$F$1203=""All causes"",'GBD estimates'!$E$4:$E$1203=""0-6 days"")"),20427.11313)</f>
        <v>20427.11313</v>
      </c>
      <c r="O25" s="421">
        <f>IFERROR(__xludf.DUMMYFUNCTION("FILTER('GBD estimates'!$I$4:$I$1203,'GBD estimates'!$C$4:$C$1203=O$2,'GBD estimates'!$F$4:$F$1203=""All causes"",'GBD estimates'!$E$4:$E$1203=""0-6 days"")"),15934.39256)</f>
        <v>15934.39256</v>
      </c>
      <c r="P25" s="421">
        <f>IFERROR(__xludf.DUMMYFUNCTION("FILTER('GBD estimates'!$I$4:$I$1203,'GBD estimates'!$C$4:$C$1203=P$2,'GBD estimates'!$F$4:$F$1203=""All causes"",'GBD estimates'!$E$4:$E$1203=""0-6 days"")"),31228.72021)</f>
        <v>31228.72021</v>
      </c>
      <c r="Q25" s="421">
        <f>IFERROR(__xludf.DUMMYFUNCTION("FILTER('GBD estimates'!$I$4:$I$1203,'GBD estimates'!$C$4:$C$1203=Q$2,'GBD estimates'!$F$4:$F$1203=""All causes"",'GBD estimates'!$E$4:$E$1203=""0-6 days"")"),22912.70936)</f>
        <v>22912.70936</v>
      </c>
      <c r="R25" s="421">
        <f>IFERROR(__xludf.DUMMYFUNCTION("FILTER('GBD estimates'!$AF$4:$AF$1203,'GBD estimates'!$AA$4:$AA$1203=R$3,'GBD estimates'!$X$4:$X$1203=""All causes"",'GBD estimates'!$Z$4:$Z$1203=""0 to 6 days (early neonatal)"")"),3823.608947)</f>
        <v>3823.608947</v>
      </c>
      <c r="S25" s="421">
        <f>IFERROR(__xludf.DUMMYFUNCTION("FILTER('GBD estimates'!$AF$4:$AF$1203,'GBD estimates'!$AA$4:$AA$1203=S$3,'GBD estimates'!$X$4:$X$1203=""All causes"",'GBD estimates'!$Z$4:$Z$1203=""0 to 6 days (early neonatal)"")"),1329.358602)</f>
        <v>1329.358602</v>
      </c>
      <c r="T25" s="421">
        <f>IFERROR(__xludf.DUMMYFUNCTION("FILTER('GBD estimates'!$AF$4:$AF$1203,'GBD estimates'!$AA$4:$AA$1203=T$3,'GBD estimates'!$X$4:$X$1203=""All causes"",'GBD estimates'!$Z$4:$Z$1203=""0 to 6 days (early neonatal)"")"),3453.101975)</f>
        <v>3453.101975</v>
      </c>
      <c r="U25" s="421">
        <f>IFERROR(__xludf.DUMMYFUNCTION("FILTER('GBD estimates'!$AF$4:$AF$1203,'GBD estimates'!$AA$4:$AA$1203=U$3,'GBD estimates'!$X$4:$X$1203=""All causes"",'GBD estimates'!$Z$4:$Z$1203=""0 to 6 days (early neonatal)"")"),9008.117154)</f>
        <v>9008.117154</v>
      </c>
      <c r="V25" s="421">
        <f>IFERROR(__xludf.DUMMYFUNCTION("FILTER('GBD estimates'!$AF$4:$AF$1203,'GBD estimates'!$AA$4:$AA$1203=V$3,'GBD estimates'!$X$4:$X$1203=""All causes"",'GBD estimates'!$Z$4:$Z$1203=""0 to 6 days (early neonatal)"")"),2787.57299)</f>
        <v>2787.57299</v>
      </c>
      <c r="W25" s="421">
        <f>IFERROR(__xludf.DUMMYFUNCTION("FILTER('GBD estimates'!$AF$4:$AF$1203,'GBD estimates'!$AA$4:$AA$1203=W$3,'GBD estimates'!$X$4:$X$1203=""All causes"",'GBD estimates'!$Z$4:$Z$1203=""0 to 6 days (early neonatal)"")"),2640.671913)</f>
        <v>2640.671913</v>
      </c>
      <c r="X25" s="421">
        <f>IFERROR(__xludf.DUMMYFUNCTION("FILTER('GBD estimates'!$AF$4:$AF$1203,'GBD estimates'!$AA$4:$AA$1203=X$3,'GBD estimates'!$X$4:$X$1203=""All causes"",'GBD estimates'!$Z$4:$Z$1203=""0 to 6 days (early neonatal)"")"),2146.970943)</f>
        <v>2146.970943</v>
      </c>
      <c r="Y25" s="421">
        <f>IFERROR(__xludf.DUMMYFUNCTION("FILTER('GBD estimates'!$AF$4:$AF$1203,'GBD estimates'!$AA$4:$AA$1203=Y$3,'GBD estimates'!$X$4:$X$1203=""All causes"",'GBD estimates'!$Z$4:$Z$1203=""0 to 6 days (early neonatal)"")"),973.8088071)</f>
        <v>973.8088071</v>
      </c>
      <c r="Z25" s="421">
        <f>IFERROR(__xludf.DUMMYFUNCTION("FILTER('GBD estimates'!$AF$4:$AF$1203,'GBD estimates'!$AA$4:$AA$1203=Z$3,'GBD estimates'!$X$4:$X$1203=""All causes"",'GBD estimates'!$Z$4:$Z$1203=""0 to 6 days (early neonatal)"")"),5034.873061)</f>
        <v>5034.873061</v>
      </c>
      <c r="AA25" s="421">
        <f>IFERROR(__xludf.DUMMYFUNCTION("FILTER('GBD estimates'!$AF$4:$AF$1203,'GBD estimates'!$AA$4:$AA$1203=AA$3,'GBD estimates'!$X$4:$X$1203=""All causes"",'GBD estimates'!$Z$4:$Z$1203=""0 to 6 days (early neonatal)"")"),1489.287)</f>
        <v>1489.287</v>
      </c>
      <c r="AB25" s="421">
        <f>IFERROR(__xludf.DUMMYFUNCTION("FILTER('GBD estimates'!$AF$4:$AF$1203,'GBD estimates'!$AA$4:$AA$1203=AB$3,'GBD estimates'!$X$4:$X$1203=""All causes"",'GBD estimates'!$Z$4:$Z$1203=""0 to 6 days (early neonatal)"")"),4455.531084)</f>
        <v>4455.531084</v>
      </c>
      <c r="AC25" s="421">
        <f>IFERROR(__xludf.DUMMYFUNCTION("FILTER('GBD estimates'!$AF$4:$AF$1203,'GBD estimates'!$AA$4:$AA$1203=AC$3,'GBD estimates'!$X$4:$X$1203=""All causes"",'GBD estimates'!$Z$4:$Z$1203=""0 to 6 days (early neonatal)"")"),8159.989527)</f>
        <v>8159.989527</v>
      </c>
      <c r="AD25" s="421">
        <f>IFERROR(__xludf.DUMMYFUNCTION("FILTER('GBD estimates'!$AF$4:$AF$1203,'GBD estimates'!$AA$4:$AA$1203=AD$3,'GBD estimates'!$X$4:$X$1203=""All causes"",'GBD estimates'!$Z$4:$Z$1203=""0 to 6 days (early neonatal)"")"),2060.925307)</f>
        <v>2060.925307</v>
      </c>
      <c r="AE25" s="421">
        <f>IFERROR(__xludf.DUMMYFUNCTION("FILTER('GBD estimates'!$AF$4:$AF$1203,'GBD estimates'!$AA$4:$AA$1203=AE$3,'GBD estimates'!$X$4:$X$1203=""All causes"",'GBD estimates'!$Z$4:$Z$1203=""0 to 6 days (early neonatal)"")"),2301.501831)</f>
        <v>2301.501831</v>
      </c>
      <c r="AF25" s="421">
        <f>IFERROR(__xludf.DUMMYFUNCTION("FILTER('GBD estimates'!$AF$4:$AF$1203,'GBD estimates'!$AA$4:$AA$1203=AF$3,'GBD estimates'!$X$4:$X$1203=""All causes"",'GBD estimates'!$Z$4:$Z$1203=""0 to 6 days (early neonatal)"")"),9372.784678)</f>
        <v>9372.784678</v>
      </c>
      <c r="AG25" s="424">
        <f>IFERROR(__xludf.DUMMYFUNCTION("FILTER('GBD estimates'!$I$4:$I$1203,'GBD estimates'!$C$4:$C$1203=AG$2,'GBD estimates'!$F$4:$F$1203=""All causes"",'GBD estimates'!$E$4:$E$1203=""0-6 days"")"),20694.58644)</f>
        <v>20694.58644</v>
      </c>
      <c r="AH25" s="421">
        <f>IFERROR(__xludf.DUMMYFUNCTION("FILTER('GBD estimates'!$I$4:$I$1203,'GBD estimates'!$C$4:$C$1203=AH$2,'GBD estimates'!$F$4:$F$1203=""All causes"",'GBD estimates'!$E$4:$E$1203=""0-6 days"")"),19471.00076)</f>
        <v>19471.00076</v>
      </c>
      <c r="AI25" s="421">
        <f>IFERROR(__xludf.DUMMYFUNCTION("FILTER('GBD estimates'!$I$4:$I$1203,'GBD estimates'!$C$4:$C$1203=AI$2,'GBD estimates'!$F$4:$F$1203=""All causes"",'GBD estimates'!$E$4:$E$1203=""0-6 days"")"),5107.64038)</f>
        <v>5107.64038</v>
      </c>
      <c r="AJ25" s="425">
        <f>IFERROR(__xludf.DUMMYFUNCTION("FILTER('GBD estimates'!$I$4:$I$1203,'GBD estimates'!$C$4:$C$1203=AJ$2,'GBD estimates'!$F$4:$F$1203=""All causes"",'GBD estimates'!$E$4:$E$1203=""0-6 days"")"),33674.56533)</f>
        <v>33674.56533</v>
      </c>
      <c r="AK25" s="359"/>
      <c r="AL25" s="402" t="s">
        <v>233</v>
      </c>
      <c r="AM25" s="428"/>
    </row>
    <row r="26">
      <c r="A26" s="101"/>
      <c r="B26" s="102"/>
      <c r="C26" s="130"/>
      <c r="D26" s="102"/>
      <c r="E26" s="396" t="s">
        <v>142</v>
      </c>
      <c r="F26" s="114" t="s">
        <v>101</v>
      </c>
      <c r="G26" s="286" t="s">
        <v>213</v>
      </c>
      <c r="H26" s="354" t="s">
        <v>165</v>
      </c>
      <c r="I26" s="421">
        <f>IFERROR(__xludf.DUMMYFUNCTION("FILTER('GBD estimates'!$I$4:$I$1203,'GBD estimates'!$C$4:$C$1203=I$2,'GBD estimates'!$F$4:$F$1203=""All causes"",'GBD estimates'!$E$4:$E$1203=""7-27 days"")"),6949.467251)</f>
        <v>6949.467251</v>
      </c>
      <c r="J26" s="421">
        <f>IFERROR(__xludf.DUMMYFUNCTION("FILTER('GBD estimates'!$I$4:$I$1203,'GBD estimates'!$C$4:$C$1203=J$2,'GBD estimates'!$F$4:$F$1203=""All causes"",'GBD estimates'!$E$4:$E$1203=""7-27 days"")"),4718.894707)</f>
        <v>4718.894707</v>
      </c>
      <c r="K26" s="421">
        <f>IFERROR(__xludf.DUMMYFUNCTION("FILTER('GBD estimates'!$I$4:$I$1203,'GBD estimates'!$C$4:$C$1203=K$2,'GBD estimates'!$F$4:$F$1203=""All causes"",'GBD estimates'!$E$4:$E$1203=""7-27 days"")"),5328.858472)</f>
        <v>5328.858472</v>
      </c>
      <c r="L26" s="421">
        <f>IFERROR(__xludf.DUMMYFUNCTION("FILTER('GBD estimates'!$I$4:$I$1203,'GBD estimates'!$C$4:$C$1203=L$2,'GBD estimates'!$F$4:$F$1203=""All causes"",'GBD estimates'!$E$4:$E$1203=""7-27 days"")"),10893.45506)</f>
        <v>10893.45506</v>
      </c>
      <c r="M26" s="421">
        <f>IFERROR(__xludf.DUMMYFUNCTION("FILTER('GBD estimates'!$I$4:$I$1203,'GBD estimates'!$C$4:$C$1203=M$2,'GBD estimates'!$F$4:$F$1203=""All causes"",'GBD estimates'!$E$4:$E$1203=""7-27 days"")"),3633.856099)</f>
        <v>3633.856099</v>
      </c>
      <c r="N26" s="421">
        <f>IFERROR(__xludf.DUMMYFUNCTION("FILTER('GBD estimates'!$I$4:$I$1203,'GBD estimates'!$C$4:$C$1203=N$2,'GBD estimates'!$F$4:$F$1203=""All causes"",'GBD estimates'!$E$4:$E$1203=""7-27 days"")"),5221.114399)</f>
        <v>5221.114399</v>
      </c>
      <c r="O26" s="421">
        <f>IFERROR(__xludf.DUMMYFUNCTION("FILTER('GBD estimates'!$I$4:$I$1203,'GBD estimates'!$C$4:$C$1203=O$2,'GBD estimates'!$F$4:$F$1203=""All causes"",'GBD estimates'!$E$4:$E$1203=""7-27 days"")"),3885.4177)</f>
        <v>3885.4177</v>
      </c>
      <c r="P26" s="421">
        <f>IFERROR(__xludf.DUMMYFUNCTION("FILTER('GBD estimates'!$I$4:$I$1203,'GBD estimates'!$C$4:$C$1203=P$2,'GBD estimates'!$F$4:$F$1203=""All causes"",'GBD estimates'!$E$4:$E$1203=""7-27 days"")"),6808.063876)</f>
        <v>6808.063876</v>
      </c>
      <c r="Q26" s="421">
        <f>IFERROR(__xludf.DUMMYFUNCTION("FILTER('GBD estimates'!$I$4:$I$1203,'GBD estimates'!$C$4:$C$1203=Q$2,'GBD estimates'!$F$4:$F$1203=""All causes"",'GBD estimates'!$E$4:$E$1203=""7-27 days"")"),7653.323267)</f>
        <v>7653.323267</v>
      </c>
      <c r="R26" s="421">
        <f>IFERROR(__xludf.DUMMYFUNCTION("FILTER('GBD estimates'!$AF$4:$AF$1203,'GBD estimates'!$AA$4:$AA$1203=R$3,'GBD estimates'!$X$4:$X$1203=""All causes"",'GBD estimates'!$Z$4:$Z$1203=""7 to 27 days (late neonatal)"")"),961.7471079)</f>
        <v>961.7471079</v>
      </c>
      <c r="S26" s="421">
        <f>IFERROR(__xludf.DUMMYFUNCTION("FILTER('GBD estimates'!$AF$4:$AF$1203,'GBD estimates'!$AA$4:$AA$1203=S$3,'GBD estimates'!$X$4:$X$1203=""All causes"",'GBD estimates'!$Z$4:$Z$1203=""7 to 27 days (late neonatal)"")"),229.1202135)</f>
        <v>229.1202135</v>
      </c>
      <c r="T26" s="421">
        <f>IFERROR(__xludf.DUMMYFUNCTION("FILTER('GBD estimates'!$AF$4:$AF$1203,'GBD estimates'!$AA$4:$AA$1203=T$3,'GBD estimates'!$X$4:$X$1203=""All causes"",'GBD estimates'!$Z$4:$Z$1203=""7 to 27 days (late neonatal)"")"),566.9277211)</f>
        <v>566.9277211</v>
      </c>
      <c r="U26" s="421">
        <f>IFERROR(__xludf.DUMMYFUNCTION("FILTER('GBD estimates'!$AF$4:$AF$1203,'GBD estimates'!$AA$4:$AA$1203=U$3,'GBD estimates'!$X$4:$X$1203=""All causes"",'GBD estimates'!$Z$4:$Z$1203=""7 to 27 days (late neonatal)"")"),1900.406123)</f>
        <v>1900.406123</v>
      </c>
      <c r="V26" s="421">
        <f>IFERROR(__xludf.DUMMYFUNCTION("FILTER('GBD estimates'!$AF$4:$AF$1203,'GBD estimates'!$AA$4:$AA$1203=V$3,'GBD estimates'!$X$4:$X$1203=""All causes"",'GBD estimates'!$Z$4:$Z$1203=""7 to 27 days (late neonatal)"")"),557.1714584)</f>
        <v>557.1714584</v>
      </c>
      <c r="W26" s="421">
        <f>IFERROR(__xludf.DUMMYFUNCTION("FILTER('GBD estimates'!$AF$4:$AF$1203,'GBD estimates'!$AA$4:$AA$1203=W$3,'GBD estimates'!$X$4:$X$1203=""All causes"",'GBD estimates'!$Z$4:$Z$1203=""7 to 27 days (late neonatal)"")"),574.2221148)</f>
        <v>574.2221148</v>
      </c>
      <c r="X26" s="421">
        <f>IFERROR(__xludf.DUMMYFUNCTION("FILTER('GBD estimates'!$AF$4:$AF$1203,'GBD estimates'!$AA$4:$AA$1203=X$3,'GBD estimates'!$X$4:$X$1203=""All causes"",'GBD estimates'!$Z$4:$Z$1203=""7 to 27 days (late neonatal)"")"),383.4652698)</f>
        <v>383.4652698</v>
      </c>
      <c r="Y26" s="421">
        <f>IFERROR(__xludf.DUMMYFUNCTION("FILTER('GBD estimates'!$AF$4:$AF$1203,'GBD estimates'!$AA$4:$AA$1203=Y$3,'GBD estimates'!$X$4:$X$1203=""All causes"",'GBD estimates'!$Z$4:$Z$1203=""7 to 27 days (late neonatal)"")"),185.3151303)</f>
        <v>185.3151303</v>
      </c>
      <c r="Z26" s="421">
        <f>IFERROR(__xludf.DUMMYFUNCTION("FILTER('GBD estimates'!$AF$4:$AF$1203,'GBD estimates'!$AA$4:$AA$1203=Z$3,'GBD estimates'!$X$4:$X$1203=""All causes"",'GBD estimates'!$Z$4:$Z$1203=""7 to 27 days (late neonatal)"")"),845.1846992)</f>
        <v>845.1846992</v>
      </c>
      <c r="AA26" s="421">
        <f>IFERROR(__xludf.DUMMYFUNCTION("FILTER('GBD estimates'!$AF$4:$AF$1203,'GBD estimates'!$AA$4:$AA$1203=AA$3,'GBD estimates'!$X$4:$X$1203=""All causes"",'GBD estimates'!$Z$4:$Z$1203=""7 to 27 days (late neonatal)"")"),256.7525313)</f>
        <v>256.7525313</v>
      </c>
      <c r="AB26" s="421">
        <f>IFERROR(__xludf.DUMMYFUNCTION("FILTER('GBD estimates'!$AF$4:$AF$1203,'GBD estimates'!$AA$4:$AA$1203=AB$3,'GBD estimates'!$X$4:$X$1203=""All causes"",'GBD estimates'!$Z$4:$Z$1203=""7 to 27 days (late neonatal)"")"),962.4266505)</f>
        <v>962.4266505</v>
      </c>
      <c r="AC26" s="421">
        <f>IFERROR(__xludf.DUMMYFUNCTION("FILTER('GBD estimates'!$AF$4:$AF$1203,'GBD estimates'!$AA$4:$AA$1203=AC$3,'GBD estimates'!$X$4:$X$1203=""All causes"",'GBD estimates'!$Z$4:$Z$1203=""7 to 27 days (late neonatal)"")"),1522.781504)</f>
        <v>1522.781504</v>
      </c>
      <c r="AD26" s="421">
        <f>IFERROR(__xludf.DUMMYFUNCTION("FILTER('GBD estimates'!$AF$4:$AF$1203,'GBD estimates'!$AA$4:$AA$1203=AD$3,'GBD estimates'!$X$4:$X$1203=""All causes"",'GBD estimates'!$Z$4:$Z$1203=""7 to 27 days (late neonatal)"")"),328.0110029)</f>
        <v>328.0110029</v>
      </c>
      <c r="AE26" s="421">
        <f>IFERROR(__xludf.DUMMYFUNCTION("FILTER('GBD estimates'!$AF$4:$AF$1203,'GBD estimates'!$AA$4:$AA$1203=AE$3,'GBD estimates'!$X$4:$X$1203=""All causes"",'GBD estimates'!$Z$4:$Z$1203=""7 to 27 days (late neonatal)"")"),460.3396178)</f>
        <v>460.3396178</v>
      </c>
      <c r="AF26" s="421">
        <f>IFERROR(__xludf.DUMMYFUNCTION("FILTER('GBD estimates'!$AF$4:$AF$1203,'GBD estimates'!$AA$4:$AA$1203=AF$3,'GBD estimates'!$X$4:$X$1203=""All causes"",'GBD estimates'!$Z$4:$Z$1203=""7 to 27 days (late neonatal)"")"),2484.410708)</f>
        <v>2484.410708</v>
      </c>
      <c r="AG26" s="424">
        <f>IFERROR(__xludf.DUMMYFUNCTION("FILTER('GBD estimates'!$I$4:$I$1203,'GBD estimates'!$C$4:$C$1203=AG$2,'GBD estimates'!$F$4:$F$1203=""All causes"",'GBD estimates'!$E$4:$E$1203=""7-27 days"")"),3275.622234)</f>
        <v>3275.622234</v>
      </c>
      <c r="AH26" s="421">
        <f>IFERROR(__xludf.DUMMYFUNCTION("FILTER('GBD estimates'!$I$4:$I$1203,'GBD estimates'!$C$4:$C$1203=AH$2,'GBD estimates'!$F$4:$F$1203=""All causes"",'GBD estimates'!$E$4:$E$1203=""7-27 days"")"),5935.057826)</f>
        <v>5935.057826</v>
      </c>
      <c r="AI26" s="421">
        <f>IFERROR(__xludf.DUMMYFUNCTION("FILTER('GBD estimates'!$I$4:$I$1203,'GBD estimates'!$C$4:$C$1203=AI$2,'GBD estimates'!$F$4:$F$1203=""All causes"",'GBD estimates'!$E$4:$E$1203=""7-27 days"")"),819.2103542)</f>
        <v>819.2103542</v>
      </c>
      <c r="AJ26" s="425">
        <f>IFERROR(__xludf.DUMMYFUNCTION("FILTER('GBD estimates'!$I$4:$I$1203,'GBD estimates'!$C$4:$C$1203=AJ$2,'GBD estimates'!$F$4:$F$1203=""All causes"",'GBD estimates'!$E$4:$E$1203=""7-27 days"")"),7103.605519)</f>
        <v>7103.605519</v>
      </c>
      <c r="AK26" s="359"/>
      <c r="AL26" s="402" t="s">
        <v>233</v>
      </c>
      <c r="AM26" s="428"/>
    </row>
    <row r="27">
      <c r="A27" s="101"/>
      <c r="B27" s="102"/>
      <c r="C27" s="130"/>
      <c r="D27" s="102"/>
      <c r="E27" s="403" t="s">
        <v>152</v>
      </c>
      <c r="F27" s="121" t="s">
        <v>101</v>
      </c>
      <c r="G27" s="248" t="s">
        <v>213</v>
      </c>
      <c r="H27" s="404" t="s">
        <v>165</v>
      </c>
      <c r="I27" s="432">
        <f>IFERROR(__xludf.DUMMYFUNCTION("FILTER('GBD estimates'!$I$4:$I$1203,'GBD estimates'!$C$4:$C$1203=I$2,'GBD estimates'!$F$4:$F$1203=""All causes"",'GBD estimates'!$E$4:$E$1203=""28-364 days"")"),30592.14891)</f>
        <v>30592.14891</v>
      </c>
      <c r="J27" s="432">
        <f>IFERROR(__xludf.DUMMYFUNCTION("FILTER('GBD estimates'!$I$4:$I$1203,'GBD estimates'!$C$4:$C$1203=J$2,'GBD estimates'!$F$4:$F$1203=""All causes"",'GBD estimates'!$E$4:$E$1203=""28-364 days"")"),19245.01042)</f>
        <v>19245.01042</v>
      </c>
      <c r="K27" s="432">
        <f>IFERROR(__xludf.DUMMYFUNCTION("FILTER('GBD estimates'!$I$4:$I$1203,'GBD estimates'!$C$4:$C$1203=K$2,'GBD estimates'!$F$4:$F$1203=""All causes"",'GBD estimates'!$E$4:$E$1203=""28-364 days"")"),12225.34139)</f>
        <v>12225.34139</v>
      </c>
      <c r="L27" s="432">
        <f>IFERROR(__xludf.DUMMYFUNCTION("FILTER('GBD estimates'!$I$4:$I$1203,'GBD estimates'!$C$4:$C$1203=L$2,'GBD estimates'!$F$4:$F$1203=""All causes"",'GBD estimates'!$E$4:$E$1203=""28-364 days"")"),50492.30638)</f>
        <v>50492.30638</v>
      </c>
      <c r="M27" s="432">
        <f>IFERROR(__xludf.DUMMYFUNCTION("FILTER('GBD estimates'!$I$4:$I$1203,'GBD estimates'!$C$4:$C$1203=M$2,'GBD estimates'!$F$4:$F$1203=""All causes"",'GBD estimates'!$E$4:$E$1203=""28-364 days"")"),11984.04726)</f>
        <v>11984.04726</v>
      </c>
      <c r="N27" s="432">
        <f>IFERROR(__xludf.DUMMYFUNCTION("FILTER('GBD estimates'!$I$4:$I$1203,'GBD estimates'!$C$4:$C$1203=N$2,'GBD estimates'!$F$4:$F$1203=""All causes"",'GBD estimates'!$E$4:$E$1203=""28-364 days"")"),15329.81801)</f>
        <v>15329.81801</v>
      </c>
      <c r="O27" s="432">
        <f>IFERROR(__xludf.DUMMYFUNCTION("FILTER('GBD estimates'!$I$4:$I$1203,'GBD estimates'!$C$4:$C$1203=O$2,'GBD estimates'!$F$4:$F$1203=""All causes"",'GBD estimates'!$E$4:$E$1203=""28-364 days"")"),15450.8777)</f>
        <v>15450.8777</v>
      </c>
      <c r="P27" s="432">
        <f>IFERROR(__xludf.DUMMYFUNCTION("FILTER('GBD estimates'!$I$4:$I$1203,'GBD estimates'!$C$4:$C$1203=P$2,'GBD estimates'!$F$4:$F$1203=""All causes"",'GBD estimates'!$E$4:$E$1203=""28-364 days"")"),28412.93493)</f>
        <v>28412.93493</v>
      </c>
      <c r="Q27" s="432">
        <f>IFERROR(__xludf.DUMMYFUNCTION("FILTER('GBD estimates'!$I$4:$I$1203,'GBD estimates'!$C$4:$C$1203=Q$2,'GBD estimates'!$F$4:$F$1203=""All causes"",'GBD estimates'!$E$4:$E$1203=""28-364 days"")"),30362.1489)</f>
        <v>30362.1489</v>
      </c>
      <c r="R27" s="432">
        <f>IFERROR(__xludf.DUMMYFUNCTION("FILTER('GBD estimates'!$AF$4:$AF$1203,'GBD estimates'!$AA$4:$AA$1203=R$3,'GBD estimates'!$X$4:$X$1203=""All causes"",'GBD estimates'!$Z$4:$Z$1203=""28 to 364 days (post neonatal)"")"),3814.759117)</f>
        <v>3814.759117</v>
      </c>
      <c r="S27" s="432">
        <f>IFERROR(__xludf.DUMMYFUNCTION("FILTER('GBD estimates'!$AF$4:$AF$1203,'GBD estimates'!$AA$4:$AA$1203=S$3,'GBD estimates'!$X$4:$X$1203=""All causes"",'GBD estimates'!$Z$4:$Z$1203=""28 to 364 days (post neonatal)"")"),899.2507422)</f>
        <v>899.2507422</v>
      </c>
      <c r="T27" s="432">
        <f>IFERROR(__xludf.DUMMYFUNCTION("FILTER('GBD estimates'!$AF$4:$AF$1203,'GBD estimates'!$AA$4:$AA$1203=T$3,'GBD estimates'!$X$4:$X$1203=""All causes"",'GBD estimates'!$Z$4:$Z$1203=""28 to 364 days (post neonatal)"")"),1977.83322)</f>
        <v>1977.83322</v>
      </c>
      <c r="U27" s="432">
        <f>IFERROR(__xludf.DUMMYFUNCTION("FILTER('GBD estimates'!$AF$4:$AF$1203,'GBD estimates'!$AA$4:$AA$1203=U$3,'GBD estimates'!$X$4:$X$1203=""All causes"",'GBD estimates'!$Z$4:$Z$1203=""28 to 364 days (post neonatal)"")"),7596.611931)</f>
        <v>7596.611931</v>
      </c>
      <c r="V27" s="432">
        <f>IFERROR(__xludf.DUMMYFUNCTION("FILTER('GBD estimates'!$AF$4:$AF$1203,'GBD estimates'!$AA$4:$AA$1203=V$3,'GBD estimates'!$X$4:$X$1203=""All causes"",'GBD estimates'!$Z$4:$Z$1203=""28 to 364 days (post neonatal)"")"),2133.298156)</f>
        <v>2133.298156</v>
      </c>
      <c r="W27" s="432">
        <f>IFERROR(__xludf.DUMMYFUNCTION("FILTER('GBD estimates'!$AF$4:$AF$1203,'GBD estimates'!$AA$4:$AA$1203=W$3,'GBD estimates'!$X$4:$X$1203=""All causes"",'GBD estimates'!$Z$4:$Z$1203=""28 to 364 days (post neonatal)"")"),2185.101705)</f>
        <v>2185.101705</v>
      </c>
      <c r="X27" s="432">
        <f>IFERROR(__xludf.DUMMYFUNCTION("FILTER('GBD estimates'!$AF$4:$AF$1203,'GBD estimates'!$AA$4:$AA$1203=X$3,'GBD estimates'!$X$4:$X$1203=""All causes"",'GBD estimates'!$Z$4:$Z$1203=""28 to 364 days (post neonatal)"")"),1406.128139)</f>
        <v>1406.128139</v>
      </c>
      <c r="Y27" s="432">
        <f>IFERROR(__xludf.DUMMYFUNCTION("FILTER('GBD estimates'!$AF$4:$AF$1203,'GBD estimates'!$AA$4:$AA$1203=Y$3,'GBD estimates'!$X$4:$X$1203=""All causes"",'GBD estimates'!$Z$4:$Z$1203=""28 to 364 days (post neonatal)"")"),688.1729607)</f>
        <v>688.1729607</v>
      </c>
      <c r="Z27" s="432">
        <f>IFERROR(__xludf.DUMMYFUNCTION("FILTER('GBD estimates'!$AF$4:$AF$1203,'GBD estimates'!$AA$4:$AA$1203=Z$3,'GBD estimates'!$X$4:$X$1203=""All causes"",'GBD estimates'!$Z$4:$Z$1203=""28 to 364 days (post neonatal)"")"),2904.058815)</f>
        <v>2904.058815</v>
      </c>
      <c r="AA27" s="432">
        <f>IFERROR(__xludf.DUMMYFUNCTION("FILTER('GBD estimates'!$AF$4:$AF$1203,'GBD estimates'!$AA$4:$AA$1203=AA$3,'GBD estimates'!$X$4:$X$1203=""All causes"",'GBD estimates'!$Z$4:$Z$1203=""28 to 364 days (post neonatal)"")"),901.7446937)</f>
        <v>901.7446937</v>
      </c>
      <c r="AB27" s="432">
        <f>IFERROR(__xludf.DUMMYFUNCTION("FILTER('GBD estimates'!$AF$4:$AF$1203,'GBD estimates'!$AA$4:$AA$1203=AB$3,'GBD estimates'!$X$4:$X$1203=""All causes"",'GBD estimates'!$Z$4:$Z$1203=""28 to 364 days (post neonatal)"")"),3747.540591)</f>
        <v>3747.540591</v>
      </c>
      <c r="AC27" s="432">
        <f>IFERROR(__xludf.DUMMYFUNCTION("FILTER('GBD estimates'!$AF$4:$AF$1203,'GBD estimates'!$AA$4:$AA$1203=AC$3,'GBD estimates'!$X$4:$X$1203=""All causes"",'GBD estimates'!$Z$4:$Z$1203=""28 to 364 days (post neonatal)"")"),5457.207151)</f>
        <v>5457.207151</v>
      </c>
      <c r="AD27" s="432">
        <f>IFERROR(__xludf.DUMMYFUNCTION("FILTER('GBD estimates'!$AF$4:$AF$1203,'GBD estimates'!$AA$4:$AA$1203=AD$3,'GBD estimates'!$X$4:$X$1203=""All causes"",'GBD estimates'!$Z$4:$Z$1203=""28 to 364 days (post neonatal)"")"),1063.922078)</f>
        <v>1063.922078</v>
      </c>
      <c r="AE27" s="432">
        <f>IFERROR(__xludf.DUMMYFUNCTION("FILTER('GBD estimates'!$AF$4:$AF$1203,'GBD estimates'!$AA$4:$AA$1203=AE$3,'GBD estimates'!$X$4:$X$1203=""All causes"",'GBD estimates'!$Z$4:$Z$1203=""28 to 364 days (post neonatal)"")"),1846.545736)</f>
        <v>1846.545736</v>
      </c>
      <c r="AF27" s="432">
        <f>IFERROR(__xludf.DUMMYFUNCTION("FILTER('GBD estimates'!$AF$4:$AF$1203,'GBD estimates'!$AA$4:$AA$1203=AF$3,'GBD estimates'!$X$4:$X$1203=""All causes"",'GBD estimates'!$Z$4:$Z$1203=""28 to 364 days (post neonatal)"")"),9773.849826)</f>
        <v>9773.849826</v>
      </c>
      <c r="AG27" s="434">
        <f>IFERROR(__xludf.DUMMYFUNCTION("FILTER('GBD estimates'!$I$4:$I$1203,'GBD estimates'!$C$4:$C$1203=AG$2,'GBD estimates'!$F$4:$F$1203=""All causes"",'GBD estimates'!$E$4:$E$1203=""28-364 days"")"),17133.41458)</f>
        <v>17133.41458</v>
      </c>
      <c r="AH27" s="432">
        <f>IFERROR(__xludf.DUMMYFUNCTION("FILTER('GBD estimates'!$I$4:$I$1203,'GBD estimates'!$C$4:$C$1203=AH$2,'GBD estimates'!$F$4:$F$1203=""All causes"",'GBD estimates'!$E$4:$E$1203=""28-364 days"")"),27388.4432)</f>
        <v>27388.4432</v>
      </c>
      <c r="AI27" s="432">
        <f>IFERROR(__xludf.DUMMYFUNCTION("FILTER('GBD estimates'!$I$4:$I$1203,'GBD estimates'!$C$4:$C$1203=AI$2,'GBD estimates'!$F$4:$F$1203=""All causes"",'GBD estimates'!$E$4:$E$1203=""28-364 days"")"),3686.52231)</f>
        <v>3686.52231</v>
      </c>
      <c r="AJ27" s="437">
        <f>IFERROR(__xludf.DUMMYFUNCTION("FILTER('GBD estimates'!$I$4:$I$1203,'GBD estimates'!$C$4:$C$1203=AJ$2,'GBD estimates'!$F$4:$F$1203=""All causes"",'GBD estimates'!$E$4:$E$1203=""28-364 days"")"),25133.87915)</f>
        <v>25133.87915</v>
      </c>
      <c r="AK27" s="206"/>
      <c r="AL27" s="349" t="s">
        <v>233</v>
      </c>
      <c r="AM27" s="438"/>
    </row>
    <row r="28">
      <c r="A28" s="101"/>
      <c r="B28" s="102"/>
      <c r="C28" s="102"/>
      <c r="D28" s="102"/>
      <c r="E28" s="440"/>
      <c r="F28" s="132"/>
      <c r="G28" s="133"/>
      <c r="H28" s="441"/>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442"/>
      <c r="AH28" s="140"/>
      <c r="AI28" s="140"/>
      <c r="AJ28" s="141"/>
      <c r="AK28" s="165"/>
      <c r="AL28" s="417"/>
      <c r="AM28" s="443"/>
    </row>
    <row r="29">
      <c r="A29" s="101"/>
      <c r="B29" s="102"/>
      <c r="C29" s="109" t="s">
        <v>159</v>
      </c>
      <c r="F29" s="132"/>
      <c r="G29" s="133"/>
      <c r="H29" s="441"/>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442"/>
      <c r="AH29" s="140"/>
      <c r="AI29" s="140"/>
      <c r="AJ29" s="141"/>
      <c r="AK29" s="165"/>
      <c r="AL29" s="417"/>
      <c r="AM29" s="443"/>
    </row>
    <row r="30">
      <c r="A30" s="101"/>
      <c r="B30" s="102"/>
      <c r="C30" s="102"/>
      <c r="D30" s="102"/>
      <c r="E30" s="403" t="s">
        <v>249</v>
      </c>
      <c r="F30" s="121" t="s">
        <v>112</v>
      </c>
      <c r="G30" s="280" t="s">
        <v>213</v>
      </c>
      <c r="H30" s="444">
        <v>0.53</v>
      </c>
      <c r="I30" s="282"/>
      <c r="J30" s="282"/>
      <c r="K30" s="282"/>
      <c r="L30" s="282"/>
      <c r="M30" s="282" t="s">
        <v>165</v>
      </c>
      <c r="N30" s="282" t="s">
        <v>165</v>
      </c>
      <c r="O30" s="282" t="s">
        <v>165</v>
      </c>
      <c r="P30" s="282" t="s">
        <v>165</v>
      </c>
      <c r="Q30" s="282" t="s">
        <v>165</v>
      </c>
      <c r="R30" s="282" t="s">
        <v>165</v>
      </c>
      <c r="S30" s="282" t="s">
        <v>165</v>
      </c>
      <c r="T30" s="282" t="s">
        <v>165</v>
      </c>
      <c r="U30" s="282" t="s">
        <v>165</v>
      </c>
      <c r="V30" s="282" t="s">
        <v>165</v>
      </c>
      <c r="W30" s="282" t="s">
        <v>165</v>
      </c>
      <c r="X30" s="282" t="s">
        <v>165</v>
      </c>
      <c r="Y30" s="282" t="s">
        <v>165</v>
      </c>
      <c r="Z30" s="282" t="s">
        <v>165</v>
      </c>
      <c r="AA30" s="282" t="s">
        <v>165</v>
      </c>
      <c r="AB30" s="282" t="s">
        <v>165</v>
      </c>
      <c r="AC30" s="282" t="s">
        <v>165</v>
      </c>
      <c r="AD30" s="282" t="s">
        <v>165</v>
      </c>
      <c r="AE30" s="282" t="s">
        <v>165</v>
      </c>
      <c r="AF30" s="282" t="s">
        <v>165</v>
      </c>
      <c r="AG30" s="445" t="s">
        <v>165</v>
      </c>
      <c r="AH30" s="282" t="s">
        <v>165</v>
      </c>
      <c r="AI30" s="282" t="s">
        <v>165</v>
      </c>
      <c r="AJ30" s="294" t="s">
        <v>165</v>
      </c>
      <c r="AK30" s="206"/>
      <c r="AL30" s="447" t="s">
        <v>250</v>
      </c>
      <c r="AM30" s="448"/>
    </row>
    <row r="31">
      <c r="A31" s="101"/>
      <c r="B31" s="102"/>
      <c r="C31" s="102"/>
      <c r="D31" s="102"/>
      <c r="E31" s="440"/>
      <c r="F31" s="132"/>
      <c r="G31" s="271"/>
      <c r="H31" s="352"/>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449"/>
      <c r="AH31" s="156"/>
      <c r="AI31" s="156"/>
      <c r="AJ31" s="450"/>
      <c r="AK31" s="165"/>
      <c r="AL31" s="417"/>
      <c r="AM31" s="443"/>
    </row>
    <row r="32">
      <c r="A32" s="101"/>
      <c r="B32" s="102"/>
      <c r="C32" s="109" t="s">
        <v>170</v>
      </c>
      <c r="F32" s="132"/>
      <c r="G32" s="271"/>
      <c r="H32" s="352"/>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449"/>
      <c r="AH32" s="156"/>
      <c r="AI32" s="156"/>
      <c r="AJ32" s="450"/>
      <c r="AK32" s="165"/>
      <c r="AL32" s="417"/>
      <c r="AM32" s="443"/>
    </row>
    <row r="33">
      <c r="A33" s="101"/>
      <c r="B33" s="102"/>
      <c r="C33" s="102"/>
      <c r="D33" s="102"/>
      <c r="E33" s="396" t="s">
        <v>172</v>
      </c>
      <c r="F33" s="114" t="s">
        <v>106</v>
      </c>
      <c r="G33" s="272" t="s">
        <v>213</v>
      </c>
      <c r="H33" s="354" t="s">
        <v>165</v>
      </c>
      <c r="I33" s="421">
        <f>IFERROR(__xludf.DUMMYFUNCTION("FILTER('GBD estimates'!$T$4:$T$1203,'GBD estimates'!$N$4:$N$1203=I$2,'GBD estimates'!$Q$4:$Q$1203=""All causes"",'GBD estimates'!$P$4:$P$1203=""&lt;5 years"")"),2442.031714)</f>
        <v>2442.031714</v>
      </c>
      <c r="J33" s="421">
        <f>IFERROR(__xludf.DUMMYFUNCTION("FILTER('GBD estimates'!$T$4:$T$1203,'GBD estimates'!$N$4:$N$1203=J$2,'GBD estimates'!$Q$4:$Q$1203=""All causes"",'GBD estimates'!$P$4:$P$1203=""&lt;5 years"")"),1522.066664)</f>
        <v>1522.066664</v>
      </c>
      <c r="K33" s="421">
        <f>IFERROR(__xludf.DUMMYFUNCTION("FILTER('GBD estimates'!$T$4:$T$1203,'GBD estimates'!$N$4:$N$1203=K$2,'GBD estimates'!$Q$4:$Q$1203=""All causes"",'GBD estimates'!$P$4:$P$1203=""&lt;5 years"")"),1615.568992)</f>
        <v>1615.568992</v>
      </c>
      <c r="L33" s="421">
        <f>IFERROR(__xludf.DUMMYFUNCTION("FILTER('GBD estimates'!$T$4:$T$1203,'GBD estimates'!$N$4:$N$1203=L$2,'GBD estimates'!$Q$4:$Q$1203=""All causes"",'GBD estimates'!$P$4:$P$1203=""&lt;5 years"")"),1236.060618)</f>
        <v>1236.060618</v>
      </c>
      <c r="M33" s="421">
        <f>IFERROR(__xludf.DUMMYFUNCTION("FILTER('GBD estimates'!$T$4:$T$1203,'GBD estimates'!$N$4:$N$1203=M$2,'GBD estimates'!$Q$4:$Q$1203=""All causes"",'GBD estimates'!$P$4:$P$1203=""&lt;5 years"")"),2118.423217)</f>
        <v>2118.423217</v>
      </c>
      <c r="N33" s="421">
        <f>IFERROR(__xludf.DUMMYFUNCTION("FILTER('GBD estimates'!$T$4:$T$1203,'GBD estimates'!$N$4:$N$1203=N$2,'GBD estimates'!$Q$4:$Q$1203=""All causes"",'GBD estimates'!$P$4:$P$1203=""&lt;5 years"")"),831.4269669)</f>
        <v>831.4269669</v>
      </c>
      <c r="O33" s="421">
        <f>IFERROR(__xludf.DUMMYFUNCTION("FILTER('GBD estimates'!$T$4:$T$1203,'GBD estimates'!$N$4:$N$1203=O$2,'GBD estimates'!$Q$4:$Q$1203=""All causes"",'GBD estimates'!$P$4:$P$1203=""&lt;5 years"")"),1222.490103)</f>
        <v>1222.490103</v>
      </c>
      <c r="P33" s="421">
        <f>IFERROR(__xludf.DUMMYFUNCTION("FILTER('GBD estimates'!$T$4:$T$1203,'GBD estimates'!$N$4:$N$1203=P$2,'GBD estimates'!$Q$4:$Q$1203=""All causes"",'GBD estimates'!$P$4:$P$1203=""&lt;5 years"")"),2697.678735)</f>
        <v>2697.678735</v>
      </c>
      <c r="Q33" s="421">
        <f>IFERROR(__xludf.DUMMYFUNCTION("FILTER('GBD estimates'!$T$4:$T$1203,'GBD estimates'!$N$4:$N$1203=Q$2,'GBD estimates'!$Q$4:$Q$1203=""All causes"",'GBD estimates'!$P$4:$P$1203=""&lt;5 years"")"),2477.232682)</f>
        <v>2477.232682</v>
      </c>
      <c r="R33" s="421">
        <f>IFERROR(__xludf.DUMMYFUNCTION("FILTER('GBD estimates'!$AS$4:$AS$1203,'GBD estimates'!$AN$4:$AN$1203=R$3,'GBD estimates'!$AK$4:$AK$1203=""All causes"",'GBD estimates'!$AM$4:$AM$1203=""Under 5"")"),2457.694788)</f>
        <v>2457.694788</v>
      </c>
      <c r="S33" s="421">
        <f>IFERROR(__xludf.DUMMYFUNCTION("FILTER('GBD estimates'!$AS$4:$AS$1203,'GBD estimates'!$AN$4:$AN$1203=S$3,'GBD estimates'!$AK$4:$AK$1203=""All causes"",'GBD estimates'!$AM$4:$AM$1203=""Under 5"")"),1223.997163)</f>
        <v>1223.997163</v>
      </c>
      <c r="T33" s="421">
        <f>IFERROR(__xludf.DUMMYFUNCTION("FILTER('GBD estimates'!$AS$4:$AS$1203,'GBD estimates'!$AN$4:$AN$1203=T$3,'GBD estimates'!$AK$4:$AK$1203=""All causes"",'GBD estimates'!$AM$4:$AM$1203=""Under 5"")"),1006.968781)</f>
        <v>1006.968781</v>
      </c>
      <c r="U33" s="421">
        <f>IFERROR(__xludf.DUMMYFUNCTION("FILTER('GBD estimates'!$AS$4:$AS$1203,'GBD estimates'!$AN$4:$AN$1203=U$3,'GBD estimates'!$AK$4:$AK$1203=""All causes"",'GBD estimates'!$AM$4:$AM$1203=""Under 5"")"),1771.778908)</f>
        <v>1771.778908</v>
      </c>
      <c r="V33" s="421">
        <f>IFERROR(__xludf.DUMMYFUNCTION("FILTER('GBD estimates'!$AS$4:$AS$1203,'GBD estimates'!$AN$4:$AN$1203=V$3,'GBD estimates'!$AK$4:$AK$1203=""All causes"",'GBD estimates'!$AM$4:$AM$1203=""Under 5"")"),1546.205875)</f>
        <v>1546.205875</v>
      </c>
      <c r="W33" s="421">
        <f>IFERROR(__xludf.DUMMYFUNCTION("FILTER('GBD estimates'!$AS$4:$AS$1203,'GBD estimates'!$AN$4:$AN$1203=W$3,'GBD estimates'!$AK$4:$AK$1203=""All causes"",'GBD estimates'!$AM$4:$AM$1203=""Under 5"")"),1814.277484)</f>
        <v>1814.277484</v>
      </c>
      <c r="X33" s="421">
        <f>IFERROR(__xludf.DUMMYFUNCTION("FILTER('GBD estimates'!$AS$4:$AS$1203,'GBD estimates'!$AN$4:$AN$1203=X$3,'GBD estimates'!$AK$4:$AK$1203=""All causes"",'GBD estimates'!$AM$4:$AM$1203=""Under 5"")"),1286.059774)</f>
        <v>1286.059774</v>
      </c>
      <c r="Y33" s="421">
        <f>IFERROR(__xludf.DUMMYFUNCTION("FILTER('GBD estimates'!$AS$4:$AS$1203,'GBD estimates'!$AN$4:$AN$1203=Y$3,'GBD estimates'!$AK$4:$AK$1203=""All causes"",'GBD estimates'!$AM$4:$AM$1203=""Under 5"")"),1405.186606)</f>
        <v>1405.186606</v>
      </c>
      <c r="Z33" s="421">
        <f>IFERROR(__xludf.DUMMYFUNCTION("FILTER('GBD estimates'!$AS$4:$AS$1203,'GBD estimates'!$AN$4:$AN$1203=Z$3,'GBD estimates'!$AK$4:$AK$1203=""All causes"",'GBD estimates'!$AM$4:$AM$1203=""Under 5"")"),1006.944899)</f>
        <v>1006.944899</v>
      </c>
      <c r="AA33" s="421">
        <f>IFERROR(__xludf.DUMMYFUNCTION("FILTER('GBD estimates'!$AS$4:$AS$1203,'GBD estimates'!$AN$4:$AN$1203=AA$3,'GBD estimates'!$AK$4:$AK$1203=""All causes"",'GBD estimates'!$AM$4:$AM$1203=""Under 5"")"),1097.602879)</f>
        <v>1097.602879</v>
      </c>
      <c r="AB33" s="421">
        <f>IFERROR(__xludf.DUMMYFUNCTION("FILTER('GBD estimates'!$AS$4:$AS$1203,'GBD estimates'!$AN$4:$AN$1203=AB$3,'GBD estimates'!$AK$4:$AK$1203=""All causes"",'GBD estimates'!$AM$4:$AM$1203=""Under 5"")"),1763.388791)</f>
        <v>1763.388791</v>
      </c>
      <c r="AC33" s="421">
        <f>IFERROR(__xludf.DUMMYFUNCTION("FILTER('GBD estimates'!$AS$4:$AS$1203,'GBD estimates'!$AN$4:$AN$1203=AC$3,'GBD estimates'!$AK$4:$AK$1203=""All causes"",'GBD estimates'!$AM$4:$AM$1203=""Under 5"")"),1354.029628)</f>
        <v>1354.029628</v>
      </c>
      <c r="AD33" s="421">
        <f>IFERROR(__xludf.DUMMYFUNCTION("FILTER('GBD estimates'!$AS$4:$AS$1203,'GBD estimates'!$AN$4:$AN$1203=AD$3,'GBD estimates'!$AK$4:$AK$1203=""All causes"",'GBD estimates'!$AM$4:$AM$1203=""Under 5"")"),929.9922997)</f>
        <v>929.9922997</v>
      </c>
      <c r="AE33" s="421">
        <f>IFERROR(__xludf.DUMMYFUNCTION("FILTER('GBD estimates'!$AS$4:$AS$1203,'GBD estimates'!$AN$4:$AN$1203=AE$3,'GBD estimates'!$AK$4:$AK$1203=""All causes"",'GBD estimates'!$AM$4:$AM$1203=""Under 5"")"),1560.88469)</f>
        <v>1560.88469</v>
      </c>
      <c r="AF33" s="421">
        <f>IFERROR(__xludf.DUMMYFUNCTION("FILTER('GBD estimates'!$AS$4:$AS$1203,'GBD estimates'!$AN$4:$AN$1203=AF$3,'GBD estimates'!$AK$4:$AK$1203=""All causes"",'GBD estimates'!$AM$4:$AM$1203=""Under 5"")"),2711.975471)</f>
        <v>2711.975471</v>
      </c>
      <c r="AG33" s="424">
        <f>IFERROR(__xludf.DUMMYFUNCTION("FILTER('GBD estimates'!$T$4:$T$1203,'GBD estimates'!$N$4:$N$1203=AG$2,'GBD estimates'!$Q$4:$Q$1203=""All causes"",'GBD estimates'!$P$4:$P$1203=""&lt;5 years"")"),1141.694553)</f>
        <v>1141.694553</v>
      </c>
      <c r="AH33" s="421">
        <f>IFERROR(__xludf.DUMMYFUNCTION("FILTER('GBD estimates'!$T$4:$T$1203,'GBD estimates'!$N$4:$N$1203=AH$2,'GBD estimates'!$Q$4:$Q$1203=""All causes"",'GBD estimates'!$P$4:$P$1203=""&lt;5 years"")"),2567.767314)</f>
        <v>2567.767314</v>
      </c>
      <c r="AI33" s="421">
        <f>IFERROR(__xludf.DUMMYFUNCTION("FILTER('GBD estimates'!$T$4:$T$1203,'GBD estimates'!$N$4:$N$1203=AI$2,'GBD estimates'!$Q$4:$Q$1203=""All causes"",'GBD estimates'!$P$4:$P$1203=""&lt;5 years"")"),1346.401636)</f>
        <v>1346.401636</v>
      </c>
      <c r="AJ33" s="425">
        <f>IFERROR(__xludf.DUMMYFUNCTION("FILTER('GBD estimates'!$T$4:$T$1203,'GBD estimates'!$N$4:$N$1203=AJ$2,'GBD estimates'!$Q$4:$Q$1203=""All causes"",'GBD estimates'!$P$4:$P$1203=""&lt;5 years"")"),1293.450656)</f>
        <v>1293.450656</v>
      </c>
      <c r="AK33" s="359"/>
      <c r="AL33" s="458" t="s">
        <v>233</v>
      </c>
      <c r="AM33" s="459"/>
    </row>
    <row r="34">
      <c r="A34" s="101"/>
      <c r="B34" s="102"/>
      <c r="C34" s="102"/>
      <c r="D34" s="102"/>
      <c r="E34" s="403" t="s">
        <v>179</v>
      </c>
      <c r="F34" s="121" t="s">
        <v>112</v>
      </c>
      <c r="G34" s="275" t="s">
        <v>213</v>
      </c>
      <c r="H34" s="404" t="s">
        <v>165</v>
      </c>
      <c r="I34" s="460">
        <f t="shared" ref="I34:AJ34" si="1">54/59</f>
        <v>0.9152542373</v>
      </c>
      <c r="J34" s="460">
        <f t="shared" si="1"/>
        <v>0.9152542373</v>
      </c>
      <c r="K34" s="460">
        <f t="shared" si="1"/>
        <v>0.9152542373</v>
      </c>
      <c r="L34" s="460">
        <f t="shared" si="1"/>
        <v>0.9152542373</v>
      </c>
      <c r="M34" s="460">
        <f t="shared" si="1"/>
        <v>0.9152542373</v>
      </c>
      <c r="N34" s="460">
        <f t="shared" si="1"/>
        <v>0.9152542373</v>
      </c>
      <c r="O34" s="460">
        <f t="shared" si="1"/>
        <v>0.9152542373</v>
      </c>
      <c r="P34" s="460">
        <f t="shared" si="1"/>
        <v>0.9152542373</v>
      </c>
      <c r="Q34" s="460">
        <f t="shared" si="1"/>
        <v>0.9152542373</v>
      </c>
      <c r="R34" s="460">
        <f t="shared" si="1"/>
        <v>0.9152542373</v>
      </c>
      <c r="S34" s="460">
        <f t="shared" si="1"/>
        <v>0.9152542373</v>
      </c>
      <c r="T34" s="460">
        <f t="shared" si="1"/>
        <v>0.9152542373</v>
      </c>
      <c r="U34" s="460">
        <f t="shared" si="1"/>
        <v>0.9152542373</v>
      </c>
      <c r="V34" s="460">
        <f t="shared" si="1"/>
        <v>0.9152542373</v>
      </c>
      <c r="W34" s="460">
        <f t="shared" si="1"/>
        <v>0.9152542373</v>
      </c>
      <c r="X34" s="460">
        <f t="shared" si="1"/>
        <v>0.9152542373</v>
      </c>
      <c r="Y34" s="460">
        <f t="shared" si="1"/>
        <v>0.9152542373</v>
      </c>
      <c r="Z34" s="460">
        <f t="shared" si="1"/>
        <v>0.9152542373</v>
      </c>
      <c r="AA34" s="460">
        <f t="shared" si="1"/>
        <v>0.9152542373</v>
      </c>
      <c r="AB34" s="460">
        <f t="shared" si="1"/>
        <v>0.9152542373</v>
      </c>
      <c r="AC34" s="460">
        <f t="shared" si="1"/>
        <v>0.9152542373</v>
      </c>
      <c r="AD34" s="460">
        <f t="shared" si="1"/>
        <v>0.9152542373</v>
      </c>
      <c r="AE34" s="460">
        <f t="shared" si="1"/>
        <v>0.9152542373</v>
      </c>
      <c r="AF34" s="460">
        <f t="shared" si="1"/>
        <v>0.9152542373</v>
      </c>
      <c r="AG34" s="463">
        <f t="shared" si="1"/>
        <v>0.9152542373</v>
      </c>
      <c r="AH34" s="460">
        <f t="shared" si="1"/>
        <v>0.9152542373</v>
      </c>
      <c r="AI34" s="460">
        <f t="shared" si="1"/>
        <v>0.9152542373</v>
      </c>
      <c r="AJ34" s="465">
        <f t="shared" si="1"/>
        <v>0.9152542373</v>
      </c>
      <c r="AK34" s="206"/>
      <c r="AL34" s="466" t="s">
        <v>259</v>
      </c>
      <c r="AM34" s="467"/>
    </row>
    <row r="35">
      <c r="A35" s="101"/>
      <c r="B35" s="102"/>
      <c r="C35" s="102"/>
      <c r="D35" s="102"/>
      <c r="E35" s="337"/>
      <c r="F35" s="104"/>
      <c r="G35" s="468"/>
      <c r="H35" s="339"/>
      <c r="I35" s="340"/>
      <c r="J35" s="340"/>
      <c r="K35" s="340"/>
      <c r="L35" s="340"/>
      <c r="M35" s="340"/>
      <c r="N35" s="340"/>
      <c r="O35" s="340"/>
      <c r="P35" s="340"/>
      <c r="Q35" s="340"/>
      <c r="R35" s="340"/>
      <c r="S35" s="340"/>
      <c r="T35" s="340"/>
      <c r="U35" s="340"/>
      <c r="V35" s="340"/>
      <c r="W35" s="340"/>
      <c r="X35" s="340"/>
      <c r="Y35" s="340"/>
      <c r="Z35" s="340"/>
      <c r="AA35" s="340"/>
      <c r="AB35" s="340"/>
      <c r="AC35" s="340"/>
      <c r="AD35" s="340"/>
      <c r="AE35" s="340"/>
      <c r="AF35" s="340"/>
      <c r="AG35" s="342"/>
      <c r="AH35" s="340"/>
      <c r="AI35" s="340"/>
      <c r="AJ35" s="157"/>
      <c r="AK35" s="165"/>
      <c r="AL35" s="343"/>
      <c r="AM35" s="344"/>
    </row>
    <row r="36">
      <c r="A36" s="102"/>
      <c r="B36" s="102"/>
      <c r="C36" s="109" t="s">
        <v>260</v>
      </c>
      <c r="G36" s="469"/>
      <c r="H36" s="339"/>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2"/>
      <c r="AH36" s="340"/>
      <c r="AI36" s="340"/>
      <c r="AJ36" s="157"/>
      <c r="AK36" s="165"/>
      <c r="AL36" s="343"/>
      <c r="AM36" s="344"/>
    </row>
    <row r="37">
      <c r="A37" s="101"/>
      <c r="B37" s="102"/>
      <c r="C37" s="102"/>
      <c r="D37" s="102"/>
      <c r="E37" s="403" t="s">
        <v>191</v>
      </c>
      <c r="F37" s="121" t="s">
        <v>112</v>
      </c>
      <c r="G37" s="275" t="s">
        <v>213</v>
      </c>
      <c r="H37" s="404" t="s">
        <v>165</v>
      </c>
      <c r="I37" s="460" t="s">
        <v>165</v>
      </c>
      <c r="J37" s="460">
        <v>-0.1408628</v>
      </c>
      <c r="K37" s="470" t="s">
        <v>165</v>
      </c>
      <c r="L37" s="470" t="s">
        <v>165</v>
      </c>
      <c r="M37" s="470" t="s">
        <v>165</v>
      </c>
      <c r="N37" s="470" t="s">
        <v>165</v>
      </c>
      <c r="O37" s="460">
        <v>0.17</v>
      </c>
      <c r="P37" s="470" t="s">
        <v>165</v>
      </c>
      <c r="Q37" s="470" t="s">
        <v>165</v>
      </c>
      <c r="R37" s="470" t="s">
        <v>165</v>
      </c>
      <c r="S37" s="470" t="s">
        <v>165</v>
      </c>
      <c r="T37" s="470" t="s">
        <v>165</v>
      </c>
      <c r="U37" s="470" t="s">
        <v>165</v>
      </c>
      <c r="V37" s="470" t="s">
        <v>165</v>
      </c>
      <c r="W37" s="470" t="s">
        <v>165</v>
      </c>
      <c r="X37" s="470" t="s">
        <v>165</v>
      </c>
      <c r="Y37" s="470" t="s">
        <v>165</v>
      </c>
      <c r="Z37" s="470" t="s">
        <v>165</v>
      </c>
      <c r="AA37" s="470" t="s">
        <v>165</v>
      </c>
      <c r="AB37" s="470" t="s">
        <v>165</v>
      </c>
      <c r="AC37" s="470" t="s">
        <v>165</v>
      </c>
      <c r="AD37" s="470" t="s">
        <v>165</v>
      </c>
      <c r="AE37" s="470" t="s">
        <v>165</v>
      </c>
      <c r="AF37" s="470" t="s">
        <v>165</v>
      </c>
      <c r="AG37" s="471" t="s">
        <v>165</v>
      </c>
      <c r="AH37" s="470" t="s">
        <v>165</v>
      </c>
      <c r="AI37" s="470" t="s">
        <v>165</v>
      </c>
      <c r="AJ37" s="472" t="s">
        <v>165</v>
      </c>
      <c r="AK37" s="206"/>
      <c r="AL37" s="349" t="s">
        <v>216</v>
      </c>
      <c r="AM37" s="473" t="s">
        <v>146</v>
      </c>
    </row>
    <row r="38">
      <c r="A38" s="101"/>
      <c r="B38" s="102"/>
      <c r="C38" s="102"/>
      <c r="D38" s="102"/>
      <c r="E38" s="337"/>
      <c r="F38" s="104"/>
      <c r="G38" s="468"/>
      <c r="H38" s="339"/>
      <c r="I38" s="340"/>
      <c r="J38" s="340"/>
      <c r="K38" s="340"/>
      <c r="L38" s="340"/>
      <c r="M38" s="340"/>
      <c r="N38" s="340"/>
      <c r="O38" s="340"/>
      <c r="P38" s="340"/>
      <c r="Q38" s="340"/>
      <c r="R38" s="340"/>
      <c r="S38" s="340"/>
      <c r="T38" s="340"/>
      <c r="U38" s="340"/>
      <c r="V38" s="340"/>
      <c r="W38" s="340"/>
      <c r="X38" s="340"/>
      <c r="Y38" s="340"/>
      <c r="Z38" s="340"/>
      <c r="AA38" s="340"/>
      <c r="AB38" s="340"/>
      <c r="AC38" s="340"/>
      <c r="AD38" s="340"/>
      <c r="AE38" s="340"/>
      <c r="AF38" s="340"/>
      <c r="AG38" s="342"/>
      <c r="AH38" s="340"/>
      <c r="AI38" s="340"/>
      <c r="AJ38" s="157"/>
      <c r="AK38" s="165"/>
      <c r="AL38" s="343"/>
      <c r="AM38" s="344"/>
    </row>
    <row r="39">
      <c r="A39" s="99" t="s">
        <v>23</v>
      </c>
      <c r="B39" s="12"/>
      <c r="C39" s="12"/>
      <c r="D39" s="12"/>
      <c r="E39" s="12"/>
      <c r="F39" s="12"/>
      <c r="G39" s="12"/>
      <c r="H39" s="407"/>
      <c r="I39" s="408"/>
      <c r="J39" s="408"/>
      <c r="K39" s="408"/>
      <c r="L39" s="408"/>
      <c r="M39" s="408"/>
      <c r="N39" s="408"/>
      <c r="O39" s="408"/>
      <c r="P39" s="408"/>
      <c r="Q39" s="408"/>
      <c r="R39" s="408"/>
      <c r="S39" s="408"/>
      <c r="T39" s="408"/>
      <c r="U39" s="408"/>
      <c r="V39" s="408"/>
      <c r="W39" s="408"/>
      <c r="X39" s="408"/>
      <c r="Y39" s="408"/>
      <c r="Z39" s="408"/>
      <c r="AA39" s="408"/>
      <c r="AB39" s="408"/>
      <c r="AC39" s="408"/>
      <c r="AD39" s="408"/>
      <c r="AE39" s="408"/>
      <c r="AF39" s="408"/>
      <c r="AG39" s="409"/>
      <c r="AH39" s="408"/>
      <c r="AI39" s="408"/>
      <c r="AJ39" s="410"/>
      <c r="AK39" s="409"/>
      <c r="AL39" s="411"/>
      <c r="AM39" s="412"/>
    </row>
    <row r="40">
      <c r="A40" s="477"/>
      <c r="B40" s="102"/>
      <c r="C40" s="130"/>
      <c r="D40" s="130"/>
      <c r="E40" s="130"/>
      <c r="F40" s="132"/>
      <c r="G40" s="155"/>
      <c r="H40" s="478"/>
      <c r="I40" s="479"/>
      <c r="J40" s="479"/>
      <c r="K40" s="479"/>
      <c r="L40" s="479"/>
      <c r="M40" s="479"/>
      <c r="N40" s="479"/>
      <c r="O40" s="479"/>
      <c r="P40" s="479"/>
      <c r="Q40" s="479"/>
      <c r="R40" s="479"/>
      <c r="S40" s="479"/>
      <c r="T40" s="479"/>
      <c r="U40" s="479"/>
      <c r="V40" s="479"/>
      <c r="W40" s="479"/>
      <c r="X40" s="479"/>
      <c r="Y40" s="479"/>
      <c r="Z40" s="479"/>
      <c r="AA40" s="479"/>
      <c r="AB40" s="479"/>
      <c r="AC40" s="479"/>
      <c r="AD40" s="479"/>
      <c r="AE40" s="479"/>
      <c r="AF40" s="479"/>
      <c r="AG40" s="480"/>
      <c r="AH40" s="479"/>
      <c r="AI40" s="479"/>
      <c r="AJ40" s="481"/>
      <c r="AK40" s="482"/>
      <c r="AL40" s="483"/>
      <c r="AM40" s="484"/>
    </row>
    <row r="41">
      <c r="A41" s="477"/>
      <c r="B41" s="102"/>
      <c r="C41" s="130" t="s">
        <v>121</v>
      </c>
      <c r="F41" s="132"/>
      <c r="G41" s="155"/>
      <c r="H41" s="478"/>
      <c r="I41" s="479"/>
      <c r="J41" s="479"/>
      <c r="K41" s="479"/>
      <c r="L41" s="479"/>
      <c r="M41" s="479"/>
      <c r="N41" s="479"/>
      <c r="O41" s="479"/>
      <c r="P41" s="479"/>
      <c r="Q41" s="479"/>
      <c r="R41" s="479"/>
      <c r="S41" s="479"/>
      <c r="T41" s="479"/>
      <c r="U41" s="479"/>
      <c r="V41" s="479"/>
      <c r="W41" s="479"/>
      <c r="X41" s="479"/>
      <c r="Y41" s="479"/>
      <c r="Z41" s="479"/>
      <c r="AA41" s="479"/>
      <c r="AB41" s="479"/>
      <c r="AC41" s="479"/>
      <c r="AD41" s="479"/>
      <c r="AE41" s="479"/>
      <c r="AF41" s="479"/>
      <c r="AG41" s="480"/>
      <c r="AH41" s="479"/>
      <c r="AI41" s="479"/>
      <c r="AJ41" s="481"/>
      <c r="AK41" s="482"/>
      <c r="AL41" s="483"/>
      <c r="AM41" s="484"/>
    </row>
    <row r="42">
      <c r="A42" s="477"/>
      <c r="B42" s="102"/>
      <c r="C42" s="130"/>
      <c r="D42" s="130"/>
      <c r="E42" s="486" t="s">
        <v>121</v>
      </c>
      <c r="F42" s="114" t="s">
        <v>112</v>
      </c>
      <c r="G42" s="255" t="s">
        <v>213</v>
      </c>
      <c r="H42" s="487" t="s">
        <v>165</v>
      </c>
      <c r="I42" s="114" t="s">
        <v>165</v>
      </c>
      <c r="J42" s="114" t="s">
        <v>165</v>
      </c>
      <c r="K42" s="114" t="s">
        <v>165</v>
      </c>
      <c r="L42" s="114" t="s">
        <v>165</v>
      </c>
      <c r="M42" s="114" t="s">
        <v>165</v>
      </c>
      <c r="N42" s="114" t="s">
        <v>165</v>
      </c>
      <c r="O42" s="114" t="s">
        <v>165</v>
      </c>
      <c r="P42" s="114" t="s">
        <v>165</v>
      </c>
      <c r="Q42" s="114" t="s">
        <v>165</v>
      </c>
      <c r="R42" s="488">
        <v>0.295</v>
      </c>
      <c r="S42" s="488">
        <v>0.295</v>
      </c>
      <c r="T42" s="488">
        <v>0.295</v>
      </c>
      <c r="U42" s="488">
        <v>0.295</v>
      </c>
      <c r="V42" s="488">
        <v>0.295</v>
      </c>
      <c r="W42" s="488">
        <v>0.295</v>
      </c>
      <c r="X42" s="488">
        <v>0.295</v>
      </c>
      <c r="Y42" s="488">
        <v>0.295</v>
      </c>
      <c r="Z42" s="488">
        <v>0.295</v>
      </c>
      <c r="AA42" s="488">
        <v>0.295</v>
      </c>
      <c r="AB42" s="488">
        <v>0.295</v>
      </c>
      <c r="AC42" s="488">
        <v>0.295</v>
      </c>
      <c r="AD42" s="488">
        <v>0.295</v>
      </c>
      <c r="AE42" s="488">
        <v>0.295</v>
      </c>
      <c r="AF42" s="488">
        <v>0.295</v>
      </c>
      <c r="AG42" s="490" t="s">
        <v>165</v>
      </c>
      <c r="AH42" s="114" t="s">
        <v>165</v>
      </c>
      <c r="AI42" s="114" t="s">
        <v>165</v>
      </c>
      <c r="AJ42" s="286" t="s">
        <v>165</v>
      </c>
      <c r="AK42" s="492"/>
      <c r="AL42" s="496" t="s">
        <v>265</v>
      </c>
      <c r="AM42" s="497"/>
    </row>
    <row r="43">
      <c r="A43" s="477"/>
      <c r="B43" s="102"/>
      <c r="C43" s="130"/>
      <c r="D43" s="130"/>
      <c r="E43" s="498" t="s">
        <v>144</v>
      </c>
      <c r="F43" s="176" t="s">
        <v>266</v>
      </c>
      <c r="G43" s="499" t="s">
        <v>213</v>
      </c>
      <c r="H43" s="500" t="s">
        <v>165</v>
      </c>
      <c r="I43" s="176" t="s">
        <v>165</v>
      </c>
      <c r="J43" s="176" t="s">
        <v>165</v>
      </c>
      <c r="K43" s="176" t="s">
        <v>165</v>
      </c>
      <c r="L43" s="176" t="s">
        <v>165</v>
      </c>
      <c r="M43" s="176" t="s">
        <v>165</v>
      </c>
      <c r="N43" s="176" t="s">
        <v>165</v>
      </c>
      <c r="O43" s="176" t="s">
        <v>165</v>
      </c>
      <c r="P43" s="176" t="s">
        <v>165</v>
      </c>
      <c r="Q43" s="176" t="s">
        <v>165</v>
      </c>
      <c r="R43" s="501" t="s">
        <v>267</v>
      </c>
      <c r="S43" s="501" t="s">
        <v>267</v>
      </c>
      <c r="T43" s="501" t="s">
        <v>267</v>
      </c>
      <c r="U43" s="501" t="s">
        <v>267</v>
      </c>
      <c r="V43" s="501" t="s">
        <v>267</v>
      </c>
      <c r="W43" s="501" t="s">
        <v>267</v>
      </c>
      <c r="X43" s="501" t="s">
        <v>267</v>
      </c>
      <c r="Y43" s="501" t="s">
        <v>267</v>
      </c>
      <c r="Z43" s="501" t="s">
        <v>267</v>
      </c>
      <c r="AA43" s="501" t="s">
        <v>267</v>
      </c>
      <c r="AB43" s="501" t="s">
        <v>267</v>
      </c>
      <c r="AC43" s="501" t="s">
        <v>267</v>
      </c>
      <c r="AD43" s="501" t="s">
        <v>267</v>
      </c>
      <c r="AE43" s="501" t="s">
        <v>267</v>
      </c>
      <c r="AF43" s="501" t="s">
        <v>267</v>
      </c>
      <c r="AG43" s="502" t="s">
        <v>165</v>
      </c>
      <c r="AH43" s="503" t="s">
        <v>165</v>
      </c>
      <c r="AI43" s="503" t="s">
        <v>165</v>
      </c>
      <c r="AJ43" s="504" t="s">
        <v>165</v>
      </c>
      <c r="AK43" s="505"/>
      <c r="AL43" s="506" t="s">
        <v>265</v>
      </c>
      <c r="AM43" s="507"/>
    </row>
    <row r="44">
      <c r="A44" s="477"/>
      <c r="B44" s="102"/>
      <c r="C44" s="130"/>
      <c r="D44" s="130"/>
      <c r="E44" s="130"/>
      <c r="F44" s="132"/>
      <c r="G44" s="155"/>
      <c r="H44" s="478"/>
      <c r="I44" s="479"/>
      <c r="J44" s="479"/>
      <c r="K44" s="479"/>
      <c r="L44" s="479"/>
      <c r="M44" s="479"/>
      <c r="N44" s="479"/>
      <c r="O44" s="479"/>
      <c r="P44" s="479"/>
      <c r="Q44" s="479"/>
      <c r="R44" s="479"/>
      <c r="S44" s="479"/>
      <c r="T44" s="479"/>
      <c r="U44" s="479"/>
      <c r="V44" s="479"/>
      <c r="W44" s="479"/>
      <c r="X44" s="479"/>
      <c r="Y44" s="479"/>
      <c r="Z44" s="479"/>
      <c r="AA44" s="479"/>
      <c r="AB44" s="479"/>
      <c r="AC44" s="479"/>
      <c r="AD44" s="479"/>
      <c r="AE44" s="479"/>
      <c r="AF44" s="479"/>
      <c r="AG44" s="480"/>
      <c r="AH44" s="479"/>
      <c r="AI44" s="479"/>
      <c r="AJ44" s="481"/>
      <c r="AK44" s="482"/>
      <c r="AL44" s="483"/>
      <c r="AM44" s="484"/>
    </row>
    <row r="45">
      <c r="A45" s="477"/>
      <c r="B45" s="102"/>
      <c r="C45" s="130" t="s">
        <v>155</v>
      </c>
      <c r="F45" s="132"/>
      <c r="G45" s="155"/>
      <c r="H45" s="478"/>
      <c r="I45" s="479"/>
      <c r="J45" s="479"/>
      <c r="K45" s="479"/>
      <c r="L45" s="479"/>
      <c r="M45" s="479"/>
      <c r="N45" s="479"/>
      <c r="O45" s="479"/>
      <c r="P45" s="479"/>
      <c r="Q45" s="479"/>
      <c r="R45" s="479"/>
      <c r="S45" s="479"/>
      <c r="T45" s="479"/>
      <c r="U45" s="479"/>
      <c r="V45" s="479"/>
      <c r="W45" s="479"/>
      <c r="X45" s="479"/>
      <c r="Y45" s="479"/>
      <c r="Z45" s="479"/>
      <c r="AA45" s="479"/>
      <c r="AB45" s="479"/>
      <c r="AC45" s="479"/>
      <c r="AD45" s="479"/>
      <c r="AE45" s="479"/>
      <c r="AF45" s="479"/>
      <c r="AG45" s="480"/>
      <c r="AH45" s="479"/>
      <c r="AI45" s="479"/>
      <c r="AJ45" s="481"/>
      <c r="AK45" s="482"/>
      <c r="AL45" s="483"/>
      <c r="AM45" s="484"/>
    </row>
    <row r="46">
      <c r="A46" s="477"/>
      <c r="B46" s="102"/>
      <c r="C46" s="130"/>
      <c r="D46" s="130"/>
      <c r="E46" s="486" t="s">
        <v>157</v>
      </c>
      <c r="F46" s="114" t="s">
        <v>112</v>
      </c>
      <c r="G46" s="255" t="s">
        <v>213</v>
      </c>
      <c r="H46" s="487" t="s">
        <v>165</v>
      </c>
      <c r="I46" s="114" t="s">
        <v>165</v>
      </c>
      <c r="J46" s="114" t="s">
        <v>165</v>
      </c>
      <c r="K46" s="114" t="s">
        <v>165</v>
      </c>
      <c r="L46" s="114" t="s">
        <v>165</v>
      </c>
      <c r="M46" s="114" t="s">
        <v>165</v>
      </c>
      <c r="N46" s="114" t="s">
        <v>165</v>
      </c>
      <c r="O46" s="114" t="s">
        <v>165</v>
      </c>
      <c r="P46" s="114" t="s">
        <v>165</v>
      </c>
      <c r="Q46" s="114" t="s">
        <v>165</v>
      </c>
      <c r="R46" s="488">
        <v>0.383</v>
      </c>
      <c r="S46" s="488">
        <v>0.383</v>
      </c>
      <c r="T46" s="488">
        <v>0.383</v>
      </c>
      <c r="U46" s="488">
        <v>0.383</v>
      </c>
      <c r="V46" s="488">
        <v>0.383</v>
      </c>
      <c r="W46" s="488">
        <v>0.383</v>
      </c>
      <c r="X46" s="488">
        <v>0.383</v>
      </c>
      <c r="Y46" s="488">
        <v>0.383</v>
      </c>
      <c r="Z46" s="488">
        <v>0.383</v>
      </c>
      <c r="AA46" s="488">
        <v>0.383</v>
      </c>
      <c r="AB46" s="488">
        <v>0.383</v>
      </c>
      <c r="AC46" s="488">
        <v>0.383</v>
      </c>
      <c r="AD46" s="488">
        <v>0.383</v>
      </c>
      <c r="AE46" s="488">
        <v>0.383</v>
      </c>
      <c r="AF46" s="488">
        <v>0.383</v>
      </c>
      <c r="AG46" s="490" t="s">
        <v>165</v>
      </c>
      <c r="AH46" s="114" t="s">
        <v>165</v>
      </c>
      <c r="AI46" s="114" t="s">
        <v>165</v>
      </c>
      <c r="AJ46" s="286" t="s">
        <v>165</v>
      </c>
      <c r="AK46" s="492"/>
      <c r="AL46" s="496" t="s">
        <v>269</v>
      </c>
      <c r="AM46" s="497"/>
    </row>
    <row r="47">
      <c r="A47" s="477"/>
      <c r="B47" s="102"/>
      <c r="C47" s="130"/>
      <c r="D47" s="130"/>
      <c r="E47" s="510" t="s">
        <v>161</v>
      </c>
      <c r="F47" s="145" t="s">
        <v>112</v>
      </c>
      <c r="G47" s="435" t="s">
        <v>213</v>
      </c>
      <c r="H47" s="511" t="s">
        <v>165</v>
      </c>
      <c r="I47" s="145" t="s">
        <v>165</v>
      </c>
      <c r="J47" s="145" t="s">
        <v>165</v>
      </c>
      <c r="K47" s="145" t="s">
        <v>165</v>
      </c>
      <c r="L47" s="145" t="s">
        <v>165</v>
      </c>
      <c r="M47" s="145" t="s">
        <v>165</v>
      </c>
      <c r="N47" s="145" t="s">
        <v>165</v>
      </c>
      <c r="O47" s="145" t="s">
        <v>165</v>
      </c>
      <c r="P47" s="145" t="s">
        <v>165</v>
      </c>
      <c r="Q47" s="145" t="s">
        <v>165</v>
      </c>
      <c r="R47" s="338">
        <v>0.092</v>
      </c>
      <c r="S47" s="338">
        <v>0.092</v>
      </c>
      <c r="T47" s="338">
        <v>0.092</v>
      </c>
      <c r="U47" s="338">
        <v>0.092</v>
      </c>
      <c r="V47" s="338">
        <v>0.092</v>
      </c>
      <c r="W47" s="338">
        <v>0.092</v>
      </c>
      <c r="X47" s="338">
        <v>0.092</v>
      </c>
      <c r="Y47" s="338">
        <v>0.092</v>
      </c>
      <c r="Z47" s="338">
        <v>0.092</v>
      </c>
      <c r="AA47" s="338">
        <v>0.092</v>
      </c>
      <c r="AB47" s="338">
        <v>0.092</v>
      </c>
      <c r="AC47" s="338">
        <v>0.092</v>
      </c>
      <c r="AD47" s="338">
        <v>0.092</v>
      </c>
      <c r="AE47" s="338">
        <v>0.092</v>
      </c>
      <c r="AF47" s="338">
        <v>0.092</v>
      </c>
      <c r="AG47" s="514" t="s">
        <v>165</v>
      </c>
      <c r="AH47" s="145" t="s">
        <v>165</v>
      </c>
      <c r="AI47" s="145" t="s">
        <v>165</v>
      </c>
      <c r="AJ47" s="419" t="s">
        <v>165</v>
      </c>
      <c r="AK47" s="516"/>
      <c r="AL47" s="164" t="s">
        <v>269</v>
      </c>
      <c r="AM47" s="518"/>
    </row>
    <row r="48">
      <c r="A48" s="477"/>
      <c r="B48" s="102"/>
      <c r="C48" s="130"/>
      <c r="D48" s="130"/>
      <c r="E48" s="510" t="s">
        <v>168</v>
      </c>
      <c r="F48" s="145" t="s">
        <v>112</v>
      </c>
      <c r="G48" s="435" t="s">
        <v>213</v>
      </c>
      <c r="H48" s="511" t="s">
        <v>165</v>
      </c>
      <c r="I48" s="145" t="s">
        <v>165</v>
      </c>
      <c r="J48" s="145" t="s">
        <v>165</v>
      </c>
      <c r="K48" s="145" t="s">
        <v>165</v>
      </c>
      <c r="L48" s="145" t="s">
        <v>165</v>
      </c>
      <c r="M48" s="145" t="s">
        <v>165</v>
      </c>
      <c r="N48" s="145" t="s">
        <v>165</v>
      </c>
      <c r="O48" s="145" t="s">
        <v>165</v>
      </c>
      <c r="P48" s="145" t="s">
        <v>165</v>
      </c>
      <c r="Q48" s="145" t="s">
        <v>165</v>
      </c>
      <c r="R48" s="338">
        <v>0.368</v>
      </c>
      <c r="S48" s="338">
        <v>0.368</v>
      </c>
      <c r="T48" s="338">
        <v>0.368</v>
      </c>
      <c r="U48" s="338">
        <v>0.368</v>
      </c>
      <c r="V48" s="338">
        <v>0.368</v>
      </c>
      <c r="W48" s="338">
        <v>0.368</v>
      </c>
      <c r="X48" s="338">
        <v>0.368</v>
      </c>
      <c r="Y48" s="338">
        <v>0.368</v>
      </c>
      <c r="Z48" s="338">
        <v>0.368</v>
      </c>
      <c r="AA48" s="338">
        <v>0.368</v>
      </c>
      <c r="AB48" s="338">
        <v>0.368</v>
      </c>
      <c r="AC48" s="338">
        <v>0.368</v>
      </c>
      <c r="AD48" s="338">
        <v>0.368</v>
      </c>
      <c r="AE48" s="338">
        <v>0.368</v>
      </c>
      <c r="AF48" s="338">
        <v>0.368</v>
      </c>
      <c r="AG48" s="514" t="s">
        <v>165</v>
      </c>
      <c r="AH48" s="145" t="s">
        <v>165</v>
      </c>
      <c r="AI48" s="145" t="s">
        <v>165</v>
      </c>
      <c r="AJ48" s="419" t="s">
        <v>165</v>
      </c>
      <c r="AK48" s="516"/>
      <c r="AL48" s="164" t="s">
        <v>275</v>
      </c>
      <c r="AM48" s="518"/>
    </row>
    <row r="49">
      <c r="A49" s="477"/>
      <c r="B49" s="102"/>
      <c r="C49" s="130"/>
      <c r="D49" s="130"/>
      <c r="E49" s="510" t="s">
        <v>173</v>
      </c>
      <c r="F49" s="145" t="s">
        <v>112</v>
      </c>
      <c r="G49" s="435" t="s">
        <v>213</v>
      </c>
      <c r="H49" s="511" t="s">
        <v>165</v>
      </c>
      <c r="I49" s="145" t="s">
        <v>165</v>
      </c>
      <c r="J49" s="145" t="s">
        <v>165</v>
      </c>
      <c r="K49" s="145" t="s">
        <v>165</v>
      </c>
      <c r="L49" s="145" t="s">
        <v>165</v>
      </c>
      <c r="M49" s="145" t="s">
        <v>165</v>
      </c>
      <c r="N49" s="145" t="s">
        <v>165</v>
      </c>
      <c r="O49" s="145" t="s">
        <v>165</v>
      </c>
      <c r="P49" s="145" t="s">
        <v>165</v>
      </c>
      <c r="Q49" s="145" t="s">
        <v>165</v>
      </c>
      <c r="R49" s="338">
        <v>0.068</v>
      </c>
      <c r="S49" s="338">
        <v>0.068</v>
      </c>
      <c r="T49" s="338">
        <v>0.068</v>
      </c>
      <c r="U49" s="338">
        <v>0.068</v>
      </c>
      <c r="V49" s="338">
        <v>0.068</v>
      </c>
      <c r="W49" s="338">
        <v>0.068</v>
      </c>
      <c r="X49" s="338">
        <v>0.068</v>
      </c>
      <c r="Y49" s="338">
        <v>0.068</v>
      </c>
      <c r="Z49" s="338">
        <v>0.068</v>
      </c>
      <c r="AA49" s="338">
        <v>0.068</v>
      </c>
      <c r="AB49" s="338">
        <v>0.068</v>
      </c>
      <c r="AC49" s="338">
        <v>0.068</v>
      </c>
      <c r="AD49" s="338">
        <v>0.068</v>
      </c>
      <c r="AE49" s="338">
        <v>0.068</v>
      </c>
      <c r="AF49" s="338">
        <v>0.068</v>
      </c>
      <c r="AG49" s="514" t="s">
        <v>165</v>
      </c>
      <c r="AH49" s="145" t="s">
        <v>165</v>
      </c>
      <c r="AI49" s="145" t="s">
        <v>165</v>
      </c>
      <c r="AJ49" s="419" t="s">
        <v>165</v>
      </c>
      <c r="AK49" s="516"/>
      <c r="AL49" s="164" t="s">
        <v>275</v>
      </c>
      <c r="AM49" s="518"/>
    </row>
    <row r="50">
      <c r="A50" s="477"/>
      <c r="B50" s="102"/>
      <c r="C50" s="130"/>
      <c r="D50" s="130"/>
      <c r="E50" s="498" t="s">
        <v>176</v>
      </c>
      <c r="F50" s="176" t="s">
        <v>112</v>
      </c>
      <c r="G50" s="499" t="s">
        <v>213</v>
      </c>
      <c r="H50" s="500" t="s">
        <v>165</v>
      </c>
      <c r="I50" s="176" t="s">
        <v>165</v>
      </c>
      <c r="J50" s="176" t="s">
        <v>165</v>
      </c>
      <c r="K50" s="176" t="s">
        <v>165</v>
      </c>
      <c r="L50" s="176" t="s">
        <v>165</v>
      </c>
      <c r="M50" s="176" t="s">
        <v>165</v>
      </c>
      <c r="N50" s="176" t="s">
        <v>165</v>
      </c>
      <c r="O50" s="176" t="s">
        <v>165</v>
      </c>
      <c r="P50" s="176" t="s">
        <v>165</v>
      </c>
      <c r="Q50" s="176" t="s">
        <v>165</v>
      </c>
      <c r="R50" s="522">
        <v>0.679</v>
      </c>
      <c r="S50" s="522">
        <v>0.679</v>
      </c>
      <c r="T50" s="522">
        <v>0.679</v>
      </c>
      <c r="U50" s="522">
        <v>0.679</v>
      </c>
      <c r="V50" s="522">
        <v>0.679</v>
      </c>
      <c r="W50" s="522">
        <v>0.679</v>
      </c>
      <c r="X50" s="522">
        <v>0.679</v>
      </c>
      <c r="Y50" s="522">
        <v>0.679</v>
      </c>
      <c r="Z50" s="522">
        <v>0.679</v>
      </c>
      <c r="AA50" s="522">
        <v>0.679</v>
      </c>
      <c r="AB50" s="522">
        <v>0.679</v>
      </c>
      <c r="AC50" s="522">
        <v>0.679</v>
      </c>
      <c r="AD50" s="522">
        <v>0.679</v>
      </c>
      <c r="AE50" s="522">
        <v>0.679</v>
      </c>
      <c r="AF50" s="522">
        <v>0.679</v>
      </c>
      <c r="AG50" s="523" t="s">
        <v>165</v>
      </c>
      <c r="AH50" s="176" t="s">
        <v>165</v>
      </c>
      <c r="AI50" s="176" t="s">
        <v>165</v>
      </c>
      <c r="AJ50" s="361" t="s">
        <v>165</v>
      </c>
      <c r="AK50" s="505"/>
      <c r="AL50" s="506" t="s">
        <v>275</v>
      </c>
      <c r="AM50" s="507"/>
    </row>
    <row r="51">
      <c r="A51" s="477"/>
      <c r="B51" s="102"/>
      <c r="C51" s="130"/>
      <c r="D51" s="130"/>
      <c r="E51" s="525"/>
      <c r="F51" s="132"/>
      <c r="G51" s="155"/>
      <c r="H51" s="478"/>
      <c r="I51" s="479"/>
      <c r="J51" s="479"/>
      <c r="K51" s="479"/>
      <c r="L51" s="479"/>
      <c r="M51" s="479"/>
      <c r="N51" s="479"/>
      <c r="O51" s="479"/>
      <c r="P51" s="479"/>
      <c r="Q51" s="479"/>
      <c r="R51" s="479"/>
      <c r="S51" s="479"/>
      <c r="T51" s="479"/>
      <c r="U51" s="479"/>
      <c r="V51" s="479"/>
      <c r="W51" s="479"/>
      <c r="X51" s="479"/>
      <c r="Y51" s="479"/>
      <c r="Z51" s="479"/>
      <c r="AA51" s="479"/>
      <c r="AB51" s="479"/>
      <c r="AC51" s="479"/>
      <c r="AD51" s="479"/>
      <c r="AE51" s="479"/>
      <c r="AF51" s="479"/>
      <c r="AG51" s="480"/>
      <c r="AH51" s="479"/>
      <c r="AI51" s="479"/>
      <c r="AJ51" s="481"/>
      <c r="AK51" s="482"/>
      <c r="AL51" s="483"/>
      <c r="AM51" s="484"/>
    </row>
    <row r="52">
      <c r="A52" s="477"/>
      <c r="B52" s="102"/>
      <c r="C52" s="130" t="s">
        <v>182</v>
      </c>
      <c r="F52" s="132"/>
      <c r="G52" s="155"/>
      <c r="H52" s="478"/>
      <c r="I52" s="479"/>
      <c r="J52" s="479"/>
      <c r="K52" s="479"/>
      <c r="L52" s="479"/>
      <c r="M52" s="479"/>
      <c r="N52" s="479"/>
      <c r="O52" s="479"/>
      <c r="P52" s="479"/>
      <c r="Q52" s="479"/>
      <c r="R52" s="526"/>
      <c r="S52" s="526"/>
      <c r="T52" s="526"/>
      <c r="U52" s="526"/>
      <c r="V52" s="526"/>
      <c r="W52" s="526"/>
      <c r="X52" s="526"/>
      <c r="Y52" s="526"/>
      <c r="Z52" s="526"/>
      <c r="AA52" s="526"/>
      <c r="AB52" s="526"/>
      <c r="AC52" s="526"/>
      <c r="AD52" s="526"/>
      <c r="AE52" s="526"/>
      <c r="AF52" s="526"/>
      <c r="AG52" s="527"/>
      <c r="AH52" s="526"/>
      <c r="AI52" s="526"/>
      <c r="AJ52" s="528"/>
      <c r="AK52" s="482"/>
      <c r="AL52" s="483"/>
      <c r="AM52" s="484"/>
    </row>
    <row r="53">
      <c r="A53" s="477"/>
      <c r="B53" s="102"/>
      <c r="C53" s="130"/>
      <c r="D53" s="130"/>
      <c r="E53" s="486" t="s">
        <v>183</v>
      </c>
      <c r="F53" s="114" t="s">
        <v>112</v>
      </c>
      <c r="G53" s="255" t="s">
        <v>213</v>
      </c>
      <c r="H53" s="487" t="s">
        <v>165</v>
      </c>
      <c r="I53" s="114" t="s">
        <v>165</v>
      </c>
      <c r="J53" s="114" t="s">
        <v>165</v>
      </c>
      <c r="K53" s="114" t="s">
        <v>165</v>
      </c>
      <c r="L53" s="114" t="s">
        <v>165</v>
      </c>
      <c r="M53" s="114" t="s">
        <v>165</v>
      </c>
      <c r="N53" s="114" t="s">
        <v>165</v>
      </c>
      <c r="O53" s="114" t="s">
        <v>165</v>
      </c>
      <c r="P53" s="114" t="s">
        <v>165</v>
      </c>
      <c r="Q53" s="114" t="s">
        <v>165</v>
      </c>
      <c r="R53" s="488">
        <v>0.559</v>
      </c>
      <c r="S53" s="488">
        <v>0.559</v>
      </c>
      <c r="T53" s="488">
        <v>0.559</v>
      </c>
      <c r="U53" s="488">
        <v>0.559</v>
      </c>
      <c r="V53" s="488">
        <v>0.559</v>
      </c>
      <c r="W53" s="488">
        <v>0.559</v>
      </c>
      <c r="X53" s="488">
        <v>0.559</v>
      </c>
      <c r="Y53" s="488">
        <v>0.559</v>
      </c>
      <c r="Z53" s="488">
        <v>0.559</v>
      </c>
      <c r="AA53" s="488">
        <v>0.559</v>
      </c>
      <c r="AB53" s="488">
        <v>0.559</v>
      </c>
      <c r="AC53" s="488">
        <v>0.559</v>
      </c>
      <c r="AD53" s="488">
        <v>0.559</v>
      </c>
      <c r="AE53" s="488">
        <v>0.559</v>
      </c>
      <c r="AF53" s="488">
        <v>0.559</v>
      </c>
      <c r="AG53" s="530" t="s">
        <v>165</v>
      </c>
      <c r="AH53" s="531" t="s">
        <v>165</v>
      </c>
      <c r="AI53" s="531" t="s">
        <v>165</v>
      </c>
      <c r="AJ53" s="533" t="s">
        <v>165</v>
      </c>
      <c r="AK53" s="492"/>
      <c r="AL53" s="496" t="s">
        <v>279</v>
      </c>
      <c r="AM53" s="497"/>
    </row>
    <row r="54">
      <c r="A54" s="477"/>
      <c r="B54" s="102"/>
      <c r="C54" s="130"/>
      <c r="D54" s="130"/>
      <c r="E54" s="498" t="s">
        <v>189</v>
      </c>
      <c r="F54" s="176" t="s">
        <v>112</v>
      </c>
      <c r="G54" s="499" t="s">
        <v>213</v>
      </c>
      <c r="H54" s="500" t="s">
        <v>165</v>
      </c>
      <c r="I54" s="176" t="s">
        <v>165</v>
      </c>
      <c r="J54" s="176" t="s">
        <v>165</v>
      </c>
      <c r="K54" s="176" t="s">
        <v>165</v>
      </c>
      <c r="L54" s="176" t="s">
        <v>165</v>
      </c>
      <c r="M54" s="176" t="s">
        <v>165</v>
      </c>
      <c r="N54" s="176" t="s">
        <v>165</v>
      </c>
      <c r="O54" s="176" t="s">
        <v>165</v>
      </c>
      <c r="P54" s="176" t="s">
        <v>165</v>
      </c>
      <c r="Q54" s="176" t="s">
        <v>165</v>
      </c>
      <c r="R54" s="522">
        <v>0.391</v>
      </c>
      <c r="S54" s="522">
        <v>0.391</v>
      </c>
      <c r="T54" s="522">
        <v>0.391</v>
      </c>
      <c r="U54" s="522">
        <v>0.391</v>
      </c>
      <c r="V54" s="522">
        <v>0.391</v>
      </c>
      <c r="W54" s="522">
        <v>0.391</v>
      </c>
      <c r="X54" s="522">
        <v>0.391</v>
      </c>
      <c r="Y54" s="522">
        <v>0.391</v>
      </c>
      <c r="Z54" s="522">
        <v>0.391</v>
      </c>
      <c r="AA54" s="522">
        <v>0.391</v>
      </c>
      <c r="AB54" s="522">
        <v>0.391</v>
      </c>
      <c r="AC54" s="522">
        <v>0.391</v>
      </c>
      <c r="AD54" s="522">
        <v>0.391</v>
      </c>
      <c r="AE54" s="522">
        <v>0.391</v>
      </c>
      <c r="AF54" s="522">
        <v>0.391</v>
      </c>
      <c r="AG54" s="536" t="s">
        <v>165</v>
      </c>
      <c r="AH54" s="537" t="s">
        <v>165</v>
      </c>
      <c r="AI54" s="537" t="s">
        <v>165</v>
      </c>
      <c r="AJ54" s="538" t="s">
        <v>165</v>
      </c>
      <c r="AK54" s="505"/>
      <c r="AL54" s="506" t="s">
        <v>279</v>
      </c>
      <c r="AM54" s="507"/>
    </row>
    <row r="55">
      <c r="A55" s="477"/>
      <c r="B55" s="102"/>
      <c r="C55" s="130"/>
      <c r="D55" s="130"/>
      <c r="E55" s="525"/>
      <c r="F55" s="132"/>
      <c r="G55" s="155"/>
      <c r="H55" s="478"/>
      <c r="I55" s="479"/>
      <c r="J55" s="479"/>
      <c r="K55" s="479"/>
      <c r="L55" s="479"/>
      <c r="M55" s="479"/>
      <c r="N55" s="479"/>
      <c r="O55" s="479"/>
      <c r="P55" s="479"/>
      <c r="Q55" s="479"/>
      <c r="R55" s="479"/>
      <c r="S55" s="479"/>
      <c r="T55" s="479"/>
      <c r="U55" s="479"/>
      <c r="V55" s="479"/>
      <c r="W55" s="479"/>
      <c r="X55" s="479"/>
      <c r="Y55" s="479"/>
      <c r="Z55" s="479"/>
      <c r="AA55" s="479"/>
      <c r="AB55" s="479"/>
      <c r="AC55" s="479"/>
      <c r="AD55" s="479"/>
      <c r="AE55" s="479"/>
      <c r="AF55" s="479"/>
      <c r="AG55" s="527"/>
      <c r="AH55" s="526"/>
      <c r="AI55" s="526"/>
      <c r="AJ55" s="528"/>
      <c r="AK55" s="482"/>
      <c r="AL55" s="483"/>
      <c r="AM55" s="484"/>
    </row>
    <row r="56">
      <c r="A56" s="477"/>
      <c r="B56" s="102"/>
      <c r="C56" s="130" t="s">
        <v>194</v>
      </c>
      <c r="F56" s="132"/>
      <c r="G56" s="155"/>
      <c r="H56" s="478"/>
      <c r="I56" s="479"/>
      <c r="J56" s="479"/>
      <c r="K56" s="479"/>
      <c r="L56" s="479"/>
      <c r="M56" s="479"/>
      <c r="N56" s="479"/>
      <c r="O56" s="479"/>
      <c r="P56" s="479"/>
      <c r="Q56" s="479"/>
      <c r="R56" s="479"/>
      <c r="S56" s="479"/>
      <c r="T56" s="479"/>
      <c r="U56" s="479"/>
      <c r="V56" s="479"/>
      <c r="W56" s="479"/>
      <c r="X56" s="479"/>
      <c r="Y56" s="479"/>
      <c r="Z56" s="479"/>
      <c r="AA56" s="479"/>
      <c r="AB56" s="479"/>
      <c r="AC56" s="479"/>
      <c r="AD56" s="479"/>
      <c r="AE56" s="479"/>
      <c r="AF56" s="479"/>
      <c r="AG56" s="480"/>
      <c r="AH56" s="479"/>
      <c r="AI56" s="479"/>
      <c r="AJ56" s="481"/>
      <c r="AK56" s="482"/>
      <c r="AL56" s="483"/>
      <c r="AM56" s="484"/>
    </row>
    <row r="57">
      <c r="A57" s="477"/>
      <c r="B57" s="102"/>
      <c r="C57" s="130"/>
      <c r="D57" s="130"/>
      <c r="E57" s="541" t="s">
        <v>195</v>
      </c>
      <c r="F57" s="121" t="s">
        <v>112</v>
      </c>
      <c r="G57" s="542" t="s">
        <v>213</v>
      </c>
      <c r="H57" s="543" t="s">
        <v>165</v>
      </c>
      <c r="I57" s="121" t="s">
        <v>165</v>
      </c>
      <c r="J57" s="121" t="s">
        <v>165</v>
      </c>
      <c r="K57" s="121" t="s">
        <v>165</v>
      </c>
      <c r="L57" s="121" t="s">
        <v>165</v>
      </c>
      <c r="M57" s="121" t="s">
        <v>165</v>
      </c>
      <c r="N57" s="121" t="s">
        <v>165</v>
      </c>
      <c r="O57" s="121" t="s">
        <v>165</v>
      </c>
      <c r="P57" s="121" t="s">
        <v>165</v>
      </c>
      <c r="Q57" s="121" t="s">
        <v>165</v>
      </c>
      <c r="R57" s="544">
        <v>0.4009</v>
      </c>
      <c r="S57" s="544">
        <v>0.4009</v>
      </c>
      <c r="T57" s="544">
        <v>0.4009</v>
      </c>
      <c r="U57" s="544">
        <v>0.4009</v>
      </c>
      <c r="V57" s="544">
        <v>0.4009</v>
      </c>
      <c r="W57" s="544">
        <v>0.4009</v>
      </c>
      <c r="X57" s="544">
        <v>0.4009</v>
      </c>
      <c r="Y57" s="544">
        <v>0.4009</v>
      </c>
      <c r="Z57" s="544">
        <v>0.4009</v>
      </c>
      <c r="AA57" s="544">
        <v>0.4009</v>
      </c>
      <c r="AB57" s="544">
        <v>0.4009</v>
      </c>
      <c r="AC57" s="544">
        <v>0.4009</v>
      </c>
      <c r="AD57" s="544">
        <v>0.4009</v>
      </c>
      <c r="AE57" s="544">
        <v>0.4009</v>
      </c>
      <c r="AF57" s="544">
        <v>0.4009</v>
      </c>
      <c r="AG57" s="545" t="s">
        <v>165</v>
      </c>
      <c r="AH57" s="546" t="s">
        <v>165</v>
      </c>
      <c r="AI57" s="546" t="s">
        <v>165</v>
      </c>
      <c r="AJ57" s="547" t="s">
        <v>165</v>
      </c>
      <c r="AK57" s="548"/>
      <c r="AL57" s="549" t="s">
        <v>284</v>
      </c>
      <c r="AM57" s="550"/>
    </row>
    <row r="58">
      <c r="A58" s="477"/>
      <c r="B58" s="102"/>
      <c r="C58" s="130"/>
      <c r="D58" s="130"/>
      <c r="E58" s="525"/>
      <c r="F58" s="132"/>
      <c r="G58" s="155"/>
      <c r="H58" s="478"/>
      <c r="I58" s="479"/>
      <c r="J58" s="479"/>
      <c r="K58" s="479"/>
      <c r="L58" s="479"/>
      <c r="M58" s="479"/>
      <c r="N58" s="479"/>
      <c r="O58" s="479"/>
      <c r="P58" s="479"/>
      <c r="Q58" s="479"/>
      <c r="R58" s="479"/>
      <c r="S58" s="479"/>
      <c r="T58" s="479"/>
      <c r="U58" s="479"/>
      <c r="V58" s="479"/>
      <c r="W58" s="479"/>
      <c r="X58" s="479"/>
      <c r="Y58" s="479"/>
      <c r="Z58" s="479"/>
      <c r="AA58" s="479"/>
      <c r="AB58" s="479"/>
      <c r="AC58" s="479"/>
      <c r="AD58" s="479"/>
      <c r="AE58" s="479"/>
      <c r="AF58" s="479"/>
      <c r="AG58" s="480"/>
      <c r="AH58" s="479"/>
      <c r="AI58" s="479"/>
      <c r="AJ58" s="481"/>
      <c r="AK58" s="482"/>
      <c r="AL58" s="483"/>
      <c r="AM58" s="484"/>
    </row>
    <row r="59">
      <c r="A59" s="477"/>
      <c r="B59" s="102"/>
      <c r="C59" s="130" t="s">
        <v>198</v>
      </c>
      <c r="F59" s="132"/>
      <c r="G59" s="155"/>
      <c r="H59" s="478"/>
      <c r="I59" s="479"/>
      <c r="J59" s="479"/>
      <c r="K59" s="479"/>
      <c r="L59" s="479"/>
      <c r="M59" s="479"/>
      <c r="N59" s="479"/>
      <c r="O59" s="479"/>
      <c r="P59" s="479"/>
      <c r="Q59" s="479"/>
      <c r="R59" s="479"/>
      <c r="S59" s="479"/>
      <c r="T59" s="479"/>
      <c r="U59" s="479"/>
      <c r="V59" s="479"/>
      <c r="W59" s="479"/>
      <c r="X59" s="479"/>
      <c r="Y59" s="479"/>
      <c r="Z59" s="479"/>
      <c r="AA59" s="479"/>
      <c r="AB59" s="479"/>
      <c r="AC59" s="479"/>
      <c r="AD59" s="479"/>
      <c r="AE59" s="479"/>
      <c r="AF59" s="479"/>
      <c r="AG59" s="480"/>
      <c r="AH59" s="479"/>
      <c r="AI59" s="479"/>
      <c r="AJ59" s="481"/>
      <c r="AK59" s="482"/>
      <c r="AL59" s="483"/>
      <c r="AM59" s="484"/>
    </row>
    <row r="60">
      <c r="A60" s="477"/>
      <c r="B60" s="102"/>
      <c r="C60" s="130"/>
      <c r="D60" s="130"/>
      <c r="E60" s="486" t="s">
        <v>207</v>
      </c>
      <c r="F60" s="114" t="s">
        <v>112</v>
      </c>
      <c r="G60" s="255" t="s">
        <v>213</v>
      </c>
      <c r="H60" s="552">
        <f t="shared" ref="H60:H62" si="2">1/3</f>
        <v>0.3333333333</v>
      </c>
      <c r="I60" s="114" t="s">
        <v>165</v>
      </c>
      <c r="J60" s="114" t="s">
        <v>165</v>
      </c>
      <c r="K60" s="114" t="s">
        <v>165</v>
      </c>
      <c r="L60" s="114" t="s">
        <v>165</v>
      </c>
      <c r="M60" s="114" t="s">
        <v>165</v>
      </c>
      <c r="N60" s="114" t="s">
        <v>165</v>
      </c>
      <c r="O60" s="114" t="s">
        <v>165</v>
      </c>
      <c r="P60" s="114" t="s">
        <v>165</v>
      </c>
      <c r="Q60" s="114" t="s">
        <v>165</v>
      </c>
      <c r="R60" s="114" t="s">
        <v>165</v>
      </c>
      <c r="S60" s="114" t="s">
        <v>165</v>
      </c>
      <c r="T60" s="114" t="s">
        <v>165</v>
      </c>
      <c r="U60" s="114" t="s">
        <v>165</v>
      </c>
      <c r="V60" s="114" t="s">
        <v>165</v>
      </c>
      <c r="W60" s="114" t="s">
        <v>165</v>
      </c>
      <c r="X60" s="114" t="s">
        <v>165</v>
      </c>
      <c r="Y60" s="114" t="s">
        <v>165</v>
      </c>
      <c r="Z60" s="114" t="s">
        <v>165</v>
      </c>
      <c r="AA60" s="114" t="s">
        <v>165</v>
      </c>
      <c r="AB60" s="114" t="s">
        <v>165</v>
      </c>
      <c r="AC60" s="114" t="s">
        <v>165</v>
      </c>
      <c r="AD60" s="114" t="s">
        <v>165</v>
      </c>
      <c r="AE60" s="114" t="s">
        <v>165</v>
      </c>
      <c r="AF60" s="114" t="s">
        <v>165</v>
      </c>
      <c r="AG60" s="490" t="s">
        <v>165</v>
      </c>
      <c r="AH60" s="114" t="s">
        <v>165</v>
      </c>
      <c r="AI60" s="114" t="s">
        <v>165</v>
      </c>
      <c r="AJ60" s="286" t="s">
        <v>165</v>
      </c>
      <c r="AK60" s="492"/>
      <c r="AL60" s="553" t="s">
        <v>259</v>
      </c>
      <c r="AM60" s="497"/>
    </row>
    <row r="61">
      <c r="A61" s="477"/>
      <c r="B61" s="102"/>
      <c r="C61" s="130"/>
      <c r="D61" s="130"/>
      <c r="E61" s="510" t="s">
        <v>211</v>
      </c>
      <c r="F61" s="145" t="s">
        <v>112</v>
      </c>
      <c r="G61" s="435" t="s">
        <v>213</v>
      </c>
      <c r="H61" s="554">
        <f t="shared" si="2"/>
        <v>0.3333333333</v>
      </c>
      <c r="I61" s="145" t="s">
        <v>165</v>
      </c>
      <c r="J61" s="145" t="s">
        <v>165</v>
      </c>
      <c r="K61" s="145" t="s">
        <v>165</v>
      </c>
      <c r="L61" s="145" t="s">
        <v>165</v>
      </c>
      <c r="M61" s="145" t="s">
        <v>165</v>
      </c>
      <c r="N61" s="145" t="s">
        <v>165</v>
      </c>
      <c r="O61" s="145" t="s">
        <v>165</v>
      </c>
      <c r="P61" s="145" t="s">
        <v>165</v>
      </c>
      <c r="Q61" s="145" t="s">
        <v>165</v>
      </c>
      <c r="R61" s="145" t="s">
        <v>165</v>
      </c>
      <c r="S61" s="145" t="s">
        <v>165</v>
      </c>
      <c r="T61" s="145" t="s">
        <v>165</v>
      </c>
      <c r="U61" s="145" t="s">
        <v>165</v>
      </c>
      <c r="V61" s="145" t="s">
        <v>165</v>
      </c>
      <c r="W61" s="145" t="s">
        <v>165</v>
      </c>
      <c r="X61" s="145" t="s">
        <v>165</v>
      </c>
      <c r="Y61" s="145" t="s">
        <v>165</v>
      </c>
      <c r="Z61" s="145" t="s">
        <v>165</v>
      </c>
      <c r="AA61" s="145" t="s">
        <v>165</v>
      </c>
      <c r="AB61" s="145" t="s">
        <v>165</v>
      </c>
      <c r="AC61" s="145" t="s">
        <v>165</v>
      </c>
      <c r="AD61" s="145" t="s">
        <v>165</v>
      </c>
      <c r="AE61" s="145" t="s">
        <v>165</v>
      </c>
      <c r="AF61" s="145" t="s">
        <v>165</v>
      </c>
      <c r="AG61" s="514" t="s">
        <v>165</v>
      </c>
      <c r="AH61" s="145" t="s">
        <v>165</v>
      </c>
      <c r="AI61" s="145" t="s">
        <v>165</v>
      </c>
      <c r="AJ61" s="419" t="s">
        <v>165</v>
      </c>
      <c r="AK61" s="516"/>
      <c r="AL61" s="555" t="s">
        <v>259</v>
      </c>
      <c r="AM61" s="518"/>
    </row>
    <row r="62">
      <c r="A62" s="477"/>
      <c r="B62" s="102"/>
      <c r="C62" s="130"/>
      <c r="D62" s="130"/>
      <c r="E62" s="498" t="s">
        <v>215</v>
      </c>
      <c r="F62" s="176" t="s">
        <v>112</v>
      </c>
      <c r="G62" s="499" t="s">
        <v>213</v>
      </c>
      <c r="H62" s="557">
        <f t="shared" si="2"/>
        <v>0.3333333333</v>
      </c>
      <c r="I62" s="176" t="s">
        <v>165</v>
      </c>
      <c r="J62" s="176" t="s">
        <v>165</v>
      </c>
      <c r="K62" s="176" t="s">
        <v>165</v>
      </c>
      <c r="L62" s="176" t="s">
        <v>165</v>
      </c>
      <c r="M62" s="176" t="s">
        <v>165</v>
      </c>
      <c r="N62" s="176" t="s">
        <v>165</v>
      </c>
      <c r="O62" s="176" t="s">
        <v>165</v>
      </c>
      <c r="P62" s="176" t="s">
        <v>165</v>
      </c>
      <c r="Q62" s="176" t="s">
        <v>165</v>
      </c>
      <c r="R62" s="176" t="s">
        <v>165</v>
      </c>
      <c r="S62" s="176" t="s">
        <v>165</v>
      </c>
      <c r="T62" s="176" t="s">
        <v>165</v>
      </c>
      <c r="U62" s="176" t="s">
        <v>165</v>
      </c>
      <c r="V62" s="176" t="s">
        <v>165</v>
      </c>
      <c r="W62" s="176" t="s">
        <v>165</v>
      </c>
      <c r="X62" s="176" t="s">
        <v>165</v>
      </c>
      <c r="Y62" s="176" t="s">
        <v>165</v>
      </c>
      <c r="Z62" s="176" t="s">
        <v>165</v>
      </c>
      <c r="AA62" s="176" t="s">
        <v>165</v>
      </c>
      <c r="AB62" s="176" t="s">
        <v>165</v>
      </c>
      <c r="AC62" s="176" t="s">
        <v>165</v>
      </c>
      <c r="AD62" s="176" t="s">
        <v>165</v>
      </c>
      <c r="AE62" s="176" t="s">
        <v>165</v>
      </c>
      <c r="AF62" s="176" t="s">
        <v>165</v>
      </c>
      <c r="AG62" s="523" t="s">
        <v>165</v>
      </c>
      <c r="AH62" s="176" t="s">
        <v>165</v>
      </c>
      <c r="AI62" s="176" t="s">
        <v>165</v>
      </c>
      <c r="AJ62" s="361" t="s">
        <v>165</v>
      </c>
      <c r="AK62" s="505"/>
      <c r="AL62" s="560" t="s">
        <v>259</v>
      </c>
      <c r="AM62" s="507"/>
    </row>
    <row r="63">
      <c r="A63" s="477"/>
      <c r="B63" s="102"/>
      <c r="C63" s="130"/>
      <c r="D63" s="130"/>
      <c r="E63" s="525"/>
      <c r="F63" s="132"/>
      <c r="G63" s="155"/>
      <c r="H63" s="478"/>
      <c r="I63" s="479"/>
      <c r="J63" s="479"/>
      <c r="K63" s="479"/>
      <c r="L63" s="479"/>
      <c r="M63" s="479"/>
      <c r="N63" s="479"/>
      <c r="O63" s="479"/>
      <c r="P63" s="479"/>
      <c r="Q63" s="479"/>
      <c r="R63" s="479"/>
      <c r="S63" s="479"/>
      <c r="T63" s="479"/>
      <c r="U63" s="479"/>
      <c r="V63" s="479"/>
      <c r="W63" s="479"/>
      <c r="X63" s="479"/>
      <c r="Y63" s="479"/>
      <c r="Z63" s="479"/>
      <c r="AA63" s="479"/>
      <c r="AB63" s="479"/>
      <c r="AC63" s="479"/>
      <c r="AD63" s="479"/>
      <c r="AE63" s="479"/>
      <c r="AF63" s="479"/>
      <c r="AG63" s="480"/>
      <c r="AH63" s="479"/>
      <c r="AI63" s="479"/>
      <c r="AJ63" s="481"/>
      <c r="AK63" s="482"/>
      <c r="AL63" s="483"/>
      <c r="AM63" s="484"/>
    </row>
    <row r="64">
      <c r="A64" s="477"/>
      <c r="B64" s="102"/>
      <c r="C64" s="130" t="s">
        <v>221</v>
      </c>
      <c r="F64" s="132"/>
      <c r="G64" s="155"/>
      <c r="H64" s="478"/>
      <c r="I64" s="479"/>
      <c r="J64" s="479"/>
      <c r="K64" s="479"/>
      <c r="L64" s="479"/>
      <c r="M64" s="479"/>
      <c r="N64" s="479"/>
      <c r="O64" s="479"/>
      <c r="P64" s="479"/>
      <c r="Q64" s="479"/>
      <c r="R64" s="479"/>
      <c r="S64" s="479"/>
      <c r="T64" s="479"/>
      <c r="U64" s="479"/>
      <c r="V64" s="479"/>
      <c r="W64" s="479"/>
      <c r="X64" s="479"/>
      <c r="Y64" s="479"/>
      <c r="Z64" s="479"/>
      <c r="AA64" s="479"/>
      <c r="AB64" s="479"/>
      <c r="AC64" s="479"/>
      <c r="AD64" s="479"/>
      <c r="AE64" s="479"/>
      <c r="AF64" s="479"/>
      <c r="AG64" s="480"/>
      <c r="AH64" s="479"/>
      <c r="AI64" s="479"/>
      <c r="AJ64" s="481"/>
      <c r="AK64" s="482"/>
      <c r="AL64" s="483"/>
      <c r="AM64" s="484"/>
    </row>
    <row r="65">
      <c r="A65" s="477"/>
      <c r="B65" s="102"/>
      <c r="C65" s="130"/>
      <c r="D65" s="130"/>
      <c r="E65" s="486" t="s">
        <v>289</v>
      </c>
      <c r="F65" s="114" t="s">
        <v>266</v>
      </c>
      <c r="G65" s="255" t="s">
        <v>213</v>
      </c>
      <c r="H65" s="487" t="s">
        <v>165</v>
      </c>
      <c r="I65" s="114" t="s">
        <v>165</v>
      </c>
      <c r="J65" s="114" t="s">
        <v>165</v>
      </c>
      <c r="K65" s="114" t="s">
        <v>165</v>
      </c>
      <c r="L65" s="114" t="s">
        <v>165</v>
      </c>
      <c r="M65" s="114" t="s">
        <v>165</v>
      </c>
      <c r="N65" s="114" t="s">
        <v>165</v>
      </c>
      <c r="O65" s="114" t="s">
        <v>165</v>
      </c>
      <c r="P65" s="114" t="s">
        <v>165</v>
      </c>
      <c r="Q65" s="114" t="s">
        <v>165</v>
      </c>
      <c r="R65" s="564" t="s">
        <v>290</v>
      </c>
      <c r="S65" s="564" t="s">
        <v>290</v>
      </c>
      <c r="T65" s="564" t="s">
        <v>290</v>
      </c>
      <c r="U65" s="564" t="s">
        <v>290</v>
      </c>
      <c r="V65" s="564" t="s">
        <v>290</v>
      </c>
      <c r="W65" s="564" t="s">
        <v>290</v>
      </c>
      <c r="X65" s="564" t="s">
        <v>290</v>
      </c>
      <c r="Y65" s="564" t="s">
        <v>290</v>
      </c>
      <c r="Z65" s="564" t="s">
        <v>290</v>
      </c>
      <c r="AA65" s="564" t="s">
        <v>290</v>
      </c>
      <c r="AB65" s="564" t="s">
        <v>290</v>
      </c>
      <c r="AC65" s="564" t="s">
        <v>290</v>
      </c>
      <c r="AD65" s="564" t="s">
        <v>290</v>
      </c>
      <c r="AE65" s="564" t="s">
        <v>290</v>
      </c>
      <c r="AF65" s="564" t="s">
        <v>290</v>
      </c>
      <c r="AG65" s="565" t="s">
        <v>165</v>
      </c>
      <c r="AH65" s="564" t="s">
        <v>165</v>
      </c>
      <c r="AI65" s="564" t="s">
        <v>165</v>
      </c>
      <c r="AJ65" s="566" t="s">
        <v>165</v>
      </c>
      <c r="AK65" s="492"/>
      <c r="AL65" s="496" t="s">
        <v>269</v>
      </c>
      <c r="AM65" s="497"/>
    </row>
    <row r="66">
      <c r="A66" s="477"/>
      <c r="B66" s="102"/>
      <c r="C66" s="130"/>
      <c r="D66" s="130"/>
      <c r="E66" s="510" t="s">
        <v>291</v>
      </c>
      <c r="F66" s="145" t="s">
        <v>266</v>
      </c>
      <c r="G66" s="435" t="s">
        <v>213</v>
      </c>
      <c r="H66" s="511" t="s">
        <v>165</v>
      </c>
      <c r="I66" s="145" t="s">
        <v>165</v>
      </c>
      <c r="J66" s="145" t="s">
        <v>165</v>
      </c>
      <c r="K66" s="145" t="s">
        <v>165</v>
      </c>
      <c r="L66" s="145" t="s">
        <v>165</v>
      </c>
      <c r="M66" s="145" t="s">
        <v>165</v>
      </c>
      <c r="N66" s="145" t="s">
        <v>165</v>
      </c>
      <c r="O66" s="145" t="s">
        <v>165</v>
      </c>
      <c r="P66" s="145" t="s">
        <v>165</v>
      </c>
      <c r="Q66" s="145" t="s">
        <v>165</v>
      </c>
      <c r="R66" s="568" t="s">
        <v>292</v>
      </c>
      <c r="S66" s="568" t="s">
        <v>292</v>
      </c>
      <c r="T66" s="568" t="s">
        <v>292</v>
      </c>
      <c r="U66" s="568" t="s">
        <v>292</v>
      </c>
      <c r="V66" s="568" t="s">
        <v>292</v>
      </c>
      <c r="W66" s="568" t="s">
        <v>292</v>
      </c>
      <c r="X66" s="568" t="s">
        <v>292</v>
      </c>
      <c r="Y66" s="568" t="s">
        <v>292</v>
      </c>
      <c r="Z66" s="568" t="s">
        <v>292</v>
      </c>
      <c r="AA66" s="568" t="s">
        <v>292</v>
      </c>
      <c r="AB66" s="568" t="s">
        <v>292</v>
      </c>
      <c r="AC66" s="568" t="s">
        <v>292</v>
      </c>
      <c r="AD66" s="568" t="s">
        <v>292</v>
      </c>
      <c r="AE66" s="568" t="s">
        <v>292</v>
      </c>
      <c r="AF66" s="568" t="s">
        <v>292</v>
      </c>
      <c r="AG66" s="569" t="s">
        <v>165</v>
      </c>
      <c r="AH66" s="568" t="s">
        <v>165</v>
      </c>
      <c r="AI66" s="568" t="s">
        <v>165</v>
      </c>
      <c r="AJ66" s="570" t="s">
        <v>165</v>
      </c>
      <c r="AK66" s="516"/>
      <c r="AL66" s="164" t="s">
        <v>275</v>
      </c>
      <c r="AM66" s="518"/>
    </row>
    <row r="67">
      <c r="A67" s="477"/>
      <c r="B67" s="102"/>
      <c r="C67" s="109"/>
      <c r="D67" s="109"/>
      <c r="E67" s="571" t="s">
        <v>234</v>
      </c>
      <c r="F67" s="176" t="s">
        <v>266</v>
      </c>
      <c r="G67" s="499" t="s">
        <v>213</v>
      </c>
      <c r="H67" s="572" t="s">
        <v>165</v>
      </c>
      <c r="I67" s="573" t="s">
        <v>293</v>
      </c>
      <c r="J67" s="573" t="s">
        <v>293</v>
      </c>
      <c r="K67" s="573" t="s">
        <v>293</v>
      </c>
      <c r="L67" s="573" t="s">
        <v>293</v>
      </c>
      <c r="M67" s="573" t="s">
        <v>165</v>
      </c>
      <c r="N67" s="573" t="s">
        <v>293</v>
      </c>
      <c r="O67" s="573" t="s">
        <v>293</v>
      </c>
      <c r="P67" s="573" t="s">
        <v>293</v>
      </c>
      <c r="Q67" s="574" t="s">
        <v>165</v>
      </c>
      <c r="R67" s="573" t="s">
        <v>293</v>
      </c>
      <c r="S67" s="573" t="s">
        <v>293</v>
      </c>
      <c r="T67" s="573" t="s">
        <v>293</v>
      </c>
      <c r="U67" s="573" t="s">
        <v>293</v>
      </c>
      <c r="V67" s="573" t="s">
        <v>293</v>
      </c>
      <c r="W67" s="573" t="s">
        <v>293</v>
      </c>
      <c r="X67" s="573" t="s">
        <v>293</v>
      </c>
      <c r="Y67" s="573" t="s">
        <v>293</v>
      </c>
      <c r="Z67" s="573" t="s">
        <v>293</v>
      </c>
      <c r="AA67" s="573" t="s">
        <v>293</v>
      </c>
      <c r="AB67" s="573" t="s">
        <v>293</v>
      </c>
      <c r="AC67" s="573" t="s">
        <v>293</v>
      </c>
      <c r="AD67" s="573" t="s">
        <v>293</v>
      </c>
      <c r="AE67" s="573" t="s">
        <v>293</v>
      </c>
      <c r="AF67" s="573" t="s">
        <v>293</v>
      </c>
      <c r="AG67" s="575" t="s">
        <v>293</v>
      </c>
      <c r="AH67" s="573" t="s">
        <v>293</v>
      </c>
      <c r="AI67" s="573" t="s">
        <v>293</v>
      </c>
      <c r="AJ67" s="576" t="s">
        <v>293</v>
      </c>
      <c r="AK67" s="505"/>
      <c r="AL67" s="560" t="s">
        <v>1</v>
      </c>
      <c r="AM67" s="577"/>
    </row>
    <row r="68">
      <c r="A68" s="477"/>
      <c r="B68" s="102"/>
      <c r="C68" s="130"/>
      <c r="D68" s="130"/>
      <c r="E68" s="525"/>
      <c r="F68" s="132"/>
      <c r="G68" s="155"/>
      <c r="H68" s="478"/>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c r="AG68" s="480"/>
      <c r="AH68" s="479"/>
      <c r="AI68" s="479"/>
      <c r="AJ68" s="481"/>
      <c r="AK68" s="482"/>
      <c r="AL68" s="483"/>
      <c r="AM68" s="484"/>
    </row>
    <row r="69">
      <c r="A69" s="477"/>
      <c r="B69" s="102"/>
      <c r="C69" s="130" t="s">
        <v>245</v>
      </c>
      <c r="F69" s="132"/>
      <c r="G69" s="155"/>
      <c r="H69" s="478"/>
      <c r="I69" s="479"/>
      <c r="J69" s="479"/>
      <c r="K69" s="479"/>
      <c r="L69" s="479"/>
      <c r="M69" s="479"/>
      <c r="N69" s="479"/>
      <c r="O69" s="479"/>
      <c r="P69" s="479"/>
      <c r="Q69" s="479"/>
      <c r="R69" s="479"/>
      <c r="S69" s="479"/>
      <c r="T69" s="479"/>
      <c r="U69" s="479"/>
      <c r="V69" s="479"/>
      <c r="W69" s="479"/>
      <c r="X69" s="479"/>
      <c r="Y69" s="479"/>
      <c r="Z69" s="479"/>
      <c r="AA69" s="479"/>
      <c r="AB69" s="479"/>
      <c r="AC69" s="479"/>
      <c r="AD69" s="479"/>
      <c r="AE69" s="479"/>
      <c r="AF69" s="479"/>
      <c r="AG69" s="480"/>
      <c r="AH69" s="479"/>
      <c r="AI69" s="479"/>
      <c r="AJ69" s="481"/>
      <c r="AK69" s="482"/>
      <c r="AL69" s="483"/>
      <c r="AM69" s="484"/>
    </row>
    <row r="70">
      <c r="A70" s="477"/>
      <c r="B70" s="102"/>
      <c r="C70" s="130"/>
      <c r="D70" s="130"/>
      <c r="E70" s="486" t="s">
        <v>246</v>
      </c>
      <c r="F70" s="114" t="s">
        <v>112</v>
      </c>
      <c r="G70" s="255" t="s">
        <v>213</v>
      </c>
      <c r="H70" s="487" t="s">
        <v>165</v>
      </c>
      <c r="I70" s="114" t="s">
        <v>165</v>
      </c>
      <c r="J70" s="114" t="s">
        <v>165</v>
      </c>
      <c r="K70" s="114" t="s">
        <v>165</v>
      </c>
      <c r="L70" s="114" t="s">
        <v>165</v>
      </c>
      <c r="M70" s="114" t="s">
        <v>165</v>
      </c>
      <c r="N70" s="114" t="s">
        <v>165</v>
      </c>
      <c r="O70" s="114" t="s">
        <v>165</v>
      </c>
      <c r="P70" s="114" t="s">
        <v>165</v>
      </c>
      <c r="Q70" s="114" t="s">
        <v>165</v>
      </c>
      <c r="R70" s="488">
        <v>0.397</v>
      </c>
      <c r="S70" s="488">
        <v>0.196</v>
      </c>
      <c r="T70" s="488">
        <v>0.14</v>
      </c>
      <c r="U70" s="488">
        <v>0.208</v>
      </c>
      <c r="V70" s="488">
        <v>0.237</v>
      </c>
      <c r="W70" s="488">
        <v>0.252</v>
      </c>
      <c r="X70" s="488">
        <v>0.16</v>
      </c>
      <c r="Y70" s="488">
        <v>0.221</v>
      </c>
      <c r="Z70" s="488">
        <v>0.176</v>
      </c>
      <c r="AA70" s="488">
        <v>0.2</v>
      </c>
      <c r="AB70" s="488">
        <v>0.314</v>
      </c>
      <c r="AC70" s="488">
        <v>0.266</v>
      </c>
      <c r="AD70" s="488">
        <v>0.237</v>
      </c>
      <c r="AE70" s="488">
        <v>0.168</v>
      </c>
      <c r="AF70" s="488">
        <v>0.419</v>
      </c>
      <c r="AG70" s="490" t="s">
        <v>165</v>
      </c>
      <c r="AH70" s="114" t="s">
        <v>165</v>
      </c>
      <c r="AI70" s="114" t="s">
        <v>165</v>
      </c>
      <c r="AJ70" s="286" t="s">
        <v>165</v>
      </c>
      <c r="AK70" s="492"/>
      <c r="AL70" s="496" t="s">
        <v>275</v>
      </c>
      <c r="AM70" s="497"/>
    </row>
    <row r="71">
      <c r="A71" s="477"/>
      <c r="B71" s="102"/>
      <c r="C71" s="130"/>
      <c r="D71" s="130"/>
      <c r="E71" s="510" t="s">
        <v>252</v>
      </c>
      <c r="F71" s="145" t="s">
        <v>112</v>
      </c>
      <c r="G71" s="435" t="s">
        <v>213</v>
      </c>
      <c r="H71" s="511" t="s">
        <v>165</v>
      </c>
      <c r="I71" s="145" t="s">
        <v>165</v>
      </c>
      <c r="J71" s="145" t="s">
        <v>165</v>
      </c>
      <c r="K71" s="145" t="s">
        <v>165</v>
      </c>
      <c r="L71" s="145" t="s">
        <v>165</v>
      </c>
      <c r="M71" s="145" t="s">
        <v>165</v>
      </c>
      <c r="N71" s="145" t="s">
        <v>165</v>
      </c>
      <c r="O71" s="145" t="s">
        <v>165</v>
      </c>
      <c r="P71" s="145" t="s">
        <v>165</v>
      </c>
      <c r="Q71" s="145" t="s">
        <v>165</v>
      </c>
      <c r="R71" s="338">
        <v>0.042</v>
      </c>
      <c r="S71" s="338">
        <v>0.042</v>
      </c>
      <c r="T71" s="338">
        <v>0.023</v>
      </c>
      <c r="U71" s="338">
        <v>0.08</v>
      </c>
      <c r="V71" s="338">
        <v>0.02</v>
      </c>
      <c r="W71" s="338">
        <v>0.045</v>
      </c>
      <c r="X71" s="338">
        <v>0.033</v>
      </c>
      <c r="Y71" s="338">
        <v>0.033</v>
      </c>
      <c r="Z71" s="338">
        <v>0.069</v>
      </c>
      <c r="AA71" s="338">
        <v>0.039</v>
      </c>
      <c r="AB71" s="338">
        <v>0.056</v>
      </c>
      <c r="AC71" s="338">
        <v>0.057</v>
      </c>
      <c r="AD71" s="338">
        <v>0.045</v>
      </c>
      <c r="AE71" s="338">
        <v>0.064</v>
      </c>
      <c r="AF71" s="338">
        <v>0.053</v>
      </c>
      <c r="AG71" s="514" t="s">
        <v>165</v>
      </c>
      <c r="AH71" s="145" t="s">
        <v>165</v>
      </c>
      <c r="AI71" s="145" t="s">
        <v>165</v>
      </c>
      <c r="AJ71" s="419" t="s">
        <v>165</v>
      </c>
      <c r="AK71" s="516"/>
      <c r="AL71" s="164" t="s">
        <v>275</v>
      </c>
      <c r="AM71" s="518"/>
    </row>
    <row r="72">
      <c r="A72" s="477"/>
      <c r="B72" s="102"/>
      <c r="C72" s="130"/>
      <c r="D72" s="130"/>
      <c r="E72" s="498" t="s">
        <v>257</v>
      </c>
      <c r="F72" s="176" t="s">
        <v>112</v>
      </c>
      <c r="G72" s="499" t="s">
        <v>213</v>
      </c>
      <c r="H72" s="500" t="s">
        <v>165</v>
      </c>
      <c r="I72" s="176" t="s">
        <v>165</v>
      </c>
      <c r="J72" s="176" t="s">
        <v>165</v>
      </c>
      <c r="K72" s="176" t="s">
        <v>165</v>
      </c>
      <c r="L72" s="176" t="s">
        <v>165</v>
      </c>
      <c r="M72" s="176" t="s">
        <v>165</v>
      </c>
      <c r="N72" s="176" t="s">
        <v>165</v>
      </c>
      <c r="O72" s="176" t="s">
        <v>165</v>
      </c>
      <c r="P72" s="176" t="s">
        <v>165</v>
      </c>
      <c r="Q72" s="176" t="s">
        <v>165</v>
      </c>
      <c r="R72" s="522">
        <v>0.56</v>
      </c>
      <c r="S72" s="522">
        <v>0.747</v>
      </c>
      <c r="T72" s="522">
        <v>0.752</v>
      </c>
      <c r="U72" s="522">
        <v>0.62</v>
      </c>
      <c r="V72" s="522">
        <v>0.698</v>
      </c>
      <c r="W72" s="522">
        <v>0.793</v>
      </c>
      <c r="X72" s="522">
        <v>0.659</v>
      </c>
      <c r="Y72" s="522">
        <v>0.719</v>
      </c>
      <c r="Z72" s="522">
        <v>0.592</v>
      </c>
      <c r="AA72" s="522">
        <v>0.636</v>
      </c>
      <c r="AB72" s="522">
        <v>0.679</v>
      </c>
      <c r="AC72" s="522">
        <v>0.595</v>
      </c>
      <c r="AD72" s="522">
        <v>0.576</v>
      </c>
      <c r="AE72" s="522">
        <v>0.789</v>
      </c>
      <c r="AF72" s="522">
        <v>0.709</v>
      </c>
      <c r="AG72" s="523" t="s">
        <v>165</v>
      </c>
      <c r="AH72" s="176" t="s">
        <v>165</v>
      </c>
      <c r="AI72" s="176" t="s">
        <v>165</v>
      </c>
      <c r="AJ72" s="361" t="s">
        <v>165</v>
      </c>
      <c r="AK72" s="505"/>
      <c r="AL72" s="506" t="s">
        <v>275</v>
      </c>
      <c r="AM72" s="507"/>
    </row>
    <row r="73">
      <c r="A73" s="477"/>
      <c r="B73" s="102"/>
      <c r="C73" s="130"/>
      <c r="D73" s="130"/>
      <c r="E73" s="525"/>
      <c r="F73" s="132"/>
      <c r="G73" s="155"/>
      <c r="H73" s="478"/>
      <c r="I73" s="479"/>
      <c r="J73" s="479"/>
      <c r="K73" s="479"/>
      <c r="L73" s="479"/>
      <c r="M73" s="479"/>
      <c r="N73" s="479"/>
      <c r="O73" s="479"/>
      <c r="P73" s="479"/>
      <c r="Q73" s="479"/>
      <c r="R73" s="479"/>
      <c r="S73" s="479"/>
      <c r="T73" s="479"/>
      <c r="U73" s="479"/>
      <c r="V73" s="479"/>
      <c r="W73" s="479"/>
      <c r="X73" s="479"/>
      <c r="Y73" s="479"/>
      <c r="Z73" s="479"/>
      <c r="AA73" s="479"/>
      <c r="AB73" s="479"/>
      <c r="AC73" s="479"/>
      <c r="AD73" s="479"/>
      <c r="AE73" s="479"/>
      <c r="AF73" s="479"/>
      <c r="AG73" s="480"/>
      <c r="AH73" s="479"/>
      <c r="AI73" s="479"/>
      <c r="AJ73" s="481"/>
      <c r="AK73" s="482"/>
      <c r="AL73" s="483"/>
      <c r="AM73" s="484"/>
    </row>
    <row r="74">
      <c r="A74" s="477"/>
      <c r="B74" s="102"/>
      <c r="C74" s="130" t="s">
        <v>263</v>
      </c>
      <c r="F74" s="132"/>
      <c r="G74" s="155"/>
      <c r="H74" s="478"/>
      <c r="I74" s="479"/>
      <c r="J74" s="479"/>
      <c r="K74" s="479"/>
      <c r="L74" s="479"/>
      <c r="M74" s="479"/>
      <c r="N74" s="479"/>
      <c r="O74" s="479"/>
      <c r="P74" s="479"/>
      <c r="Q74" s="479"/>
      <c r="R74" s="479"/>
      <c r="S74" s="479"/>
      <c r="T74" s="479"/>
      <c r="U74" s="479"/>
      <c r="V74" s="479"/>
      <c r="W74" s="479"/>
      <c r="X74" s="479"/>
      <c r="Y74" s="479"/>
      <c r="Z74" s="479"/>
      <c r="AA74" s="479"/>
      <c r="AB74" s="479"/>
      <c r="AC74" s="479"/>
      <c r="AD74" s="479"/>
      <c r="AE74" s="479"/>
      <c r="AF74" s="479"/>
      <c r="AG74" s="480"/>
      <c r="AH74" s="479"/>
      <c r="AI74" s="479"/>
      <c r="AJ74" s="481"/>
      <c r="AK74" s="482"/>
      <c r="AL74" s="483"/>
      <c r="AM74" s="484"/>
    </row>
    <row r="75">
      <c r="A75" s="477"/>
      <c r="B75" s="102"/>
      <c r="C75" s="130"/>
      <c r="D75" s="130"/>
      <c r="E75" s="541" t="s">
        <v>264</v>
      </c>
      <c r="F75" s="121" t="s">
        <v>112</v>
      </c>
      <c r="G75" s="542" t="s">
        <v>213</v>
      </c>
      <c r="H75" s="543" t="s">
        <v>165</v>
      </c>
      <c r="I75" s="121" t="s">
        <v>165</v>
      </c>
      <c r="J75" s="121" t="s">
        <v>165</v>
      </c>
      <c r="K75" s="121" t="s">
        <v>165</v>
      </c>
      <c r="L75" s="121" t="s">
        <v>165</v>
      </c>
      <c r="M75" s="121" t="s">
        <v>165</v>
      </c>
      <c r="N75" s="121" t="s">
        <v>165</v>
      </c>
      <c r="O75" s="121" t="s">
        <v>165</v>
      </c>
      <c r="P75" s="121" t="s">
        <v>165</v>
      </c>
      <c r="Q75" s="121" t="s">
        <v>165</v>
      </c>
      <c r="R75" s="544">
        <v>0.754</v>
      </c>
      <c r="S75" s="544">
        <v>0.268</v>
      </c>
      <c r="T75" s="544">
        <v>0.148</v>
      </c>
      <c r="U75" s="544">
        <v>0.329</v>
      </c>
      <c r="V75" s="544">
        <v>0.06</v>
      </c>
      <c r="W75" s="544">
        <v>0.798</v>
      </c>
      <c r="X75" s="544">
        <v>0.12</v>
      </c>
      <c r="Y75" s="544">
        <v>0.28</v>
      </c>
      <c r="Z75" s="544">
        <v>0.289</v>
      </c>
      <c r="AA75" s="544">
        <v>0.285</v>
      </c>
      <c r="AB75" s="544">
        <v>0.573</v>
      </c>
      <c r="AC75" s="544">
        <v>0.093</v>
      </c>
      <c r="AD75" s="544">
        <v>0.085</v>
      </c>
      <c r="AE75" s="544">
        <v>0.239</v>
      </c>
      <c r="AF75" s="544">
        <v>0.877</v>
      </c>
      <c r="AG75" s="583" t="s">
        <v>165</v>
      </c>
      <c r="AH75" s="121" t="s">
        <v>165</v>
      </c>
      <c r="AI75" s="121" t="s">
        <v>165</v>
      </c>
      <c r="AJ75" s="248" t="s">
        <v>165</v>
      </c>
      <c r="AK75" s="548"/>
      <c r="AL75" s="549" t="s">
        <v>284</v>
      </c>
      <c r="AM75" s="550"/>
    </row>
    <row r="76">
      <c r="A76" s="477"/>
      <c r="B76" s="102"/>
      <c r="C76" s="130"/>
      <c r="D76" s="130"/>
      <c r="E76" s="525"/>
      <c r="F76" s="132"/>
      <c r="G76" s="155"/>
      <c r="H76" s="478"/>
      <c r="I76" s="479"/>
      <c r="J76" s="479"/>
      <c r="K76" s="479"/>
      <c r="L76" s="479"/>
      <c r="M76" s="479"/>
      <c r="N76" s="479"/>
      <c r="O76" s="479"/>
      <c r="P76" s="479"/>
      <c r="Q76" s="479"/>
      <c r="R76" s="479"/>
      <c r="S76" s="479"/>
      <c r="T76" s="479"/>
      <c r="U76" s="479"/>
      <c r="V76" s="479"/>
      <c r="W76" s="479"/>
      <c r="X76" s="479"/>
      <c r="Y76" s="479"/>
      <c r="Z76" s="479"/>
      <c r="AA76" s="479"/>
      <c r="AB76" s="479"/>
      <c r="AC76" s="479"/>
      <c r="AD76" s="479"/>
      <c r="AE76" s="479"/>
      <c r="AF76" s="479"/>
      <c r="AG76" s="480"/>
      <c r="AH76" s="479"/>
      <c r="AI76" s="479"/>
      <c r="AJ76" s="481"/>
      <c r="AK76" s="482"/>
      <c r="AL76" s="483"/>
      <c r="AM76" s="484"/>
    </row>
    <row r="77">
      <c r="A77" s="477"/>
      <c r="B77" s="102"/>
      <c r="C77" s="130" t="s">
        <v>273</v>
      </c>
      <c r="F77" s="132"/>
      <c r="G77" s="155"/>
      <c r="H77" s="478"/>
      <c r="I77" s="479"/>
      <c r="J77" s="479"/>
      <c r="K77" s="479"/>
      <c r="L77" s="479"/>
      <c r="M77" s="479"/>
      <c r="N77" s="479"/>
      <c r="O77" s="479"/>
      <c r="P77" s="479"/>
      <c r="Q77" s="479"/>
      <c r="R77" s="479"/>
      <c r="S77" s="479"/>
      <c r="T77" s="479"/>
      <c r="U77" s="479"/>
      <c r="V77" s="479"/>
      <c r="W77" s="479"/>
      <c r="X77" s="479"/>
      <c r="Y77" s="479"/>
      <c r="Z77" s="479"/>
      <c r="AA77" s="479"/>
      <c r="AB77" s="479"/>
      <c r="AC77" s="479"/>
      <c r="AD77" s="479"/>
      <c r="AE77" s="479"/>
      <c r="AF77" s="479"/>
      <c r="AG77" s="480"/>
      <c r="AH77" s="479"/>
      <c r="AI77" s="479"/>
      <c r="AJ77" s="481"/>
      <c r="AK77" s="482"/>
      <c r="AL77" s="483"/>
      <c r="AM77" s="484"/>
    </row>
    <row r="78">
      <c r="A78" s="477"/>
      <c r="B78" s="102"/>
      <c r="C78" s="130"/>
      <c r="D78" s="130"/>
      <c r="E78" s="486" t="s">
        <v>207</v>
      </c>
      <c r="F78" s="114" t="s">
        <v>112</v>
      </c>
      <c r="G78" s="255" t="s">
        <v>213</v>
      </c>
      <c r="H78" s="487" t="s">
        <v>165</v>
      </c>
      <c r="I78" s="114" t="s">
        <v>165</v>
      </c>
      <c r="J78" s="114" t="s">
        <v>165</v>
      </c>
      <c r="K78" s="114" t="s">
        <v>165</v>
      </c>
      <c r="L78" s="114" t="s">
        <v>165</v>
      </c>
      <c r="M78" s="114" t="s">
        <v>165</v>
      </c>
      <c r="N78" s="114" t="s">
        <v>165</v>
      </c>
      <c r="O78" s="114" t="s">
        <v>165</v>
      </c>
      <c r="P78" s="114" t="s">
        <v>165</v>
      </c>
      <c r="Q78" s="114" t="s">
        <v>165</v>
      </c>
      <c r="R78" s="488">
        <f t="shared" ref="R78:AF78" si="3">1/4</f>
        <v>0.25</v>
      </c>
      <c r="S78" s="488">
        <f t="shared" si="3"/>
        <v>0.25</v>
      </c>
      <c r="T78" s="488">
        <f t="shared" si="3"/>
        <v>0.25</v>
      </c>
      <c r="U78" s="488">
        <f t="shared" si="3"/>
        <v>0.25</v>
      </c>
      <c r="V78" s="488">
        <f t="shared" si="3"/>
        <v>0.25</v>
      </c>
      <c r="W78" s="488">
        <f t="shared" si="3"/>
        <v>0.25</v>
      </c>
      <c r="X78" s="488">
        <f t="shared" si="3"/>
        <v>0.25</v>
      </c>
      <c r="Y78" s="488">
        <f t="shared" si="3"/>
        <v>0.25</v>
      </c>
      <c r="Z78" s="488">
        <f t="shared" si="3"/>
        <v>0.25</v>
      </c>
      <c r="AA78" s="488">
        <f t="shared" si="3"/>
        <v>0.25</v>
      </c>
      <c r="AB78" s="488">
        <f t="shared" si="3"/>
        <v>0.25</v>
      </c>
      <c r="AC78" s="488">
        <f t="shared" si="3"/>
        <v>0.25</v>
      </c>
      <c r="AD78" s="488">
        <f t="shared" si="3"/>
        <v>0.25</v>
      </c>
      <c r="AE78" s="488">
        <f t="shared" si="3"/>
        <v>0.25</v>
      </c>
      <c r="AF78" s="488">
        <f t="shared" si="3"/>
        <v>0.25</v>
      </c>
      <c r="AG78" s="490" t="s">
        <v>165</v>
      </c>
      <c r="AH78" s="114" t="s">
        <v>165</v>
      </c>
      <c r="AI78" s="114" t="s">
        <v>165</v>
      </c>
      <c r="AJ78" s="286" t="s">
        <v>165</v>
      </c>
      <c r="AK78" s="492"/>
      <c r="AL78" s="553" t="s">
        <v>259</v>
      </c>
      <c r="AM78" s="497"/>
    </row>
    <row r="79">
      <c r="A79" s="477"/>
      <c r="B79" s="102"/>
      <c r="C79" s="130"/>
      <c r="D79" s="130"/>
      <c r="E79" s="510" t="s">
        <v>211</v>
      </c>
      <c r="F79" s="145" t="s">
        <v>112</v>
      </c>
      <c r="G79" s="435" t="s">
        <v>213</v>
      </c>
      <c r="H79" s="511" t="s">
        <v>165</v>
      </c>
      <c r="I79" s="145" t="s">
        <v>165</v>
      </c>
      <c r="J79" s="145" t="s">
        <v>165</v>
      </c>
      <c r="K79" s="145" t="s">
        <v>165</v>
      </c>
      <c r="L79" s="145" t="s">
        <v>165</v>
      </c>
      <c r="M79" s="145" t="s">
        <v>165</v>
      </c>
      <c r="N79" s="145" t="s">
        <v>165</v>
      </c>
      <c r="O79" s="145" t="s">
        <v>165</v>
      </c>
      <c r="P79" s="145" t="s">
        <v>165</v>
      </c>
      <c r="Q79" s="145" t="s">
        <v>165</v>
      </c>
      <c r="R79" s="338">
        <f t="shared" ref="R79:AF79" si="4">1/4</f>
        <v>0.25</v>
      </c>
      <c r="S79" s="338">
        <f t="shared" si="4"/>
        <v>0.25</v>
      </c>
      <c r="T79" s="338">
        <f t="shared" si="4"/>
        <v>0.25</v>
      </c>
      <c r="U79" s="338">
        <f t="shared" si="4"/>
        <v>0.25</v>
      </c>
      <c r="V79" s="338">
        <f t="shared" si="4"/>
        <v>0.25</v>
      </c>
      <c r="W79" s="338">
        <f t="shared" si="4"/>
        <v>0.25</v>
      </c>
      <c r="X79" s="338">
        <f t="shared" si="4"/>
        <v>0.25</v>
      </c>
      <c r="Y79" s="338">
        <f t="shared" si="4"/>
        <v>0.25</v>
      </c>
      <c r="Z79" s="338">
        <f t="shared" si="4"/>
        <v>0.25</v>
      </c>
      <c r="AA79" s="338">
        <f t="shared" si="4"/>
        <v>0.25</v>
      </c>
      <c r="AB79" s="338">
        <f t="shared" si="4"/>
        <v>0.25</v>
      </c>
      <c r="AC79" s="338">
        <f t="shared" si="4"/>
        <v>0.25</v>
      </c>
      <c r="AD79" s="338">
        <f t="shared" si="4"/>
        <v>0.25</v>
      </c>
      <c r="AE79" s="338">
        <f t="shared" si="4"/>
        <v>0.25</v>
      </c>
      <c r="AF79" s="338">
        <f t="shared" si="4"/>
        <v>0.25</v>
      </c>
      <c r="AG79" s="514" t="s">
        <v>165</v>
      </c>
      <c r="AH79" s="145" t="s">
        <v>165</v>
      </c>
      <c r="AI79" s="145" t="s">
        <v>165</v>
      </c>
      <c r="AJ79" s="419" t="s">
        <v>165</v>
      </c>
      <c r="AK79" s="516"/>
      <c r="AL79" s="555" t="s">
        <v>259</v>
      </c>
      <c r="AM79" s="518"/>
    </row>
    <row r="80">
      <c r="A80" s="477"/>
      <c r="B80" s="102"/>
      <c r="C80" s="130"/>
      <c r="D80" s="130"/>
      <c r="E80" s="510" t="s">
        <v>297</v>
      </c>
      <c r="F80" s="145" t="s">
        <v>112</v>
      </c>
      <c r="G80" s="435" t="s">
        <v>213</v>
      </c>
      <c r="H80" s="511" t="s">
        <v>165</v>
      </c>
      <c r="I80" s="145" t="s">
        <v>165</v>
      </c>
      <c r="J80" s="145" t="s">
        <v>165</v>
      </c>
      <c r="K80" s="145" t="s">
        <v>165</v>
      </c>
      <c r="L80" s="145" t="s">
        <v>165</v>
      </c>
      <c r="M80" s="145" t="s">
        <v>165</v>
      </c>
      <c r="N80" s="145" t="s">
        <v>165</v>
      </c>
      <c r="O80" s="145" t="s">
        <v>165</v>
      </c>
      <c r="P80" s="145" t="s">
        <v>165</v>
      </c>
      <c r="Q80" s="145" t="s">
        <v>165</v>
      </c>
      <c r="R80" s="338">
        <f t="shared" ref="R80:AF80" si="5">1/4</f>
        <v>0.25</v>
      </c>
      <c r="S80" s="338">
        <f t="shared" si="5"/>
        <v>0.25</v>
      </c>
      <c r="T80" s="338">
        <f t="shared" si="5"/>
        <v>0.25</v>
      </c>
      <c r="U80" s="338">
        <f t="shared" si="5"/>
        <v>0.25</v>
      </c>
      <c r="V80" s="338">
        <f t="shared" si="5"/>
        <v>0.25</v>
      </c>
      <c r="W80" s="338">
        <f t="shared" si="5"/>
        <v>0.25</v>
      </c>
      <c r="X80" s="338">
        <f t="shared" si="5"/>
        <v>0.25</v>
      </c>
      <c r="Y80" s="338">
        <f t="shared" si="5"/>
        <v>0.25</v>
      </c>
      <c r="Z80" s="338">
        <f t="shared" si="5"/>
        <v>0.25</v>
      </c>
      <c r="AA80" s="338">
        <f t="shared" si="5"/>
        <v>0.25</v>
      </c>
      <c r="AB80" s="338">
        <f t="shared" si="5"/>
        <v>0.25</v>
      </c>
      <c r="AC80" s="338">
        <f t="shared" si="5"/>
        <v>0.25</v>
      </c>
      <c r="AD80" s="338">
        <f t="shared" si="5"/>
        <v>0.25</v>
      </c>
      <c r="AE80" s="338">
        <f t="shared" si="5"/>
        <v>0.25</v>
      </c>
      <c r="AF80" s="338">
        <f t="shared" si="5"/>
        <v>0.25</v>
      </c>
      <c r="AG80" s="514" t="s">
        <v>165</v>
      </c>
      <c r="AH80" s="145" t="s">
        <v>165</v>
      </c>
      <c r="AI80" s="145" t="s">
        <v>165</v>
      </c>
      <c r="AJ80" s="419" t="s">
        <v>165</v>
      </c>
      <c r="AK80" s="516"/>
      <c r="AL80" s="555" t="s">
        <v>259</v>
      </c>
      <c r="AM80" s="518"/>
    </row>
    <row r="81">
      <c r="A81" s="477"/>
      <c r="B81" s="102"/>
      <c r="C81" s="130"/>
      <c r="D81" s="130"/>
      <c r="E81" s="498" t="s">
        <v>215</v>
      </c>
      <c r="F81" s="176" t="s">
        <v>112</v>
      </c>
      <c r="G81" s="499" t="s">
        <v>213</v>
      </c>
      <c r="H81" s="500" t="s">
        <v>165</v>
      </c>
      <c r="I81" s="176" t="s">
        <v>165</v>
      </c>
      <c r="J81" s="176" t="s">
        <v>165</v>
      </c>
      <c r="K81" s="176" t="s">
        <v>165</v>
      </c>
      <c r="L81" s="176" t="s">
        <v>165</v>
      </c>
      <c r="M81" s="176" t="s">
        <v>165</v>
      </c>
      <c r="N81" s="176" t="s">
        <v>165</v>
      </c>
      <c r="O81" s="176" t="s">
        <v>165</v>
      </c>
      <c r="P81" s="176" t="s">
        <v>165</v>
      </c>
      <c r="Q81" s="176" t="s">
        <v>165</v>
      </c>
      <c r="R81" s="522">
        <f t="shared" ref="R81:AF81" si="6">1/4</f>
        <v>0.25</v>
      </c>
      <c r="S81" s="522">
        <f t="shared" si="6"/>
        <v>0.25</v>
      </c>
      <c r="T81" s="522">
        <f t="shared" si="6"/>
        <v>0.25</v>
      </c>
      <c r="U81" s="522">
        <f t="shared" si="6"/>
        <v>0.25</v>
      </c>
      <c r="V81" s="522">
        <f t="shared" si="6"/>
        <v>0.25</v>
      </c>
      <c r="W81" s="522">
        <f t="shared" si="6"/>
        <v>0.25</v>
      </c>
      <c r="X81" s="522">
        <f t="shared" si="6"/>
        <v>0.25</v>
      </c>
      <c r="Y81" s="522">
        <f t="shared" si="6"/>
        <v>0.25</v>
      </c>
      <c r="Z81" s="522">
        <f t="shared" si="6"/>
        <v>0.25</v>
      </c>
      <c r="AA81" s="522">
        <f t="shared" si="6"/>
        <v>0.25</v>
      </c>
      <c r="AB81" s="522">
        <f t="shared" si="6"/>
        <v>0.25</v>
      </c>
      <c r="AC81" s="522">
        <f t="shared" si="6"/>
        <v>0.25</v>
      </c>
      <c r="AD81" s="522">
        <f t="shared" si="6"/>
        <v>0.25</v>
      </c>
      <c r="AE81" s="522">
        <f t="shared" si="6"/>
        <v>0.25</v>
      </c>
      <c r="AF81" s="522">
        <f t="shared" si="6"/>
        <v>0.25</v>
      </c>
      <c r="AG81" s="523" t="s">
        <v>165</v>
      </c>
      <c r="AH81" s="176" t="s">
        <v>165</v>
      </c>
      <c r="AI81" s="176" t="s">
        <v>165</v>
      </c>
      <c r="AJ81" s="361" t="s">
        <v>165</v>
      </c>
      <c r="AK81" s="505"/>
      <c r="AL81" s="560" t="s">
        <v>259</v>
      </c>
      <c r="AM81" s="507"/>
    </row>
    <row r="82">
      <c r="A82" s="477"/>
      <c r="B82" s="102"/>
      <c r="C82" s="102"/>
      <c r="D82" s="102"/>
      <c r="E82" s="589"/>
      <c r="F82" s="104"/>
      <c r="G82" s="115"/>
      <c r="H82" s="43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482"/>
      <c r="AH82" s="110"/>
      <c r="AI82" s="110"/>
      <c r="AJ82" s="115"/>
      <c r="AK82" s="482"/>
      <c r="AL82" s="590"/>
      <c r="AM82" s="484"/>
    </row>
    <row r="83">
      <c r="A83" s="477"/>
      <c r="B83" s="102"/>
      <c r="C83" s="109" t="s">
        <v>301</v>
      </c>
      <c r="F83" s="104"/>
      <c r="G83" s="115"/>
      <c r="H83" s="43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482"/>
      <c r="AH83" s="110"/>
      <c r="AI83" s="110"/>
      <c r="AJ83" s="115"/>
      <c r="AK83" s="482"/>
      <c r="AL83" s="590"/>
      <c r="AM83" s="484"/>
    </row>
    <row r="84">
      <c r="A84" s="477"/>
      <c r="B84" s="102"/>
      <c r="C84" s="102"/>
      <c r="D84" s="102"/>
      <c r="E84" s="396" t="s">
        <v>302</v>
      </c>
      <c r="F84" s="114" t="s">
        <v>112</v>
      </c>
      <c r="G84" s="255" t="s">
        <v>213</v>
      </c>
      <c r="H84" s="591" t="s">
        <v>165</v>
      </c>
      <c r="I84" s="355">
        <v>0.245</v>
      </c>
      <c r="J84" s="355">
        <v>0.35</v>
      </c>
      <c r="K84" s="355">
        <v>0.24</v>
      </c>
      <c r="L84" s="355">
        <v>0.61</v>
      </c>
      <c r="M84" s="355" t="s">
        <v>165</v>
      </c>
      <c r="N84" s="355">
        <v>0.09</v>
      </c>
      <c r="O84" s="355">
        <v>0.42</v>
      </c>
      <c r="P84" s="355">
        <v>0.771</v>
      </c>
      <c r="Q84" s="421" t="s">
        <v>165</v>
      </c>
      <c r="R84" s="421" t="s">
        <v>165</v>
      </c>
      <c r="S84" s="421" t="s">
        <v>165</v>
      </c>
      <c r="T84" s="421" t="s">
        <v>165</v>
      </c>
      <c r="U84" s="421" t="s">
        <v>165</v>
      </c>
      <c r="V84" s="421" t="s">
        <v>165</v>
      </c>
      <c r="W84" s="421" t="s">
        <v>165</v>
      </c>
      <c r="X84" s="421" t="s">
        <v>165</v>
      </c>
      <c r="Y84" s="421" t="s">
        <v>165</v>
      </c>
      <c r="Z84" s="421" t="s">
        <v>165</v>
      </c>
      <c r="AA84" s="421" t="s">
        <v>165</v>
      </c>
      <c r="AB84" s="421" t="s">
        <v>165</v>
      </c>
      <c r="AC84" s="421" t="s">
        <v>165</v>
      </c>
      <c r="AD84" s="421" t="s">
        <v>165</v>
      </c>
      <c r="AE84" s="421" t="s">
        <v>165</v>
      </c>
      <c r="AF84" s="421" t="s">
        <v>165</v>
      </c>
      <c r="AG84" s="424" t="s">
        <v>165</v>
      </c>
      <c r="AH84" s="355">
        <v>0.28</v>
      </c>
      <c r="AI84" s="421" t="s">
        <v>165</v>
      </c>
      <c r="AJ84" s="425" t="s">
        <v>165</v>
      </c>
      <c r="AK84" s="492"/>
      <c r="AL84" s="593" t="s">
        <v>216</v>
      </c>
      <c r="AM84" s="174" t="s">
        <v>141</v>
      </c>
    </row>
    <row r="85">
      <c r="A85" s="477"/>
      <c r="B85" s="102"/>
      <c r="C85" s="102"/>
      <c r="D85" s="102"/>
      <c r="E85" s="598" t="s">
        <v>304</v>
      </c>
      <c r="F85" s="145" t="s">
        <v>266</v>
      </c>
      <c r="G85" s="435" t="s">
        <v>213</v>
      </c>
      <c r="H85" s="599" t="s">
        <v>165</v>
      </c>
      <c r="I85" s="601" t="s">
        <v>305</v>
      </c>
      <c r="J85" s="601" t="s">
        <v>306</v>
      </c>
      <c r="K85" s="601" t="s">
        <v>307</v>
      </c>
      <c r="L85" s="601" t="s">
        <v>308</v>
      </c>
      <c r="M85" s="601" t="s">
        <v>165</v>
      </c>
      <c r="N85" s="601" t="s">
        <v>309</v>
      </c>
      <c r="O85" s="601" t="s">
        <v>310</v>
      </c>
      <c r="P85" s="601" t="s">
        <v>311</v>
      </c>
      <c r="Q85" s="421" t="s">
        <v>165</v>
      </c>
      <c r="R85" s="421" t="s">
        <v>165</v>
      </c>
      <c r="S85" s="421" t="s">
        <v>165</v>
      </c>
      <c r="T85" s="421" t="s">
        <v>165</v>
      </c>
      <c r="U85" s="421" t="s">
        <v>165</v>
      </c>
      <c r="V85" s="421" t="s">
        <v>165</v>
      </c>
      <c r="W85" s="421" t="s">
        <v>165</v>
      </c>
      <c r="X85" s="421" t="s">
        <v>165</v>
      </c>
      <c r="Y85" s="421" t="s">
        <v>165</v>
      </c>
      <c r="Z85" s="421" t="s">
        <v>165</v>
      </c>
      <c r="AA85" s="421" t="s">
        <v>165</v>
      </c>
      <c r="AB85" s="421" t="s">
        <v>165</v>
      </c>
      <c r="AC85" s="421" t="s">
        <v>165</v>
      </c>
      <c r="AD85" s="421" t="s">
        <v>165</v>
      </c>
      <c r="AE85" s="421" t="s">
        <v>165</v>
      </c>
      <c r="AF85" s="421" t="s">
        <v>165</v>
      </c>
      <c r="AG85" s="424" t="s">
        <v>165</v>
      </c>
      <c r="AH85" s="601" t="s">
        <v>312</v>
      </c>
      <c r="AI85" s="421" t="s">
        <v>165</v>
      </c>
      <c r="AJ85" s="425" t="s">
        <v>165</v>
      </c>
      <c r="AK85" s="516"/>
      <c r="AL85" s="593" t="s">
        <v>216</v>
      </c>
      <c r="AM85" s="174" t="s">
        <v>141</v>
      </c>
    </row>
    <row r="86">
      <c r="A86" s="477"/>
      <c r="B86" s="102"/>
      <c r="C86" s="102"/>
      <c r="D86" s="102"/>
      <c r="E86" s="403" t="s">
        <v>313</v>
      </c>
      <c r="F86" s="121" t="s">
        <v>112</v>
      </c>
      <c r="G86" s="542" t="s">
        <v>213</v>
      </c>
      <c r="H86" s="602" t="s">
        <v>165</v>
      </c>
      <c r="I86" s="460">
        <v>0.3068667</v>
      </c>
      <c r="J86" s="460">
        <v>0.3083889</v>
      </c>
      <c r="K86" s="460">
        <v>0.3005</v>
      </c>
      <c r="L86" s="460">
        <v>0.328</v>
      </c>
      <c r="M86" s="460">
        <v>0.2774778</v>
      </c>
      <c r="N86" s="460">
        <v>0.3636778</v>
      </c>
      <c r="O86" s="460">
        <v>0.2654</v>
      </c>
      <c r="P86" s="460">
        <v>0.3055222</v>
      </c>
      <c r="Q86" s="460">
        <v>0.3227778</v>
      </c>
      <c r="R86" s="432" t="s">
        <v>165</v>
      </c>
      <c r="S86" s="432" t="s">
        <v>165</v>
      </c>
      <c r="T86" s="432" t="s">
        <v>165</v>
      </c>
      <c r="U86" s="432" t="s">
        <v>165</v>
      </c>
      <c r="V86" s="432" t="s">
        <v>165</v>
      </c>
      <c r="W86" s="432" t="s">
        <v>165</v>
      </c>
      <c r="X86" s="432" t="s">
        <v>165</v>
      </c>
      <c r="Y86" s="432" t="s">
        <v>165</v>
      </c>
      <c r="Z86" s="432" t="s">
        <v>165</v>
      </c>
      <c r="AA86" s="432" t="s">
        <v>165</v>
      </c>
      <c r="AB86" s="432" t="s">
        <v>165</v>
      </c>
      <c r="AC86" s="432" t="s">
        <v>165</v>
      </c>
      <c r="AD86" s="432" t="s">
        <v>165</v>
      </c>
      <c r="AE86" s="432" t="s">
        <v>165</v>
      </c>
      <c r="AF86" s="432" t="s">
        <v>165</v>
      </c>
      <c r="AG86" s="463">
        <v>0.2644151</v>
      </c>
      <c r="AH86" s="460">
        <v>0.2928463</v>
      </c>
      <c r="AI86" s="460">
        <v>0.2635964</v>
      </c>
      <c r="AJ86" s="465">
        <v>0.2343924</v>
      </c>
      <c r="AK86" s="548"/>
      <c r="AL86" s="603" t="s">
        <v>314</v>
      </c>
      <c r="AM86" s="604"/>
    </row>
    <row r="87">
      <c r="A87" s="477"/>
      <c r="B87" s="102"/>
      <c r="C87" s="102"/>
      <c r="D87" s="102"/>
      <c r="E87" s="337"/>
      <c r="F87" s="104"/>
      <c r="G87" s="115"/>
      <c r="H87" s="430"/>
      <c r="I87" s="605"/>
      <c r="J87" s="605"/>
      <c r="K87" s="605"/>
      <c r="L87" s="605"/>
      <c r="M87" s="605"/>
      <c r="N87" s="605"/>
      <c r="O87" s="605"/>
      <c r="P87" s="605"/>
      <c r="Q87" s="605"/>
      <c r="R87" s="605"/>
      <c r="S87" s="605"/>
      <c r="T87" s="605"/>
      <c r="U87" s="605"/>
      <c r="V87" s="605"/>
      <c r="W87" s="605"/>
      <c r="X87" s="605"/>
      <c r="Y87" s="605"/>
      <c r="Z87" s="605"/>
      <c r="AA87" s="605"/>
      <c r="AB87" s="605"/>
      <c r="AC87" s="605"/>
      <c r="AD87" s="605"/>
      <c r="AE87" s="605"/>
      <c r="AF87" s="605"/>
      <c r="AG87" s="606"/>
      <c r="AH87" s="605"/>
      <c r="AI87" s="605"/>
      <c r="AJ87" s="607"/>
      <c r="AK87" s="482"/>
      <c r="AL87" s="590"/>
      <c r="AM87" s="484"/>
    </row>
    <row r="88">
      <c r="A88" s="477"/>
      <c r="B88" s="102"/>
      <c r="C88" s="109" t="s">
        <v>316</v>
      </c>
      <c r="F88" s="104"/>
      <c r="G88" s="115"/>
      <c r="H88" s="430"/>
      <c r="I88" s="605"/>
      <c r="J88" s="605"/>
      <c r="K88" s="605"/>
      <c r="L88" s="605"/>
      <c r="M88" s="605"/>
      <c r="N88" s="605"/>
      <c r="O88" s="605"/>
      <c r="P88" s="605"/>
      <c r="Q88" s="605"/>
      <c r="R88" s="605"/>
      <c r="S88" s="605"/>
      <c r="T88" s="605"/>
      <c r="U88" s="605"/>
      <c r="V88" s="605"/>
      <c r="W88" s="605"/>
      <c r="X88" s="605"/>
      <c r="Y88" s="605"/>
      <c r="Z88" s="605"/>
      <c r="AA88" s="605"/>
      <c r="AB88" s="605"/>
      <c r="AC88" s="605"/>
      <c r="AD88" s="605"/>
      <c r="AE88" s="605"/>
      <c r="AF88" s="605"/>
      <c r="AG88" s="606"/>
      <c r="AH88" s="605"/>
      <c r="AI88" s="605"/>
      <c r="AJ88" s="607"/>
      <c r="AK88" s="482"/>
      <c r="AL88" s="590"/>
      <c r="AM88" s="484"/>
    </row>
    <row r="89">
      <c r="A89" s="477"/>
      <c r="B89" s="102"/>
      <c r="C89" s="102"/>
      <c r="D89" s="102"/>
      <c r="E89" s="396" t="s">
        <v>317</v>
      </c>
      <c r="F89" s="114" t="s">
        <v>112</v>
      </c>
      <c r="G89" s="255" t="s">
        <v>213</v>
      </c>
      <c r="H89" s="591" t="s">
        <v>165</v>
      </c>
      <c r="I89" s="355">
        <v>0.25</v>
      </c>
      <c r="J89" s="355">
        <v>0.5</v>
      </c>
      <c r="K89" s="355">
        <v>0.5</v>
      </c>
      <c r="L89" s="355">
        <v>0.5</v>
      </c>
      <c r="M89" s="355">
        <v>0.0</v>
      </c>
      <c r="N89" s="355">
        <v>0.5</v>
      </c>
      <c r="O89" s="355">
        <v>0.5</v>
      </c>
      <c r="P89" s="355">
        <v>0.25</v>
      </c>
      <c r="Q89" s="355">
        <v>0.0</v>
      </c>
      <c r="R89" s="421" t="s">
        <v>165</v>
      </c>
      <c r="S89" s="421" t="s">
        <v>165</v>
      </c>
      <c r="T89" s="421" t="s">
        <v>165</v>
      </c>
      <c r="U89" s="421" t="s">
        <v>165</v>
      </c>
      <c r="V89" s="421" t="s">
        <v>165</v>
      </c>
      <c r="W89" s="421" t="s">
        <v>165</v>
      </c>
      <c r="X89" s="421" t="s">
        <v>165</v>
      </c>
      <c r="Y89" s="421" t="s">
        <v>165</v>
      </c>
      <c r="Z89" s="421" t="s">
        <v>165</v>
      </c>
      <c r="AA89" s="421" t="s">
        <v>165</v>
      </c>
      <c r="AB89" s="421" t="s">
        <v>165</v>
      </c>
      <c r="AC89" s="421" t="s">
        <v>165</v>
      </c>
      <c r="AD89" s="421" t="s">
        <v>165</v>
      </c>
      <c r="AE89" s="421" t="s">
        <v>165</v>
      </c>
      <c r="AF89" s="421" t="s">
        <v>165</v>
      </c>
      <c r="AG89" s="357">
        <v>0.0</v>
      </c>
      <c r="AH89" s="355">
        <v>0.25</v>
      </c>
      <c r="AI89" s="355">
        <v>0.0</v>
      </c>
      <c r="AJ89" s="358">
        <v>0.0</v>
      </c>
      <c r="AK89" s="492"/>
      <c r="AL89" s="553" t="s">
        <v>216</v>
      </c>
      <c r="AM89" s="174" t="s">
        <v>141</v>
      </c>
    </row>
    <row r="90">
      <c r="A90" s="477"/>
      <c r="B90" s="102"/>
      <c r="C90" s="102"/>
      <c r="D90" s="102"/>
      <c r="E90" s="610" t="s">
        <v>318</v>
      </c>
      <c r="F90" s="176" t="s">
        <v>112</v>
      </c>
      <c r="G90" s="499" t="s">
        <v>213</v>
      </c>
      <c r="H90" s="572" t="s">
        <v>165</v>
      </c>
      <c r="I90" s="522">
        <f t="shared" ref="I90:Q90" si="7">1-I89</f>
        <v>0.75</v>
      </c>
      <c r="J90" s="522">
        <f t="shared" si="7"/>
        <v>0.5</v>
      </c>
      <c r="K90" s="522">
        <f t="shared" si="7"/>
        <v>0.5</v>
      </c>
      <c r="L90" s="522">
        <f t="shared" si="7"/>
        <v>0.5</v>
      </c>
      <c r="M90" s="522">
        <f t="shared" si="7"/>
        <v>1</v>
      </c>
      <c r="N90" s="522">
        <f t="shared" si="7"/>
        <v>0.5</v>
      </c>
      <c r="O90" s="522">
        <f t="shared" si="7"/>
        <v>0.5</v>
      </c>
      <c r="P90" s="522">
        <f t="shared" si="7"/>
        <v>0.75</v>
      </c>
      <c r="Q90" s="522">
        <f t="shared" si="7"/>
        <v>1</v>
      </c>
      <c r="R90" s="612" t="s">
        <v>165</v>
      </c>
      <c r="S90" s="612" t="s">
        <v>165</v>
      </c>
      <c r="T90" s="612" t="s">
        <v>165</v>
      </c>
      <c r="U90" s="612" t="s">
        <v>165</v>
      </c>
      <c r="V90" s="612" t="s">
        <v>165</v>
      </c>
      <c r="W90" s="612" t="s">
        <v>165</v>
      </c>
      <c r="X90" s="612" t="s">
        <v>165</v>
      </c>
      <c r="Y90" s="612" t="s">
        <v>165</v>
      </c>
      <c r="Z90" s="612" t="s">
        <v>165</v>
      </c>
      <c r="AA90" s="612" t="s">
        <v>165</v>
      </c>
      <c r="AB90" s="612" t="s">
        <v>165</v>
      </c>
      <c r="AC90" s="612" t="s">
        <v>165</v>
      </c>
      <c r="AD90" s="612" t="s">
        <v>165</v>
      </c>
      <c r="AE90" s="612" t="s">
        <v>165</v>
      </c>
      <c r="AF90" s="612" t="s">
        <v>165</v>
      </c>
      <c r="AG90" s="614">
        <v>1.0</v>
      </c>
      <c r="AH90" s="522">
        <v>0.75</v>
      </c>
      <c r="AI90" s="522">
        <v>1.0</v>
      </c>
      <c r="AJ90" s="615">
        <v>1.0</v>
      </c>
      <c r="AK90" s="505"/>
      <c r="AL90" s="560" t="s">
        <v>216</v>
      </c>
      <c r="AM90" s="577"/>
    </row>
    <row r="91">
      <c r="A91" s="477"/>
      <c r="B91" s="102"/>
      <c r="C91" s="130"/>
      <c r="D91" s="130"/>
      <c r="E91" s="130"/>
      <c r="F91" s="132"/>
      <c r="G91" s="155"/>
      <c r="H91" s="478"/>
      <c r="I91" s="479"/>
      <c r="J91" s="479"/>
      <c r="K91" s="479"/>
      <c r="L91" s="479"/>
      <c r="M91" s="479"/>
      <c r="N91" s="479"/>
      <c r="O91" s="479"/>
      <c r="P91" s="479"/>
      <c r="Q91" s="479"/>
      <c r="R91" s="479"/>
      <c r="S91" s="479"/>
      <c r="T91" s="479"/>
      <c r="U91" s="479"/>
      <c r="V91" s="479"/>
      <c r="W91" s="479"/>
      <c r="X91" s="479"/>
      <c r="Y91" s="479"/>
      <c r="Z91" s="479"/>
      <c r="AA91" s="479"/>
      <c r="AB91" s="479"/>
      <c r="AC91" s="479"/>
      <c r="AD91" s="479"/>
      <c r="AE91" s="479"/>
      <c r="AF91" s="479"/>
      <c r="AG91" s="480"/>
      <c r="AH91" s="479"/>
      <c r="AI91" s="479"/>
      <c r="AJ91" s="481"/>
      <c r="AK91" s="482"/>
      <c r="AL91" s="483"/>
      <c r="AM91" s="484"/>
    </row>
    <row r="92">
      <c r="A92" s="477"/>
      <c r="B92" s="102"/>
      <c r="C92" s="130" t="s">
        <v>320</v>
      </c>
      <c r="F92" s="132"/>
      <c r="G92" s="155"/>
      <c r="H92" s="478"/>
      <c r="I92" s="479"/>
      <c r="J92" s="479"/>
      <c r="K92" s="479"/>
      <c r="L92" s="479"/>
      <c r="M92" s="479"/>
      <c r="N92" s="479"/>
      <c r="O92" s="479"/>
      <c r="P92" s="479"/>
      <c r="Q92" s="479"/>
      <c r="R92" s="479"/>
      <c r="S92" s="479"/>
      <c r="T92" s="479"/>
      <c r="U92" s="479"/>
      <c r="V92" s="479"/>
      <c r="W92" s="479"/>
      <c r="X92" s="479"/>
      <c r="Y92" s="479"/>
      <c r="Z92" s="479"/>
      <c r="AA92" s="479"/>
      <c r="AB92" s="479"/>
      <c r="AC92" s="479"/>
      <c r="AD92" s="479"/>
      <c r="AE92" s="479"/>
      <c r="AF92" s="479"/>
      <c r="AG92" s="480"/>
      <c r="AH92" s="479"/>
      <c r="AI92" s="479"/>
      <c r="AJ92" s="481"/>
      <c r="AK92" s="482"/>
      <c r="AL92" s="483"/>
      <c r="AM92" s="484"/>
    </row>
    <row r="93">
      <c r="A93" s="477"/>
      <c r="B93" s="102"/>
      <c r="C93" s="130"/>
      <c r="D93" s="130"/>
      <c r="E93" s="541" t="s">
        <v>320</v>
      </c>
      <c r="F93" s="121" t="s">
        <v>112</v>
      </c>
      <c r="G93" s="248" t="s">
        <v>213</v>
      </c>
      <c r="H93" s="616">
        <v>0.5891852</v>
      </c>
      <c r="I93" s="617" t="s">
        <v>165</v>
      </c>
      <c r="J93" s="617" t="s">
        <v>165</v>
      </c>
      <c r="K93" s="617" t="s">
        <v>165</v>
      </c>
      <c r="L93" s="617" t="s">
        <v>165</v>
      </c>
      <c r="M93" s="617" t="s">
        <v>165</v>
      </c>
      <c r="N93" s="617" t="s">
        <v>165</v>
      </c>
      <c r="O93" s="617" t="s">
        <v>165</v>
      </c>
      <c r="P93" s="617" t="s">
        <v>165</v>
      </c>
      <c r="Q93" s="617" t="s">
        <v>165</v>
      </c>
      <c r="R93" s="617" t="s">
        <v>165</v>
      </c>
      <c r="S93" s="617" t="s">
        <v>165</v>
      </c>
      <c r="T93" s="617" t="s">
        <v>165</v>
      </c>
      <c r="U93" s="617" t="s">
        <v>165</v>
      </c>
      <c r="V93" s="617" t="s">
        <v>165</v>
      </c>
      <c r="W93" s="617" t="s">
        <v>165</v>
      </c>
      <c r="X93" s="617" t="s">
        <v>165</v>
      </c>
      <c r="Y93" s="617" t="s">
        <v>165</v>
      </c>
      <c r="Z93" s="617" t="s">
        <v>165</v>
      </c>
      <c r="AA93" s="617" t="s">
        <v>165</v>
      </c>
      <c r="AB93" s="617" t="s">
        <v>165</v>
      </c>
      <c r="AC93" s="617" t="s">
        <v>165</v>
      </c>
      <c r="AD93" s="617" t="s">
        <v>165</v>
      </c>
      <c r="AE93" s="617" t="s">
        <v>165</v>
      </c>
      <c r="AF93" s="617" t="s">
        <v>165</v>
      </c>
      <c r="AG93" s="620" t="s">
        <v>165</v>
      </c>
      <c r="AH93" s="617" t="s">
        <v>165</v>
      </c>
      <c r="AI93" s="617" t="s">
        <v>165</v>
      </c>
      <c r="AJ93" s="621" t="s">
        <v>165</v>
      </c>
      <c r="AK93" s="548"/>
      <c r="AL93" s="603" t="s">
        <v>216</v>
      </c>
      <c r="AM93" s="622" t="s">
        <v>322</v>
      </c>
    </row>
    <row r="94">
      <c r="A94" s="477"/>
      <c r="B94" s="102"/>
      <c r="C94" s="130"/>
      <c r="D94" s="130"/>
      <c r="E94" s="525"/>
      <c r="F94" s="132"/>
      <c r="G94" s="155"/>
      <c r="H94" s="478"/>
      <c r="I94" s="479"/>
      <c r="J94" s="479"/>
      <c r="K94" s="479"/>
      <c r="L94" s="479"/>
      <c r="M94" s="479"/>
      <c r="N94" s="479"/>
      <c r="O94" s="479"/>
      <c r="P94" s="479"/>
      <c r="Q94" s="479"/>
      <c r="R94" s="623"/>
      <c r="S94" s="479"/>
      <c r="T94" s="479"/>
      <c r="U94" s="479"/>
      <c r="V94" s="479"/>
      <c r="W94" s="479"/>
      <c r="X94" s="479"/>
      <c r="Y94" s="479"/>
      <c r="Z94" s="479"/>
      <c r="AA94" s="479"/>
      <c r="AB94" s="479"/>
      <c r="AC94" s="479"/>
      <c r="AD94" s="479"/>
      <c r="AE94" s="479"/>
      <c r="AF94" s="479"/>
      <c r="AG94" s="480"/>
      <c r="AH94" s="479"/>
      <c r="AI94" s="479"/>
      <c r="AJ94" s="481"/>
      <c r="AK94" s="482"/>
      <c r="AL94" s="483"/>
      <c r="AM94" s="484"/>
    </row>
    <row r="95">
      <c r="A95" s="477"/>
      <c r="B95" s="102"/>
      <c r="C95" s="130" t="s">
        <v>326</v>
      </c>
      <c r="F95" s="132"/>
      <c r="G95" s="155"/>
      <c r="H95" s="478"/>
      <c r="I95" s="479"/>
      <c r="J95" s="479"/>
      <c r="K95" s="479"/>
      <c r="L95" s="479"/>
      <c r="M95" s="479"/>
      <c r="N95" s="479"/>
      <c r="O95" s="479"/>
      <c r="P95" s="479"/>
      <c r="Q95" s="479"/>
      <c r="R95" s="479"/>
      <c r="S95" s="479"/>
      <c r="T95" s="479"/>
      <c r="U95" s="479"/>
      <c r="V95" s="479"/>
      <c r="W95" s="479"/>
      <c r="X95" s="479"/>
      <c r="Y95" s="479"/>
      <c r="Z95" s="479"/>
      <c r="AA95" s="479"/>
      <c r="AB95" s="479"/>
      <c r="AC95" s="479"/>
      <c r="AD95" s="479"/>
      <c r="AE95" s="479"/>
      <c r="AF95" s="479"/>
      <c r="AG95" s="480"/>
      <c r="AH95" s="479"/>
      <c r="AI95" s="479"/>
      <c r="AJ95" s="481"/>
      <c r="AK95" s="482"/>
      <c r="AL95" s="483"/>
      <c r="AM95" s="484"/>
    </row>
    <row r="96">
      <c r="A96" s="477"/>
      <c r="B96" s="102"/>
      <c r="C96" s="130"/>
      <c r="D96" s="130"/>
      <c r="E96" s="486" t="s">
        <v>327</v>
      </c>
      <c r="F96" s="114" t="s">
        <v>101</v>
      </c>
      <c r="G96" s="255" t="s">
        <v>213</v>
      </c>
      <c r="H96" s="487" t="s">
        <v>165</v>
      </c>
      <c r="I96" s="624">
        <f>IFERROR(__xludf.DUMMYFUNCTION("FILTER('GBD estimates'!$I$4:$I$1203,'GBD estimates'!$C$4:$C$1203=I$2,'GBD estimates'!$F$4:$F$1203=""Measles"",'GBD estimates'!$E$4:$E$1203=""&lt;5 years"")"),2083.452176)</f>
        <v>2083.452176</v>
      </c>
      <c r="J96" s="624">
        <f>IFERROR(__xludf.DUMMYFUNCTION("FILTER('GBD estimates'!$I$4:$I$1203,'GBD estimates'!$C$4:$C$1203=J$2,'GBD estimates'!$F$4:$F$1203=""Measles"",'GBD estimates'!$E$4:$E$1203=""&lt;5 years"")"),1942.618027)</f>
        <v>1942.618027</v>
      </c>
      <c r="K96" s="624">
        <f>IFERROR(__xludf.DUMMYFUNCTION("FILTER('GBD estimates'!$I$4:$I$1203,'GBD estimates'!$C$4:$C$1203=K$2,'GBD estimates'!$F$4:$F$1203=""Measles"",'GBD estimates'!$E$4:$E$1203=""&lt;5 years"")"),188.8174766)</f>
        <v>188.8174766</v>
      </c>
      <c r="L96" s="624">
        <f>IFERROR(__xludf.DUMMYFUNCTION("FILTER('GBD estimates'!$I$4:$I$1203,'GBD estimates'!$C$4:$C$1203=L$2,'GBD estimates'!$F$4:$F$1203=""Measles"",'GBD estimates'!$E$4:$E$1203=""&lt;5 years"")"),3123.420902)</f>
        <v>3123.420902</v>
      </c>
      <c r="M96" s="624">
        <f>IFERROR(__xludf.DUMMYFUNCTION("FILTER('GBD estimates'!$I$4:$I$1203,'GBD estimates'!$C$4:$C$1203=M$2,'GBD estimates'!$F$4:$F$1203=""Measles"",'GBD estimates'!$E$4:$E$1203=""&lt;5 years"")"),995.7713051)</f>
        <v>995.7713051</v>
      </c>
      <c r="N96" s="624">
        <f>IFERROR(__xludf.DUMMYFUNCTION("FILTER('GBD estimates'!$I$4:$I$1203,'GBD estimates'!$C$4:$C$1203=N$2,'GBD estimates'!$F$4:$F$1203=""Measles"",'GBD estimates'!$E$4:$E$1203=""&lt;5 years"")"),369.2190891)</f>
        <v>369.2190891</v>
      </c>
      <c r="O96" s="624">
        <f>IFERROR(__xludf.DUMMYFUNCTION("FILTER('GBD estimates'!$I$4:$I$1203,'GBD estimates'!$C$4:$C$1203=O$2,'GBD estimates'!$F$4:$F$1203=""Measles"",'GBD estimates'!$E$4:$E$1203=""&lt;5 years"")"),1935.712929)</f>
        <v>1935.712929</v>
      </c>
      <c r="P96" s="624">
        <f>IFERROR(__xludf.DUMMYFUNCTION("FILTER('GBD estimates'!$I$4:$I$1203,'GBD estimates'!$C$4:$C$1203=P$2,'GBD estimates'!$F$4:$F$1203=""Measles"",'GBD estimates'!$E$4:$E$1203=""&lt;5 years"")"),2443.818724)</f>
        <v>2443.818724</v>
      </c>
      <c r="Q96" s="624">
        <f>IFERROR(__xludf.DUMMYFUNCTION("FILTER('GBD estimates'!$I$4:$I$1203,'GBD estimates'!$C$4:$C$1203=Q$2,'GBD estimates'!$F$4:$F$1203=""Measles"",'GBD estimates'!$E$4:$E$1203=""&lt;5 years"")"),9653.753707)</f>
        <v>9653.753707</v>
      </c>
      <c r="R96" s="624">
        <f>IFERROR(__xludf.DUMMYFUNCTION("FILTER('GBD estimates'!$AF$4:$AF$1203,'GBD estimates'!$AA$4:$AA$1203=R$3,'GBD estimates'!$X$4:$X$1203=""Measles"",'GBD estimates'!$Z$4:$Z$1203=""Under 5"")"),73.24455414)</f>
        <v>73.24455414</v>
      </c>
      <c r="S96" s="624">
        <f>IFERROR(__xludf.DUMMYFUNCTION("FILTER('GBD estimates'!$AF$4:$AF$1203,'GBD estimates'!$AA$4:$AA$1203=S$3,'GBD estimates'!$X$4:$X$1203=""Measles"",'GBD estimates'!$Z$4:$Z$1203=""Under 5"")"),5.309874607)</f>
        <v>5.309874607</v>
      </c>
      <c r="T96" s="624">
        <f>IFERROR(__xludf.DUMMYFUNCTION("FILTER('GBD estimates'!$AF$4:$AF$1203,'GBD estimates'!$AA$4:$AA$1203=T$3,'GBD estimates'!$X$4:$X$1203=""Measles"",'GBD estimates'!$Z$4:$Z$1203=""Under 5"")"),17.85969748)</f>
        <v>17.85969748</v>
      </c>
      <c r="U96" s="624">
        <f>IFERROR(__xludf.DUMMYFUNCTION("FILTER('GBD estimates'!$AF$4:$AF$1203,'GBD estimates'!$AA$4:$AA$1203=U$3,'GBD estimates'!$X$4:$X$1203=""Measles"",'GBD estimates'!$Z$4:$Z$1203=""Under 5"")"),125.4070902)</f>
        <v>125.4070902</v>
      </c>
      <c r="V96" s="624">
        <f>IFERROR(__xludf.DUMMYFUNCTION("FILTER('GBD estimates'!$AF$4:$AF$1203,'GBD estimates'!$AA$4:$AA$1203=V$3,'GBD estimates'!$X$4:$X$1203=""Measles"",'GBD estimates'!$Z$4:$Z$1203=""Under 5"")"),18.72352073)</f>
        <v>18.72352073</v>
      </c>
      <c r="W96" s="624">
        <f>IFERROR(__xludf.DUMMYFUNCTION("FILTER('GBD estimates'!$AF$4:$AF$1203,'GBD estimates'!$AA$4:$AA$1203=W$3,'GBD estimates'!$X$4:$X$1203=""Measles"",'GBD estimates'!$Z$4:$Z$1203=""Under 5"")"),25.16038522)</f>
        <v>25.16038522</v>
      </c>
      <c r="X96" s="624">
        <f>IFERROR(__xludf.DUMMYFUNCTION("FILTER('GBD estimates'!$AF$4:$AF$1203,'GBD estimates'!$AA$4:$AA$1203=X$3,'GBD estimates'!$X$4:$X$1203=""Measles"",'GBD estimates'!$Z$4:$Z$1203=""Under 5"")"),11.55855753)</f>
        <v>11.55855753</v>
      </c>
      <c r="Y96" s="624">
        <f>IFERROR(__xludf.DUMMYFUNCTION("FILTER('GBD estimates'!$AF$4:$AF$1203,'GBD estimates'!$AA$4:$AA$1203=Y$3,'GBD estimates'!$X$4:$X$1203=""Measles"",'GBD estimates'!$Z$4:$Z$1203=""Under 5"")"),4.157590193)</f>
        <v>4.157590193</v>
      </c>
      <c r="Z96" s="624">
        <f>IFERROR(__xludf.DUMMYFUNCTION("FILTER('GBD estimates'!$AF$4:$AF$1203,'GBD estimates'!$AA$4:$AA$1203=Z$3,'GBD estimates'!$X$4:$X$1203=""Measles"",'GBD estimates'!$Z$4:$Z$1203=""Under 5"")"),15.49645298)</f>
        <v>15.49645298</v>
      </c>
      <c r="AA96" s="624">
        <f>IFERROR(__xludf.DUMMYFUNCTION("FILTER('GBD estimates'!$AF$4:$AF$1203,'GBD estimates'!$AA$4:$AA$1203=AA$3,'GBD estimates'!$X$4:$X$1203=""Measles"",'GBD estimates'!$Z$4:$Z$1203=""Under 5"")"),12.10947664)</f>
        <v>12.10947664</v>
      </c>
      <c r="AB96" s="624">
        <f>IFERROR(__xludf.DUMMYFUNCTION("FILTER('GBD estimates'!$AF$4:$AF$1203,'GBD estimates'!$AA$4:$AA$1203=AB$3,'GBD estimates'!$X$4:$X$1203=""Measles"",'GBD estimates'!$Z$4:$Z$1203=""Under 5"")"),50.87708862)</f>
        <v>50.87708862</v>
      </c>
      <c r="AC96" s="624">
        <f>IFERROR(__xludf.DUMMYFUNCTION("FILTER('GBD estimates'!$AF$4:$AF$1203,'GBD estimates'!$AA$4:$AA$1203=AC$3,'GBD estimates'!$X$4:$X$1203=""Measles"",'GBD estimates'!$Z$4:$Z$1203=""Under 5"")"),55.7358234)</f>
        <v>55.7358234</v>
      </c>
      <c r="AD96" s="624">
        <f>IFERROR(__xludf.DUMMYFUNCTION("FILTER('GBD estimates'!$AF$4:$AF$1203,'GBD estimates'!$AA$4:$AA$1203=AD$3,'GBD estimates'!$X$4:$X$1203=""Measles"",'GBD estimates'!$Z$4:$Z$1203=""Under 5"")"),6.787061154)</f>
        <v>6.787061154</v>
      </c>
      <c r="AE96" s="624">
        <f>IFERROR(__xludf.DUMMYFUNCTION("FILTER('GBD estimates'!$AF$4:$AF$1203,'GBD estimates'!$AA$4:$AA$1203=AE$3,'GBD estimates'!$X$4:$X$1203=""Measles"",'GBD estimates'!$Z$4:$Z$1203=""Under 5"")"),9.668580475)</f>
        <v>9.668580475</v>
      </c>
      <c r="AF96" s="624">
        <f>IFERROR(__xludf.DUMMYFUNCTION("FILTER('GBD estimates'!$AF$4:$AF$1203,'GBD estimates'!$AA$4:$AA$1203=AF$3,'GBD estimates'!$X$4:$X$1203=""Measles"",'GBD estimates'!$Z$4:$Z$1203=""Under 5"")"),168.8162065)</f>
        <v>168.8162065</v>
      </c>
      <c r="AG96" s="630">
        <f>IFERROR(__xludf.DUMMYFUNCTION("FILTER('GBD estimates'!$I$4:$I$1203,'GBD estimates'!$C$4:$C$1203=AG$2,'GBD estimates'!$F$4:$F$1203=""Measles"",'GBD estimates'!$E$4:$E$1203=""&lt;5 years"")"),931.9152524)</f>
        <v>931.9152524</v>
      </c>
      <c r="AH96" s="624">
        <f>IFERROR(__xludf.DUMMYFUNCTION("FILTER('GBD estimates'!$I$4:$I$1203,'GBD estimates'!$C$4:$C$1203=AH$2,'GBD estimates'!$F$4:$F$1203=""Measles"",'GBD estimates'!$E$4:$E$1203=""&lt;5 years"")"),2382.051646)</f>
        <v>2382.051646</v>
      </c>
      <c r="AI96" s="624">
        <f>IFERROR(__xludf.DUMMYFUNCTION("FILTER('GBD estimates'!$I$4:$I$1203,'GBD estimates'!$C$4:$C$1203=AI$2,'GBD estimates'!$F$4:$F$1203=""Measles"",'GBD estimates'!$E$4:$E$1203=""&lt;5 years"")"),48.89229568)</f>
        <v>48.89229568</v>
      </c>
      <c r="AJ96" s="633">
        <f>IFERROR(__xludf.DUMMYFUNCTION("FILTER('GBD estimates'!$I$4:$I$1203,'GBD estimates'!$C$4:$C$1203=AJ$2,'GBD estimates'!$F$4:$F$1203=""Measles"",'GBD estimates'!$E$4:$E$1203=""&lt;5 years"")"),3759.250822)</f>
        <v>3759.250822</v>
      </c>
      <c r="AK96" s="492"/>
      <c r="AL96" s="553" t="s">
        <v>233</v>
      </c>
      <c r="AM96" s="497"/>
    </row>
    <row r="97">
      <c r="A97" s="477"/>
      <c r="B97" s="102"/>
      <c r="C97" s="130"/>
      <c r="D97" s="130"/>
      <c r="E97" s="510" t="s">
        <v>334</v>
      </c>
      <c r="F97" s="145" t="s">
        <v>101</v>
      </c>
      <c r="G97" s="435" t="s">
        <v>213</v>
      </c>
      <c r="H97" s="511" t="s">
        <v>165</v>
      </c>
      <c r="I97" s="634">
        <f>IFERROR(__xludf.DUMMYFUNCTION("FILTER('GBD estimates'!$I$4:$I$1203,'GBD estimates'!$C$4:$C$1203=I$2,'GBD estimates'!$F$4:$F$1203=""Measles"",'GBD estimates'!$E$4:$E$1203=""0-6 days"")"),0.0)</f>
        <v>0</v>
      </c>
      <c r="J97" s="634">
        <f>IFERROR(__xludf.DUMMYFUNCTION("FILTER('GBD estimates'!$I$4:$I$1203,'GBD estimates'!$C$4:$C$1203=J$2,'GBD estimates'!$F$4:$F$1203=""Measles"",'GBD estimates'!$E$4:$E$1203=""0-6 days"")"),0.0)</f>
        <v>0</v>
      </c>
      <c r="K97" s="634">
        <f>IFERROR(__xludf.DUMMYFUNCTION("FILTER('GBD estimates'!$I$4:$I$1203,'GBD estimates'!$C$4:$C$1203=K$2,'GBD estimates'!$F$4:$F$1203=""Measles"",'GBD estimates'!$E$4:$E$1203=""0-6 days"")"),0.0)</f>
        <v>0</v>
      </c>
      <c r="L97" s="634">
        <f>IFERROR(__xludf.DUMMYFUNCTION("FILTER('GBD estimates'!$I$4:$I$1203,'GBD estimates'!$C$4:$C$1203=L$2,'GBD estimates'!$F$4:$F$1203=""Measles"",'GBD estimates'!$E$4:$E$1203=""0-6 days"")"),213.1905408)</f>
        <v>213.1905408</v>
      </c>
      <c r="M97" s="634">
        <f>IFERROR(__xludf.DUMMYFUNCTION("FILTER('GBD estimates'!$I$4:$I$1203,'GBD estimates'!$C$4:$C$1203=M$2,'GBD estimates'!$F$4:$F$1203=""Measles"",'GBD estimates'!$E$4:$E$1203=""0-6 days"")"),0.0)</f>
        <v>0</v>
      </c>
      <c r="N97" s="634">
        <f>IFERROR(__xludf.DUMMYFUNCTION("FILTER('GBD estimates'!$I$4:$I$1203,'GBD estimates'!$C$4:$C$1203=N$2,'GBD estimates'!$F$4:$F$1203=""Measles"",'GBD estimates'!$E$4:$E$1203=""0-6 days"")"),0.0)</f>
        <v>0</v>
      </c>
      <c r="O97" s="634">
        <f>IFERROR(__xludf.DUMMYFUNCTION("FILTER('GBD estimates'!$I$4:$I$1203,'GBD estimates'!$C$4:$C$1203=O$2,'GBD estimates'!$F$4:$F$1203=""Measles"",'GBD estimates'!$E$4:$E$1203=""0-6 days"")"),0.0)</f>
        <v>0</v>
      </c>
      <c r="P97" s="634">
        <f>IFERROR(__xludf.DUMMYFUNCTION("FILTER('GBD estimates'!$I$4:$I$1203,'GBD estimates'!$C$4:$C$1203=P$2,'GBD estimates'!$F$4:$F$1203=""Measles"",'GBD estimates'!$E$4:$E$1203=""0-6 days"")"),0.0)</f>
        <v>0</v>
      </c>
      <c r="Q97" s="634">
        <f>IFERROR(__xludf.DUMMYFUNCTION("FILTER('GBD estimates'!$I$4:$I$1203,'GBD estimates'!$C$4:$C$1203=Q$2,'GBD estimates'!$F$4:$F$1203=""Measles"",'GBD estimates'!$E$4:$E$1203=""0-6 days"")"),0.0)</f>
        <v>0</v>
      </c>
      <c r="R97" s="634">
        <f>IFERROR(__xludf.DUMMYFUNCTION("FILTER('GBD estimates'!$AF$4:$AF$1203,'GBD estimates'!$AA$4:$AA$1203=R$3,'GBD estimates'!$X$4:$X$1203=""Measles"",'GBD estimates'!$Z$4:$Z$1203=""0 to 6 days (early neonatal)"")"),0.0)</f>
        <v>0</v>
      </c>
      <c r="S97" s="634">
        <f>IFERROR(__xludf.DUMMYFUNCTION("FILTER('GBD estimates'!$AF$4:$AF$1203,'GBD estimates'!$AA$4:$AA$1203=S$3,'GBD estimates'!$X$4:$X$1203=""Measles"",'GBD estimates'!$Z$4:$Z$1203=""0 to 6 days (early neonatal)"")"),0.0)</f>
        <v>0</v>
      </c>
      <c r="T97" s="634">
        <f>IFERROR(__xludf.DUMMYFUNCTION("FILTER('GBD estimates'!$AF$4:$AF$1203,'GBD estimates'!$AA$4:$AA$1203=T$3,'GBD estimates'!$X$4:$X$1203=""Measles"",'GBD estimates'!$Z$4:$Z$1203=""0 to 6 days (early neonatal)"")"),0.0)</f>
        <v>0</v>
      </c>
      <c r="U97" s="634">
        <f>IFERROR(__xludf.DUMMYFUNCTION("FILTER('GBD estimates'!$AF$4:$AF$1203,'GBD estimates'!$AA$4:$AA$1203=U$3,'GBD estimates'!$X$4:$X$1203=""Measles"",'GBD estimates'!$Z$4:$Z$1203=""0 to 6 days (early neonatal)"")"),0.0)</f>
        <v>0</v>
      </c>
      <c r="V97" s="634">
        <f>IFERROR(__xludf.DUMMYFUNCTION("FILTER('GBD estimates'!$AF$4:$AF$1203,'GBD estimates'!$AA$4:$AA$1203=V$3,'GBD estimates'!$X$4:$X$1203=""Measles"",'GBD estimates'!$Z$4:$Z$1203=""0 to 6 days (early neonatal)"")"),0.0)</f>
        <v>0</v>
      </c>
      <c r="W97" s="634">
        <f>IFERROR(__xludf.DUMMYFUNCTION("FILTER('GBD estimates'!$AF$4:$AF$1203,'GBD estimates'!$AA$4:$AA$1203=W$3,'GBD estimates'!$X$4:$X$1203=""Measles"",'GBD estimates'!$Z$4:$Z$1203=""0 to 6 days (early neonatal)"")"),0.0)</f>
        <v>0</v>
      </c>
      <c r="X97" s="634">
        <f>IFERROR(__xludf.DUMMYFUNCTION("FILTER('GBD estimates'!$AF$4:$AF$1203,'GBD estimates'!$AA$4:$AA$1203=X$3,'GBD estimates'!$X$4:$X$1203=""Measles"",'GBD estimates'!$Z$4:$Z$1203=""0 to 6 days (early neonatal)"")"),0.0)</f>
        <v>0</v>
      </c>
      <c r="Y97" s="634">
        <f>IFERROR(__xludf.DUMMYFUNCTION("FILTER('GBD estimates'!$AF$4:$AF$1203,'GBD estimates'!$AA$4:$AA$1203=Y$3,'GBD estimates'!$X$4:$X$1203=""Measles"",'GBD estimates'!$Z$4:$Z$1203=""0 to 6 days (early neonatal)"")"),0.0)</f>
        <v>0</v>
      </c>
      <c r="Z97" s="634">
        <f>IFERROR(__xludf.DUMMYFUNCTION("FILTER('GBD estimates'!$AF$4:$AF$1203,'GBD estimates'!$AA$4:$AA$1203=Z$3,'GBD estimates'!$X$4:$X$1203=""Measles"",'GBD estimates'!$Z$4:$Z$1203=""0 to 6 days (early neonatal)"")"),0.0)</f>
        <v>0</v>
      </c>
      <c r="AA97" s="634">
        <f>IFERROR(__xludf.DUMMYFUNCTION("FILTER('GBD estimates'!$AF$4:$AF$1203,'GBD estimates'!$AA$4:$AA$1203=AA$3,'GBD estimates'!$X$4:$X$1203=""Measles"",'GBD estimates'!$Z$4:$Z$1203=""0 to 6 days (early neonatal)"")"),0.0)</f>
        <v>0</v>
      </c>
      <c r="AB97" s="634">
        <f>IFERROR(__xludf.DUMMYFUNCTION("FILTER('GBD estimates'!$AF$4:$AF$1203,'GBD estimates'!$AA$4:$AA$1203=AB$3,'GBD estimates'!$X$4:$X$1203=""Measles"",'GBD estimates'!$Z$4:$Z$1203=""0 to 6 days (early neonatal)"")"),0.0)</f>
        <v>0</v>
      </c>
      <c r="AC97" s="634">
        <f>IFERROR(__xludf.DUMMYFUNCTION("FILTER('GBD estimates'!$AF$4:$AF$1203,'GBD estimates'!$AA$4:$AA$1203=AC$3,'GBD estimates'!$X$4:$X$1203=""Measles"",'GBD estimates'!$Z$4:$Z$1203=""0 to 6 days (early neonatal)"")"),0.0)</f>
        <v>0</v>
      </c>
      <c r="AD97" s="634">
        <f>IFERROR(__xludf.DUMMYFUNCTION("FILTER('GBD estimates'!$AF$4:$AF$1203,'GBD estimates'!$AA$4:$AA$1203=AD$3,'GBD estimates'!$X$4:$X$1203=""Measles"",'GBD estimates'!$Z$4:$Z$1203=""0 to 6 days (early neonatal)"")"),0.0)</f>
        <v>0</v>
      </c>
      <c r="AE97" s="634">
        <f>IFERROR(__xludf.DUMMYFUNCTION("FILTER('GBD estimates'!$AF$4:$AF$1203,'GBD estimates'!$AA$4:$AA$1203=AE$3,'GBD estimates'!$X$4:$X$1203=""Measles"",'GBD estimates'!$Z$4:$Z$1203=""0 to 6 days (early neonatal)"")"),0.0)</f>
        <v>0</v>
      </c>
      <c r="AF97" s="634">
        <f>IFERROR(__xludf.DUMMYFUNCTION("FILTER('GBD estimates'!$AF$4:$AF$1203,'GBD estimates'!$AA$4:$AA$1203=AF$3,'GBD estimates'!$X$4:$X$1203=""Measles"",'GBD estimates'!$Z$4:$Z$1203=""0 to 6 days (early neonatal)"")"),0.0)</f>
        <v>0</v>
      </c>
      <c r="AG97" s="640">
        <f>IFERROR(__xludf.DUMMYFUNCTION("FILTER('GBD estimates'!$I$4:$I$1203,'GBD estimates'!$C$4:$C$1203=AG$2,'GBD estimates'!$F$4:$F$1203=""Measles"",'GBD estimates'!$E$4:$E$1203=""0-6 days"")"),0.0)</f>
        <v>0</v>
      </c>
      <c r="AH97" s="634">
        <f>IFERROR(__xludf.DUMMYFUNCTION("FILTER('GBD estimates'!$I$4:$I$1203,'GBD estimates'!$C$4:$C$1203=AH$2,'GBD estimates'!$F$4:$F$1203=""Measles"",'GBD estimates'!$E$4:$E$1203=""0-6 days"")"),0.0)</f>
        <v>0</v>
      </c>
      <c r="AI97" s="634">
        <f>IFERROR(__xludf.DUMMYFUNCTION("FILTER('GBD estimates'!$I$4:$I$1203,'GBD estimates'!$C$4:$C$1203=AI$2,'GBD estimates'!$F$4:$F$1203=""Measles"",'GBD estimates'!$E$4:$E$1203=""0-6 days"")"),0.0)</f>
        <v>0</v>
      </c>
      <c r="AJ97" s="423">
        <f>IFERROR(__xludf.DUMMYFUNCTION("FILTER('GBD estimates'!$I$4:$I$1203,'GBD estimates'!$C$4:$C$1203=AJ$2,'GBD estimates'!$F$4:$F$1203=""Measles"",'GBD estimates'!$E$4:$E$1203=""0-6 days"")"),0.0)</f>
        <v>0</v>
      </c>
      <c r="AK97" s="516"/>
      <c r="AL97" s="555" t="s">
        <v>233</v>
      </c>
      <c r="AM97" s="518"/>
    </row>
    <row r="98">
      <c r="A98" s="477"/>
      <c r="B98" s="102"/>
      <c r="C98" s="130"/>
      <c r="D98" s="130"/>
      <c r="E98" s="510" t="s">
        <v>337</v>
      </c>
      <c r="F98" s="145" t="s">
        <v>101</v>
      </c>
      <c r="G98" s="435" t="s">
        <v>213</v>
      </c>
      <c r="H98" s="511" t="s">
        <v>165</v>
      </c>
      <c r="I98" s="634">
        <f>IFERROR(__xludf.DUMMYFUNCTION("FILTER('GBD estimates'!$I$4:$I$1203,'GBD estimates'!$C$4:$C$1203=I$2,'GBD estimates'!$F$4:$F$1203=""Measles"",'GBD estimates'!$E$4:$E$1203=""7-27 days"")"),0.0)</f>
        <v>0</v>
      </c>
      <c r="J98" s="634">
        <f>IFERROR(__xludf.DUMMYFUNCTION("FILTER('GBD estimates'!$I$4:$I$1203,'GBD estimates'!$C$4:$C$1203=J$2,'GBD estimates'!$F$4:$F$1203=""Measles"",'GBD estimates'!$E$4:$E$1203=""7-27 days"")"),0.0)</f>
        <v>0</v>
      </c>
      <c r="K98" s="634">
        <f>IFERROR(__xludf.DUMMYFUNCTION("FILTER('GBD estimates'!$I$4:$I$1203,'GBD estimates'!$C$4:$C$1203=K$2,'GBD estimates'!$F$4:$F$1203=""Measles"",'GBD estimates'!$E$4:$E$1203=""7-27 days"")"),0.0)</f>
        <v>0</v>
      </c>
      <c r="L98" s="634">
        <f>IFERROR(__xludf.DUMMYFUNCTION("FILTER('GBD estimates'!$I$4:$I$1203,'GBD estimates'!$C$4:$C$1203=L$2,'GBD estimates'!$F$4:$F$1203=""Measles"",'GBD estimates'!$E$4:$E$1203=""7-27 days"")"),43.47452123)</f>
        <v>43.47452123</v>
      </c>
      <c r="M98" s="634">
        <f>IFERROR(__xludf.DUMMYFUNCTION("FILTER('GBD estimates'!$I$4:$I$1203,'GBD estimates'!$C$4:$C$1203=M$2,'GBD estimates'!$F$4:$F$1203=""Measles"",'GBD estimates'!$E$4:$E$1203=""7-27 days"")"),0.0)</f>
        <v>0</v>
      </c>
      <c r="N98" s="634">
        <f>IFERROR(__xludf.DUMMYFUNCTION("FILTER('GBD estimates'!$I$4:$I$1203,'GBD estimates'!$C$4:$C$1203=N$2,'GBD estimates'!$F$4:$F$1203=""Measles"",'GBD estimates'!$E$4:$E$1203=""7-27 days"")"),0.0)</f>
        <v>0</v>
      </c>
      <c r="O98" s="634">
        <f>IFERROR(__xludf.DUMMYFUNCTION("FILTER('GBD estimates'!$I$4:$I$1203,'GBD estimates'!$C$4:$C$1203=O$2,'GBD estimates'!$F$4:$F$1203=""Measles"",'GBD estimates'!$E$4:$E$1203=""7-27 days"")"),0.0)</f>
        <v>0</v>
      </c>
      <c r="P98" s="634">
        <f>IFERROR(__xludf.DUMMYFUNCTION("FILTER('GBD estimates'!$I$4:$I$1203,'GBD estimates'!$C$4:$C$1203=P$2,'GBD estimates'!$F$4:$F$1203=""Measles"",'GBD estimates'!$E$4:$E$1203=""7-27 days"")"),0.0)</f>
        <v>0</v>
      </c>
      <c r="Q98" s="634">
        <f>IFERROR(__xludf.DUMMYFUNCTION("FILTER('GBD estimates'!$I$4:$I$1203,'GBD estimates'!$C$4:$C$1203=Q$2,'GBD estimates'!$F$4:$F$1203=""Measles"",'GBD estimates'!$E$4:$E$1203=""7-27 days"")"),0.0)</f>
        <v>0</v>
      </c>
      <c r="R98" s="634">
        <f>IFERROR(__xludf.DUMMYFUNCTION("FILTER('GBD estimates'!$AF$4:$AF$1203,'GBD estimates'!$AA$4:$AA$1203=R$3,'GBD estimates'!$X$4:$X$1203=""Measles"",'GBD estimates'!$Z$4:$Z$1203=""7 to 27 days (late neonatal)"")"),0.0)</f>
        <v>0</v>
      </c>
      <c r="S98" s="634">
        <f>IFERROR(__xludf.DUMMYFUNCTION("FILTER('GBD estimates'!$AF$4:$AF$1203,'GBD estimates'!$AA$4:$AA$1203=S$3,'GBD estimates'!$X$4:$X$1203=""Measles"",'GBD estimates'!$Z$4:$Z$1203=""7 to 27 days (late neonatal)"")"),0.0)</f>
        <v>0</v>
      </c>
      <c r="T98" s="634">
        <f>IFERROR(__xludf.DUMMYFUNCTION("FILTER('GBD estimates'!$AF$4:$AF$1203,'GBD estimates'!$AA$4:$AA$1203=T$3,'GBD estimates'!$X$4:$X$1203=""Measles"",'GBD estimates'!$Z$4:$Z$1203=""7 to 27 days (late neonatal)"")"),0.0)</f>
        <v>0</v>
      </c>
      <c r="U98" s="634">
        <f>IFERROR(__xludf.DUMMYFUNCTION("FILTER('GBD estimates'!$AF$4:$AF$1203,'GBD estimates'!$AA$4:$AA$1203=U$3,'GBD estimates'!$X$4:$X$1203=""Measles"",'GBD estimates'!$Z$4:$Z$1203=""7 to 27 days (late neonatal)"")"),0.0)</f>
        <v>0</v>
      </c>
      <c r="V98" s="634">
        <f>IFERROR(__xludf.DUMMYFUNCTION("FILTER('GBD estimates'!$AF$4:$AF$1203,'GBD estimates'!$AA$4:$AA$1203=V$3,'GBD estimates'!$X$4:$X$1203=""Measles"",'GBD estimates'!$Z$4:$Z$1203=""7 to 27 days (late neonatal)"")"),0.0)</f>
        <v>0</v>
      </c>
      <c r="W98" s="634">
        <f>IFERROR(__xludf.DUMMYFUNCTION("FILTER('GBD estimates'!$AF$4:$AF$1203,'GBD estimates'!$AA$4:$AA$1203=W$3,'GBD estimates'!$X$4:$X$1203=""Measles"",'GBD estimates'!$Z$4:$Z$1203=""7 to 27 days (late neonatal)"")"),0.0)</f>
        <v>0</v>
      </c>
      <c r="X98" s="634">
        <f>IFERROR(__xludf.DUMMYFUNCTION("FILTER('GBD estimates'!$AF$4:$AF$1203,'GBD estimates'!$AA$4:$AA$1203=X$3,'GBD estimates'!$X$4:$X$1203=""Measles"",'GBD estimates'!$Z$4:$Z$1203=""7 to 27 days (late neonatal)"")"),0.0)</f>
        <v>0</v>
      </c>
      <c r="Y98" s="634">
        <f>IFERROR(__xludf.DUMMYFUNCTION("FILTER('GBD estimates'!$AF$4:$AF$1203,'GBD estimates'!$AA$4:$AA$1203=Y$3,'GBD estimates'!$X$4:$X$1203=""Measles"",'GBD estimates'!$Z$4:$Z$1203=""7 to 27 days (late neonatal)"")"),0.0)</f>
        <v>0</v>
      </c>
      <c r="Z98" s="634">
        <f>IFERROR(__xludf.DUMMYFUNCTION("FILTER('GBD estimates'!$AF$4:$AF$1203,'GBD estimates'!$AA$4:$AA$1203=Z$3,'GBD estimates'!$X$4:$X$1203=""Measles"",'GBD estimates'!$Z$4:$Z$1203=""7 to 27 days (late neonatal)"")"),0.0)</f>
        <v>0</v>
      </c>
      <c r="AA98" s="634">
        <f>IFERROR(__xludf.DUMMYFUNCTION("FILTER('GBD estimates'!$AF$4:$AF$1203,'GBD estimates'!$AA$4:$AA$1203=AA$3,'GBD estimates'!$X$4:$X$1203=""Measles"",'GBD estimates'!$Z$4:$Z$1203=""7 to 27 days (late neonatal)"")"),0.0)</f>
        <v>0</v>
      </c>
      <c r="AB98" s="634">
        <f>IFERROR(__xludf.DUMMYFUNCTION("FILTER('GBD estimates'!$AF$4:$AF$1203,'GBD estimates'!$AA$4:$AA$1203=AB$3,'GBD estimates'!$X$4:$X$1203=""Measles"",'GBD estimates'!$Z$4:$Z$1203=""7 to 27 days (late neonatal)"")"),0.0)</f>
        <v>0</v>
      </c>
      <c r="AC98" s="634">
        <f>IFERROR(__xludf.DUMMYFUNCTION("FILTER('GBD estimates'!$AF$4:$AF$1203,'GBD estimates'!$AA$4:$AA$1203=AC$3,'GBD estimates'!$X$4:$X$1203=""Measles"",'GBD estimates'!$Z$4:$Z$1203=""7 to 27 days (late neonatal)"")"),0.0)</f>
        <v>0</v>
      </c>
      <c r="AD98" s="634">
        <f>IFERROR(__xludf.DUMMYFUNCTION("FILTER('GBD estimates'!$AF$4:$AF$1203,'GBD estimates'!$AA$4:$AA$1203=AD$3,'GBD estimates'!$X$4:$X$1203=""Measles"",'GBD estimates'!$Z$4:$Z$1203=""7 to 27 days (late neonatal)"")"),0.0)</f>
        <v>0</v>
      </c>
      <c r="AE98" s="634">
        <f>IFERROR(__xludf.DUMMYFUNCTION("FILTER('GBD estimates'!$AF$4:$AF$1203,'GBD estimates'!$AA$4:$AA$1203=AE$3,'GBD estimates'!$X$4:$X$1203=""Measles"",'GBD estimates'!$Z$4:$Z$1203=""7 to 27 days (late neonatal)"")"),0.0)</f>
        <v>0</v>
      </c>
      <c r="AF98" s="634">
        <f>IFERROR(__xludf.DUMMYFUNCTION("FILTER('GBD estimates'!$AF$4:$AF$1203,'GBD estimates'!$AA$4:$AA$1203=AF$3,'GBD estimates'!$X$4:$X$1203=""Measles"",'GBD estimates'!$Z$4:$Z$1203=""7 to 27 days (late neonatal)"")"),0.0)</f>
        <v>0</v>
      </c>
      <c r="AG98" s="640">
        <f>IFERROR(__xludf.DUMMYFUNCTION("FILTER('GBD estimates'!$I$4:$I$1203,'GBD estimates'!$C$4:$C$1203=AG$2,'GBD estimates'!$F$4:$F$1203=""Measles"",'GBD estimates'!$E$4:$E$1203=""7-27 days"")"),0.0)</f>
        <v>0</v>
      </c>
      <c r="AH98" s="634">
        <f>IFERROR(__xludf.DUMMYFUNCTION("FILTER('GBD estimates'!$I$4:$I$1203,'GBD estimates'!$C$4:$C$1203=AH$2,'GBD estimates'!$F$4:$F$1203=""Measles"",'GBD estimates'!$E$4:$E$1203=""7-27 days"")"),0.0)</f>
        <v>0</v>
      </c>
      <c r="AI98" s="634">
        <f>IFERROR(__xludf.DUMMYFUNCTION("FILTER('GBD estimates'!$I$4:$I$1203,'GBD estimates'!$C$4:$C$1203=AI$2,'GBD estimates'!$F$4:$F$1203=""Measles"",'GBD estimates'!$E$4:$E$1203=""7-27 days"")"),0.0)</f>
        <v>0</v>
      </c>
      <c r="AJ98" s="423">
        <f>IFERROR(__xludf.DUMMYFUNCTION("FILTER('GBD estimates'!$I$4:$I$1203,'GBD estimates'!$C$4:$C$1203=AJ$2,'GBD estimates'!$F$4:$F$1203=""Measles"",'GBD estimates'!$E$4:$E$1203=""7-27 days"")"),0.0)</f>
        <v>0</v>
      </c>
      <c r="AK98" s="516"/>
      <c r="AL98" s="555" t="s">
        <v>233</v>
      </c>
      <c r="AM98" s="518"/>
    </row>
    <row r="99">
      <c r="A99" s="477"/>
      <c r="B99" s="102"/>
      <c r="C99" s="130"/>
      <c r="D99" s="130"/>
      <c r="E99" s="498" t="s">
        <v>340</v>
      </c>
      <c r="F99" s="176" t="s">
        <v>101</v>
      </c>
      <c r="G99" s="499" t="s">
        <v>213</v>
      </c>
      <c r="H99" s="500" t="s">
        <v>165</v>
      </c>
      <c r="I99" s="612">
        <f>IFERROR(__xludf.DUMMYFUNCTION("FILTER('GBD estimates'!$I$4:$I$1203,'GBD estimates'!$C$4:$C$1203=I$2,'GBD estimates'!$F$4:$F$1203=""Measles"",'GBD estimates'!$E$4:$E$1203=""28-364 days"")"),615.9703476)</f>
        <v>615.9703476</v>
      </c>
      <c r="J99" s="612">
        <f>IFERROR(__xludf.DUMMYFUNCTION("FILTER('GBD estimates'!$I$4:$I$1203,'GBD estimates'!$C$4:$C$1203=J$2,'GBD estimates'!$F$4:$F$1203=""Measles"",'GBD estimates'!$E$4:$E$1203=""28-364 days"")"),528.3430129)</f>
        <v>528.3430129</v>
      </c>
      <c r="K99" s="612">
        <f>IFERROR(__xludf.DUMMYFUNCTION("FILTER('GBD estimates'!$I$4:$I$1203,'GBD estimates'!$C$4:$C$1203=K$2,'GBD estimates'!$F$4:$F$1203=""Measles"",'GBD estimates'!$E$4:$E$1203=""28-364 days"")"),51.67506087)</f>
        <v>51.67506087</v>
      </c>
      <c r="L99" s="612">
        <f>IFERROR(__xludf.DUMMYFUNCTION("FILTER('GBD estimates'!$I$4:$I$1203,'GBD estimates'!$C$4:$C$1203=L$2,'GBD estimates'!$F$4:$F$1203=""Measles"",'GBD estimates'!$E$4:$E$1203=""28-364 days"")"),940.0679784)</f>
        <v>940.0679784</v>
      </c>
      <c r="M99" s="612">
        <f>IFERROR(__xludf.DUMMYFUNCTION("FILTER('GBD estimates'!$I$4:$I$1203,'GBD estimates'!$C$4:$C$1203=M$2,'GBD estimates'!$F$4:$F$1203=""Measles"",'GBD estimates'!$E$4:$E$1203=""28-364 days"")"),252.3160467)</f>
        <v>252.3160467</v>
      </c>
      <c r="N99" s="612">
        <f>IFERROR(__xludf.DUMMYFUNCTION("FILTER('GBD estimates'!$I$4:$I$1203,'GBD estimates'!$C$4:$C$1203=N$2,'GBD estimates'!$F$4:$F$1203=""Measles"",'GBD estimates'!$E$4:$E$1203=""28-364 days"")"),111.3914527)</f>
        <v>111.3914527</v>
      </c>
      <c r="O99" s="612">
        <f>IFERROR(__xludf.DUMMYFUNCTION("FILTER('GBD estimates'!$I$4:$I$1203,'GBD estimates'!$C$4:$C$1203=O$2,'GBD estimates'!$F$4:$F$1203=""Measles"",'GBD estimates'!$E$4:$E$1203=""28-364 days"")"),606.3633556)</f>
        <v>606.3633556</v>
      </c>
      <c r="P99" s="612">
        <f>IFERROR(__xludf.DUMMYFUNCTION("FILTER('GBD estimates'!$I$4:$I$1203,'GBD estimates'!$C$4:$C$1203=P$2,'GBD estimates'!$F$4:$F$1203=""Measles"",'GBD estimates'!$E$4:$E$1203=""28-364 days"")"),674.5752946)</f>
        <v>674.5752946</v>
      </c>
      <c r="Q99" s="612">
        <f>IFERROR(__xludf.DUMMYFUNCTION("FILTER('GBD estimates'!$I$4:$I$1203,'GBD estimates'!$C$4:$C$1203=Q$2,'GBD estimates'!$F$4:$F$1203=""Measles"",'GBD estimates'!$E$4:$E$1203=""28-364 days"")"),2535.959019)</f>
        <v>2535.959019</v>
      </c>
      <c r="R99" s="612">
        <f>IFERROR(__xludf.DUMMYFUNCTION("FILTER('GBD estimates'!$AF$4:$AF$1203,'GBD estimates'!$AA$4:$AA$1203=R$3,'GBD estimates'!$X$4:$X$1203=""Measles"",'GBD estimates'!$Z$4:$Z$1203=""28 to 364 days (post neonatal)"")"),13.73704183)</f>
        <v>13.73704183</v>
      </c>
      <c r="S99" s="612">
        <f>IFERROR(__xludf.DUMMYFUNCTION("FILTER('GBD estimates'!$AF$4:$AF$1203,'GBD estimates'!$AA$4:$AA$1203=S$3,'GBD estimates'!$X$4:$X$1203=""Measles"",'GBD estimates'!$Z$4:$Z$1203=""28 to 364 days (post neonatal)"")"),1.406138079)</f>
        <v>1.406138079</v>
      </c>
      <c r="T99" s="612">
        <f>IFERROR(__xludf.DUMMYFUNCTION("FILTER('GBD estimates'!$AF$4:$AF$1203,'GBD estimates'!$AA$4:$AA$1203=T$3,'GBD estimates'!$X$4:$X$1203=""Measles"",'GBD estimates'!$Z$4:$Z$1203=""28 to 364 days (post neonatal)"")"),4.423358327)</f>
        <v>4.423358327</v>
      </c>
      <c r="U99" s="612">
        <f>IFERROR(__xludf.DUMMYFUNCTION("FILTER('GBD estimates'!$AF$4:$AF$1203,'GBD estimates'!$AA$4:$AA$1203=U$3,'GBD estimates'!$X$4:$X$1203=""Measles"",'GBD estimates'!$Z$4:$Z$1203=""28 to 364 days (post neonatal)"")"),27.96352296)</f>
        <v>27.96352296</v>
      </c>
      <c r="V99" s="612">
        <f>IFERROR(__xludf.DUMMYFUNCTION("FILTER('GBD estimates'!$AF$4:$AF$1203,'GBD estimates'!$AA$4:$AA$1203=V$3,'GBD estimates'!$X$4:$X$1203=""Measles"",'GBD estimates'!$Z$4:$Z$1203=""28 to 364 days (post neonatal)"")"),3.76375812)</f>
        <v>3.76375812</v>
      </c>
      <c r="W99" s="612">
        <f>IFERROR(__xludf.DUMMYFUNCTION("FILTER('GBD estimates'!$AF$4:$AF$1203,'GBD estimates'!$AA$4:$AA$1203=W$3,'GBD estimates'!$X$4:$X$1203=""Measles"",'GBD estimates'!$Z$4:$Z$1203=""28 to 364 days (post neonatal)"")"),5.388017886)</f>
        <v>5.388017886</v>
      </c>
      <c r="X99" s="612">
        <f>IFERROR(__xludf.DUMMYFUNCTION("FILTER('GBD estimates'!$AF$4:$AF$1203,'GBD estimates'!$AA$4:$AA$1203=X$3,'GBD estimates'!$X$4:$X$1203=""Measles"",'GBD estimates'!$Z$4:$Z$1203=""28 to 364 days (post neonatal)"")"),2.585096967)</f>
        <v>2.585096967</v>
      </c>
      <c r="Y99" s="612">
        <f>IFERROR(__xludf.DUMMYFUNCTION("FILTER('GBD estimates'!$AF$4:$AF$1203,'GBD estimates'!$AA$4:$AA$1203=Y$3,'GBD estimates'!$X$4:$X$1203=""Measles"",'GBD estimates'!$Z$4:$Z$1203=""28 to 364 days (post neonatal)"")"),0.8928297742)</f>
        <v>0.8928297742</v>
      </c>
      <c r="Z99" s="612">
        <f>IFERROR(__xludf.DUMMYFUNCTION("FILTER('GBD estimates'!$AF$4:$AF$1203,'GBD estimates'!$AA$4:$AA$1203=Z$3,'GBD estimates'!$X$4:$X$1203=""Measles"",'GBD estimates'!$Z$4:$Z$1203=""28 to 364 days (post neonatal)"")"),4.272886535)</f>
        <v>4.272886535</v>
      </c>
      <c r="AA99" s="612">
        <f>IFERROR(__xludf.DUMMYFUNCTION("FILTER('GBD estimates'!$AF$4:$AF$1203,'GBD estimates'!$AA$4:$AA$1203=AA$3,'GBD estimates'!$X$4:$X$1203=""Measles"",'GBD estimates'!$Z$4:$Z$1203=""28 to 364 days (post neonatal)"")"),2.477968916)</f>
        <v>2.477968916</v>
      </c>
      <c r="AB99" s="612">
        <f>IFERROR(__xludf.DUMMYFUNCTION("FILTER('GBD estimates'!$AF$4:$AF$1203,'GBD estimates'!$AA$4:$AA$1203=AB$3,'GBD estimates'!$X$4:$X$1203=""Measles"",'GBD estimates'!$Z$4:$Z$1203=""28 to 364 days (post neonatal)"")"),10.62345897)</f>
        <v>10.62345897</v>
      </c>
      <c r="AC99" s="612">
        <f>IFERROR(__xludf.DUMMYFUNCTION("FILTER('GBD estimates'!$AF$4:$AF$1203,'GBD estimates'!$AA$4:$AA$1203=AC$3,'GBD estimates'!$X$4:$X$1203=""Measles"",'GBD estimates'!$Z$4:$Z$1203=""28 to 364 days (post neonatal)"")"),13.68694176)</f>
        <v>13.68694176</v>
      </c>
      <c r="AD99" s="612">
        <f>IFERROR(__xludf.DUMMYFUNCTION("FILTER('GBD estimates'!$AF$4:$AF$1203,'GBD estimates'!$AA$4:$AA$1203=AD$3,'GBD estimates'!$X$4:$X$1203=""Measles"",'GBD estimates'!$Z$4:$Z$1203=""28 to 364 days (post neonatal)"")"),1.659767365)</f>
        <v>1.659767365</v>
      </c>
      <c r="AE99" s="612">
        <f>IFERROR(__xludf.DUMMYFUNCTION("FILTER('GBD estimates'!$AF$4:$AF$1203,'GBD estimates'!$AA$4:$AA$1203=AE$3,'GBD estimates'!$X$4:$X$1203=""Measles"",'GBD estimates'!$Z$4:$Z$1203=""28 to 364 days (post neonatal)"")"),2.107528809)</f>
        <v>2.107528809</v>
      </c>
      <c r="AF99" s="612">
        <f>IFERROR(__xludf.DUMMYFUNCTION("FILTER('GBD estimates'!$AF$4:$AF$1203,'GBD estimates'!$AA$4:$AA$1203=AF$3,'GBD estimates'!$X$4:$X$1203=""Measles"",'GBD estimates'!$Z$4:$Z$1203=""28 to 364 days (post neonatal)"")"),32.08340466)</f>
        <v>32.08340466</v>
      </c>
      <c r="AG99" s="663">
        <f>IFERROR(__xludf.DUMMYFUNCTION("FILTER('GBD estimates'!$I$4:$I$1203,'GBD estimates'!$C$4:$C$1203=AG$2,'GBD estimates'!$F$4:$F$1203=""Measles"",'GBD estimates'!$E$4:$E$1203=""28-364 days"")"),258.3427183)</f>
        <v>258.3427183</v>
      </c>
      <c r="AH99" s="612">
        <f>IFERROR(__xludf.DUMMYFUNCTION("FILTER('GBD estimates'!$I$4:$I$1203,'GBD estimates'!$C$4:$C$1203=AH$2,'GBD estimates'!$F$4:$F$1203=""Measles"",'GBD estimates'!$E$4:$E$1203=""28-364 days"")"),624.7785238)</f>
        <v>624.7785238</v>
      </c>
      <c r="AI99" s="612">
        <f>IFERROR(__xludf.DUMMYFUNCTION("FILTER('GBD estimates'!$I$4:$I$1203,'GBD estimates'!$C$4:$C$1203=AI$2,'GBD estimates'!$F$4:$F$1203=""Measles"",'GBD estimates'!$E$4:$E$1203=""28-364 days"")"),12.52153691)</f>
        <v>12.52153691</v>
      </c>
      <c r="AJ99" s="664">
        <f>IFERROR(__xludf.DUMMYFUNCTION("FILTER('GBD estimates'!$I$4:$I$1203,'GBD estimates'!$C$4:$C$1203=AJ$2,'GBD estimates'!$F$4:$F$1203=""Measles"",'GBD estimates'!$E$4:$E$1203=""28-364 days"")"),1053.356701)</f>
        <v>1053.356701</v>
      </c>
      <c r="AK99" s="505"/>
      <c r="AL99" s="560" t="s">
        <v>233</v>
      </c>
      <c r="AM99" s="507"/>
    </row>
    <row r="100">
      <c r="A100" s="477"/>
      <c r="B100" s="102"/>
      <c r="C100" s="130"/>
      <c r="D100" s="130"/>
      <c r="E100" s="525"/>
      <c r="F100" s="132"/>
      <c r="G100" s="155"/>
      <c r="H100" s="478"/>
      <c r="I100" s="479"/>
      <c r="J100" s="479"/>
      <c r="K100" s="479"/>
      <c r="L100" s="479"/>
      <c r="M100" s="479"/>
      <c r="N100" s="479"/>
      <c r="O100" s="479"/>
      <c r="P100" s="479"/>
      <c r="Q100" s="479"/>
      <c r="R100" s="479"/>
      <c r="S100" s="479"/>
      <c r="T100" s="479"/>
      <c r="U100" s="479"/>
      <c r="V100" s="479"/>
      <c r="W100" s="479"/>
      <c r="X100" s="479"/>
      <c r="Y100" s="479"/>
      <c r="Z100" s="479"/>
      <c r="AA100" s="479"/>
      <c r="AB100" s="479"/>
      <c r="AC100" s="479"/>
      <c r="AD100" s="479"/>
      <c r="AE100" s="479"/>
      <c r="AF100" s="479"/>
      <c r="AG100" s="480"/>
      <c r="AH100" s="479"/>
      <c r="AI100" s="479"/>
      <c r="AJ100" s="481"/>
      <c r="AK100" s="482"/>
      <c r="AL100" s="483"/>
      <c r="AM100" s="484"/>
    </row>
    <row r="101">
      <c r="A101" s="477"/>
      <c r="B101" s="102"/>
      <c r="C101" s="130" t="s">
        <v>347</v>
      </c>
      <c r="F101" s="132"/>
      <c r="G101" s="155"/>
      <c r="H101" s="478"/>
      <c r="I101" s="479"/>
      <c r="J101" s="479"/>
      <c r="K101" s="479"/>
      <c r="L101" s="479"/>
      <c r="M101" s="479"/>
      <c r="N101" s="479"/>
      <c r="O101" s="479"/>
      <c r="P101" s="479"/>
      <c r="Q101" s="479"/>
      <c r="R101" s="479"/>
      <c r="S101" s="479"/>
      <c r="T101" s="479"/>
      <c r="U101" s="479"/>
      <c r="V101" s="479"/>
      <c r="W101" s="479"/>
      <c r="X101" s="479"/>
      <c r="Y101" s="479"/>
      <c r="Z101" s="479"/>
      <c r="AA101" s="479"/>
      <c r="AB101" s="479"/>
      <c r="AC101" s="479"/>
      <c r="AD101" s="479"/>
      <c r="AE101" s="479"/>
      <c r="AF101" s="479"/>
      <c r="AG101" s="480"/>
      <c r="AH101" s="479"/>
      <c r="AI101" s="479"/>
      <c r="AJ101" s="481"/>
      <c r="AK101" s="482"/>
      <c r="AL101" s="483"/>
      <c r="AM101" s="484"/>
    </row>
    <row r="102">
      <c r="A102" s="477"/>
      <c r="B102" s="102"/>
      <c r="C102" s="130"/>
      <c r="D102" s="130"/>
      <c r="E102" s="486" t="s">
        <v>349</v>
      </c>
      <c r="F102" s="114" t="s">
        <v>101</v>
      </c>
      <c r="G102" s="255" t="s">
        <v>213</v>
      </c>
      <c r="H102" s="487" t="s">
        <v>165</v>
      </c>
      <c r="I102" s="624">
        <f>IFERROR(__xludf.DUMMYFUNCTION("FILTER('GBD estimates'!$I$4:$I$1203,'GBD estimates'!$C$4:$C$1203=I$2,'GBD estimates'!$F$4:$F$1203=""Diarrheal diseases"",'GBD estimates'!$E$4:$E$1203=""&lt;5 years"")"),9151.731106)</f>
        <v>9151.731106</v>
      </c>
      <c r="J102" s="624">
        <f>IFERROR(__xludf.DUMMYFUNCTION("FILTER('GBD estimates'!$I$4:$I$1203,'GBD estimates'!$C$4:$C$1203=J$2,'GBD estimates'!$F$4:$F$1203=""Diarrheal diseases"",'GBD estimates'!$E$4:$E$1203=""&lt;5 years"")"),13471.72799)</f>
        <v>13471.72799</v>
      </c>
      <c r="K102" s="624">
        <f>IFERROR(__xludf.DUMMYFUNCTION("FILTER('GBD estimates'!$I$4:$I$1203,'GBD estimates'!$C$4:$C$1203=K$2,'GBD estimates'!$F$4:$F$1203=""Diarrheal diseases"",'GBD estimates'!$E$4:$E$1203=""&lt;5 years"")"),3977.855075)</f>
        <v>3977.855075</v>
      </c>
      <c r="L102" s="624">
        <f>IFERROR(__xludf.DUMMYFUNCTION("FILTER('GBD estimates'!$I$4:$I$1203,'GBD estimates'!$C$4:$C$1203=L$2,'GBD estimates'!$F$4:$F$1203=""Diarrheal diseases"",'GBD estimates'!$E$4:$E$1203=""&lt;5 years"")"),18979.54673)</f>
        <v>18979.54673</v>
      </c>
      <c r="M102" s="624">
        <f>IFERROR(__xludf.DUMMYFUNCTION("FILTER('GBD estimates'!$I$4:$I$1203,'GBD estimates'!$C$4:$C$1203=M$2,'GBD estimates'!$F$4:$F$1203=""Diarrheal diseases"",'GBD estimates'!$E$4:$E$1203=""&lt;5 years"")"),2792.805045)</f>
        <v>2792.805045</v>
      </c>
      <c r="N102" s="624">
        <f>IFERROR(__xludf.DUMMYFUNCTION("FILTER('GBD estimates'!$I$4:$I$1203,'GBD estimates'!$C$4:$C$1203=N$2,'GBD estimates'!$F$4:$F$1203=""Diarrheal diseases"",'GBD estimates'!$E$4:$E$1203=""&lt;5 years"")"),7847.490696)</f>
        <v>7847.490696</v>
      </c>
      <c r="O102" s="624">
        <f>IFERROR(__xludf.DUMMYFUNCTION("FILTER('GBD estimates'!$I$4:$I$1203,'GBD estimates'!$C$4:$C$1203=O$2,'GBD estimates'!$F$4:$F$1203=""Diarrheal diseases"",'GBD estimates'!$E$4:$E$1203=""&lt;5 years"")"),10970.43312)</f>
        <v>10970.43312</v>
      </c>
      <c r="P102" s="624">
        <f>IFERROR(__xludf.DUMMYFUNCTION("FILTER('GBD estimates'!$I$4:$I$1203,'GBD estimates'!$C$4:$C$1203=P$2,'GBD estimates'!$F$4:$F$1203=""Diarrheal diseases"",'GBD estimates'!$E$4:$E$1203=""&lt;5 years"")"),6474.097551)</f>
        <v>6474.097551</v>
      </c>
      <c r="Q102" s="624">
        <f>IFERROR(__xludf.DUMMYFUNCTION("FILTER('GBD estimates'!$I$4:$I$1203,'GBD estimates'!$C$4:$C$1203=Q$2,'GBD estimates'!$F$4:$F$1203=""Diarrheal diseases"",'GBD estimates'!$E$4:$E$1203=""&lt;5 years"")"),22975.32483)</f>
        <v>22975.32483</v>
      </c>
      <c r="R102" s="624">
        <f>IFERROR(__xludf.DUMMYFUNCTION("FILTER('GBD estimates'!$AF$4:$AF$1203,'GBD estimates'!$AA$4:$AA$1203=R$3,'GBD estimates'!$X$4:$X$1203=""Diarrheal diseases"",'GBD estimates'!$Z$4:$Z$1203=""Under 5"")"),1792.518985)</f>
        <v>1792.518985</v>
      </c>
      <c r="S102" s="624">
        <f>IFERROR(__xludf.DUMMYFUNCTION("FILTER('GBD estimates'!$AF$4:$AF$1203,'GBD estimates'!$AA$4:$AA$1203=S$3,'GBD estimates'!$X$4:$X$1203=""Diarrheal diseases"",'GBD estimates'!$Z$4:$Z$1203=""Under 5"")"),235.8614688)</f>
        <v>235.8614688</v>
      </c>
      <c r="T102" s="624">
        <f>IFERROR(__xludf.DUMMYFUNCTION("FILTER('GBD estimates'!$AF$4:$AF$1203,'GBD estimates'!$AA$4:$AA$1203=T$3,'GBD estimates'!$X$4:$X$1203=""Diarrheal diseases"",'GBD estimates'!$Z$4:$Z$1203=""Under 5"")"),527.3843021)</f>
        <v>527.3843021</v>
      </c>
      <c r="U102" s="624">
        <f>IFERROR(__xludf.DUMMYFUNCTION("FILTER('GBD estimates'!$AF$4:$AF$1203,'GBD estimates'!$AA$4:$AA$1203=U$3,'GBD estimates'!$X$4:$X$1203=""Diarrheal diseases"",'GBD estimates'!$Z$4:$Z$1203=""Under 5"")"),2598.681099)</f>
        <v>2598.681099</v>
      </c>
      <c r="V102" s="624">
        <f>IFERROR(__xludf.DUMMYFUNCTION("FILTER('GBD estimates'!$AF$4:$AF$1203,'GBD estimates'!$AA$4:$AA$1203=V$3,'GBD estimates'!$X$4:$X$1203=""Diarrheal diseases"",'GBD estimates'!$Z$4:$Z$1203=""Under 5"")"),932.7184668)</f>
        <v>932.7184668</v>
      </c>
      <c r="W102" s="624">
        <f>IFERROR(__xludf.DUMMYFUNCTION("FILTER('GBD estimates'!$AF$4:$AF$1203,'GBD estimates'!$AA$4:$AA$1203=W$3,'GBD estimates'!$X$4:$X$1203=""Diarrheal diseases"",'GBD estimates'!$Z$4:$Z$1203=""Under 5"")"),863.7292974)</f>
        <v>863.7292974</v>
      </c>
      <c r="X102" s="624">
        <f>IFERROR(__xludf.DUMMYFUNCTION("FILTER('GBD estimates'!$AF$4:$AF$1203,'GBD estimates'!$AA$4:$AA$1203=X$3,'GBD estimates'!$X$4:$X$1203=""Diarrheal diseases"",'GBD estimates'!$Z$4:$Z$1203=""Under 5"")"),531.9093041)</f>
        <v>531.9093041</v>
      </c>
      <c r="Y102" s="624">
        <f>IFERROR(__xludf.DUMMYFUNCTION("FILTER('GBD estimates'!$AF$4:$AF$1203,'GBD estimates'!$AA$4:$AA$1203=Y$3,'GBD estimates'!$X$4:$X$1203=""Diarrheal diseases"",'GBD estimates'!$Z$4:$Z$1203=""Under 5"")"),261.3046733)</f>
        <v>261.3046733</v>
      </c>
      <c r="Z102" s="624">
        <f>IFERROR(__xludf.DUMMYFUNCTION("FILTER('GBD estimates'!$AF$4:$AF$1203,'GBD estimates'!$AA$4:$AA$1203=Z$3,'GBD estimates'!$X$4:$X$1203=""Diarrheal diseases"",'GBD estimates'!$Z$4:$Z$1203=""Under 5"")"),684.6036095)</f>
        <v>684.6036095</v>
      </c>
      <c r="AA102" s="624">
        <f>IFERROR(__xludf.DUMMYFUNCTION("FILTER('GBD estimates'!$AF$4:$AF$1203,'GBD estimates'!$AA$4:$AA$1203=AA$3,'GBD estimates'!$X$4:$X$1203=""Diarrheal diseases"",'GBD estimates'!$Z$4:$Z$1203=""Under 5"")"),358.9317813)</f>
        <v>358.9317813</v>
      </c>
      <c r="AB102" s="624">
        <f>IFERROR(__xludf.DUMMYFUNCTION("FILTER('GBD estimates'!$AF$4:$AF$1203,'GBD estimates'!$AA$4:$AA$1203=AB$3,'GBD estimates'!$X$4:$X$1203=""Diarrheal diseases"",'GBD estimates'!$Z$4:$Z$1203=""Under 5"")"),1488.494934)</f>
        <v>1488.494934</v>
      </c>
      <c r="AC102" s="624">
        <f>IFERROR(__xludf.DUMMYFUNCTION("FILTER('GBD estimates'!$AF$4:$AF$1203,'GBD estimates'!$AA$4:$AA$1203=AC$3,'GBD estimates'!$X$4:$X$1203=""Diarrheal diseases"",'GBD estimates'!$Z$4:$Z$1203=""Under 5"")"),1961.576696)</f>
        <v>1961.576696</v>
      </c>
      <c r="AD102" s="624">
        <f>IFERROR(__xludf.DUMMYFUNCTION("FILTER('GBD estimates'!$AF$4:$AF$1203,'GBD estimates'!$AA$4:$AA$1203=AD$3,'GBD estimates'!$X$4:$X$1203=""Diarrheal diseases"",'GBD estimates'!$Z$4:$Z$1203=""Under 5"")"),331.6713724)</f>
        <v>331.6713724</v>
      </c>
      <c r="AE102" s="624">
        <f>IFERROR(__xludf.DUMMYFUNCTION("FILTER('GBD estimates'!$AF$4:$AF$1203,'GBD estimates'!$AA$4:$AA$1203=AE$3,'GBD estimates'!$X$4:$X$1203=""Diarrheal diseases"",'GBD estimates'!$Z$4:$Z$1203=""Under 5"")"),698.5771604)</f>
        <v>698.5771604</v>
      </c>
      <c r="AF102" s="624">
        <f>IFERROR(__xludf.DUMMYFUNCTION("FILTER('GBD estimates'!$AF$4:$AF$1203,'GBD estimates'!$AA$4:$AA$1203=AF$3,'GBD estimates'!$X$4:$X$1203=""Diarrheal diseases"",'GBD estimates'!$Z$4:$Z$1203=""Under 5"")"),4971.836451)</f>
        <v>4971.836451</v>
      </c>
      <c r="AG102" s="630">
        <f>IFERROR(__xludf.DUMMYFUNCTION("FILTER('GBD estimates'!$I$4:$I$1203,'GBD estimates'!$C$4:$C$1203=AG$2,'GBD estimates'!$F$4:$F$1203=""Diarrheal diseases"",'GBD estimates'!$E$4:$E$1203=""&lt;5 years"")"),7087.81383)</f>
        <v>7087.81383</v>
      </c>
      <c r="AH102" s="624">
        <f>IFERROR(__xludf.DUMMYFUNCTION("FILTER('GBD estimates'!$I$4:$I$1203,'GBD estimates'!$C$4:$C$1203=AH$2,'GBD estimates'!$F$4:$F$1203=""Diarrheal diseases"",'GBD estimates'!$E$4:$E$1203=""&lt;5 years"")"),25058.80896)</f>
        <v>25058.80896</v>
      </c>
      <c r="AI102" s="624">
        <f>IFERROR(__xludf.DUMMYFUNCTION("FILTER('GBD estimates'!$I$4:$I$1203,'GBD estimates'!$C$4:$C$1203=AI$2,'GBD estimates'!$F$4:$F$1203=""Diarrheal diseases"",'GBD estimates'!$E$4:$E$1203=""&lt;5 years"")"),4191.828969)</f>
        <v>4191.828969</v>
      </c>
      <c r="AJ102" s="633">
        <f>IFERROR(__xludf.DUMMYFUNCTION("FILTER('GBD estimates'!$I$4:$I$1203,'GBD estimates'!$C$4:$C$1203=AJ$2,'GBD estimates'!$F$4:$F$1203=""Diarrheal diseases"",'GBD estimates'!$E$4:$E$1203=""&lt;5 years"")"),4492.678036)</f>
        <v>4492.678036</v>
      </c>
      <c r="AK102" s="492"/>
      <c r="AL102" s="553" t="s">
        <v>233</v>
      </c>
      <c r="AM102" s="497"/>
    </row>
    <row r="103">
      <c r="A103" s="477"/>
      <c r="B103" s="102"/>
      <c r="C103" s="130"/>
      <c r="D103" s="130"/>
      <c r="E103" s="510" t="s">
        <v>358</v>
      </c>
      <c r="F103" s="145" t="s">
        <v>101</v>
      </c>
      <c r="G103" s="435" t="s">
        <v>213</v>
      </c>
      <c r="H103" s="511" t="s">
        <v>165</v>
      </c>
      <c r="I103" s="634">
        <f>IFERROR(__xludf.DUMMYFUNCTION("FILTER('GBD estimates'!$I$4:$I$1203,'GBD estimates'!$C$4:$C$1203=I$2,'GBD estimates'!$F$4:$F$1203=""Diarrheal diseases"",'GBD estimates'!$E$4:$E$1203=""0-6 days"")"),138.9292767)</f>
        <v>138.9292767</v>
      </c>
      <c r="J103" s="634">
        <f>IFERROR(__xludf.DUMMYFUNCTION("FILTER('GBD estimates'!$I$4:$I$1203,'GBD estimates'!$C$4:$C$1203=J$2,'GBD estimates'!$F$4:$F$1203=""Diarrheal diseases"",'GBD estimates'!$E$4:$E$1203=""0-6 days"")"),290.1973452)</f>
        <v>290.1973452</v>
      </c>
      <c r="K103" s="634">
        <f>IFERROR(__xludf.DUMMYFUNCTION("FILTER('GBD estimates'!$I$4:$I$1203,'GBD estimates'!$C$4:$C$1203=K$2,'GBD estimates'!$F$4:$F$1203=""Diarrheal diseases"",'GBD estimates'!$E$4:$E$1203=""0-6 days"")"),108.5208194)</f>
        <v>108.5208194</v>
      </c>
      <c r="L103" s="634">
        <f>IFERROR(__xludf.DUMMYFUNCTION("FILTER('GBD estimates'!$I$4:$I$1203,'GBD estimates'!$C$4:$C$1203=L$2,'GBD estimates'!$F$4:$F$1203=""Diarrheal diseases"",'GBD estimates'!$E$4:$E$1203=""0-6 days"")"),725.0958856)</f>
        <v>725.0958856</v>
      </c>
      <c r="M103" s="634">
        <f>IFERROR(__xludf.DUMMYFUNCTION("FILTER('GBD estimates'!$I$4:$I$1203,'GBD estimates'!$C$4:$C$1203=M$2,'GBD estimates'!$F$4:$F$1203=""Diarrheal diseases"",'GBD estimates'!$E$4:$E$1203=""0-6 days"")"),61.52402053)</f>
        <v>61.52402053</v>
      </c>
      <c r="N103" s="634">
        <f>IFERROR(__xludf.DUMMYFUNCTION("FILTER('GBD estimates'!$I$4:$I$1203,'GBD estimates'!$C$4:$C$1203=N$2,'GBD estimates'!$F$4:$F$1203=""Diarrheal diseases"",'GBD estimates'!$E$4:$E$1203=""0-6 days"")"),637.9846233)</f>
        <v>637.9846233</v>
      </c>
      <c r="O103" s="634">
        <f>IFERROR(__xludf.DUMMYFUNCTION("FILTER('GBD estimates'!$I$4:$I$1203,'GBD estimates'!$C$4:$C$1203=O$2,'GBD estimates'!$F$4:$F$1203=""Diarrheal diseases"",'GBD estimates'!$E$4:$E$1203=""0-6 days"")"),315.1634272)</f>
        <v>315.1634272</v>
      </c>
      <c r="P103" s="634">
        <f>IFERROR(__xludf.DUMMYFUNCTION("FILTER('GBD estimates'!$I$4:$I$1203,'GBD estimates'!$C$4:$C$1203=P$2,'GBD estimates'!$F$4:$F$1203=""Diarrheal diseases"",'GBD estimates'!$E$4:$E$1203=""0-6 days"")"),196.5409199)</f>
        <v>196.5409199</v>
      </c>
      <c r="Q103" s="634">
        <f>IFERROR(__xludf.DUMMYFUNCTION("FILTER('GBD estimates'!$I$4:$I$1203,'GBD estimates'!$C$4:$C$1203=Q$2,'GBD estimates'!$F$4:$F$1203=""Diarrheal diseases"",'GBD estimates'!$E$4:$E$1203=""0-6 days"")"),284.0441729)</f>
        <v>284.0441729</v>
      </c>
      <c r="R103" s="634">
        <f>IFERROR(__xludf.DUMMYFUNCTION("FILTER('GBD estimates'!$AF$4:$AF$1203,'GBD estimates'!$AA$4:$AA$1203=R$3,'GBD estimates'!$X$4:$X$1203=""Diarrheal diseases"",'GBD estimates'!$Z$4:$Z$1203=""0 to 6 days (early neonatal)"")"),27.40055133)</f>
        <v>27.40055133</v>
      </c>
      <c r="S103" s="634">
        <f>IFERROR(__xludf.DUMMYFUNCTION("FILTER('GBD estimates'!$AF$4:$AF$1203,'GBD estimates'!$AA$4:$AA$1203=S$3,'GBD estimates'!$X$4:$X$1203=""Diarrheal diseases"",'GBD estimates'!$Z$4:$Z$1203=""0 to 6 days (early neonatal)"")"),11.54580852)</f>
        <v>11.54580852</v>
      </c>
      <c r="T103" s="634">
        <f>IFERROR(__xludf.DUMMYFUNCTION("FILTER('GBD estimates'!$AF$4:$AF$1203,'GBD estimates'!$AA$4:$AA$1203=T$3,'GBD estimates'!$X$4:$X$1203=""Diarrheal diseases"",'GBD estimates'!$Z$4:$Z$1203=""0 to 6 days (early neonatal)"")"),24.09495771)</f>
        <v>24.09495771</v>
      </c>
      <c r="U103" s="634">
        <f>IFERROR(__xludf.DUMMYFUNCTION("FILTER('GBD estimates'!$AF$4:$AF$1203,'GBD estimates'!$AA$4:$AA$1203=U$3,'GBD estimates'!$X$4:$X$1203=""Diarrheal diseases"",'GBD estimates'!$Z$4:$Z$1203=""0 to 6 days (early neonatal)"")"),56.43793913)</f>
        <v>56.43793913</v>
      </c>
      <c r="V103" s="634">
        <f>IFERROR(__xludf.DUMMYFUNCTION("FILTER('GBD estimates'!$AF$4:$AF$1203,'GBD estimates'!$AA$4:$AA$1203=V$3,'GBD estimates'!$X$4:$X$1203=""Diarrheal diseases"",'GBD estimates'!$Z$4:$Z$1203=""0 to 6 days (early neonatal)"")"),22.96305318)</f>
        <v>22.96305318</v>
      </c>
      <c r="W103" s="634">
        <f>IFERROR(__xludf.DUMMYFUNCTION("FILTER('GBD estimates'!$AF$4:$AF$1203,'GBD estimates'!$AA$4:$AA$1203=W$3,'GBD estimates'!$X$4:$X$1203=""Diarrheal diseases"",'GBD estimates'!$Z$4:$Z$1203=""0 to 6 days (early neonatal)"")"),19.58391461)</f>
        <v>19.58391461</v>
      </c>
      <c r="X103" s="634">
        <f>IFERROR(__xludf.DUMMYFUNCTION("FILTER('GBD estimates'!$AF$4:$AF$1203,'GBD estimates'!$AA$4:$AA$1203=X$3,'GBD estimates'!$X$4:$X$1203=""Diarrheal diseases"",'GBD estimates'!$Z$4:$Z$1203=""0 to 6 days (early neonatal)"")"),17.45744143)</f>
        <v>17.45744143</v>
      </c>
      <c r="Y103" s="634">
        <f>IFERROR(__xludf.DUMMYFUNCTION("FILTER('GBD estimates'!$AF$4:$AF$1203,'GBD estimates'!$AA$4:$AA$1203=Y$3,'GBD estimates'!$X$4:$X$1203=""Diarrheal diseases"",'GBD estimates'!$Z$4:$Z$1203=""0 to 6 days (early neonatal)"")"),8.35399898)</f>
        <v>8.35399898</v>
      </c>
      <c r="Z103" s="634">
        <f>IFERROR(__xludf.DUMMYFUNCTION("FILTER('GBD estimates'!$AF$4:$AF$1203,'GBD estimates'!$AA$4:$AA$1203=Z$3,'GBD estimates'!$X$4:$X$1203=""Diarrheal diseases"",'GBD estimates'!$Z$4:$Z$1203=""0 to 6 days (early neonatal)"")"),38.53956214)</f>
        <v>38.53956214</v>
      </c>
      <c r="AA103" s="634">
        <f>IFERROR(__xludf.DUMMYFUNCTION("FILTER('GBD estimates'!$AF$4:$AF$1203,'GBD estimates'!$AA$4:$AA$1203=AA$3,'GBD estimates'!$X$4:$X$1203=""Diarrheal diseases"",'GBD estimates'!$Z$4:$Z$1203=""0 to 6 days (early neonatal)"")"),11.53787961)</f>
        <v>11.53787961</v>
      </c>
      <c r="AB103" s="634">
        <f>IFERROR(__xludf.DUMMYFUNCTION("FILTER('GBD estimates'!$AF$4:$AF$1203,'GBD estimates'!$AA$4:$AA$1203=AB$3,'GBD estimates'!$X$4:$X$1203=""Diarrheal diseases"",'GBD estimates'!$Z$4:$Z$1203=""0 to 6 days (early neonatal)"")"),32.05425906)</f>
        <v>32.05425906</v>
      </c>
      <c r="AC103" s="634">
        <f>IFERROR(__xludf.DUMMYFUNCTION("FILTER('GBD estimates'!$AF$4:$AF$1203,'GBD estimates'!$AA$4:$AA$1203=AC$3,'GBD estimates'!$X$4:$X$1203=""Diarrheal diseases"",'GBD estimates'!$Z$4:$Z$1203=""0 to 6 days (early neonatal)"")"),58.34086374)</f>
        <v>58.34086374</v>
      </c>
      <c r="AD103" s="634">
        <f>IFERROR(__xludf.DUMMYFUNCTION("FILTER('GBD estimates'!$AF$4:$AF$1203,'GBD estimates'!$AA$4:$AA$1203=AD$3,'GBD estimates'!$X$4:$X$1203=""Diarrheal diseases"",'GBD estimates'!$Z$4:$Z$1203=""0 to 6 days (early neonatal)"")"),17.17300355)</f>
        <v>17.17300355</v>
      </c>
      <c r="AE103" s="634">
        <f>IFERROR(__xludf.DUMMYFUNCTION("FILTER('GBD estimates'!$AF$4:$AF$1203,'GBD estimates'!$AA$4:$AA$1203=AE$3,'GBD estimates'!$X$4:$X$1203=""Diarrheal diseases"",'GBD estimates'!$Z$4:$Z$1203=""0 to 6 days (early neonatal)"")"),20.83510073)</f>
        <v>20.83510073</v>
      </c>
      <c r="AF103" s="634">
        <f>IFERROR(__xludf.DUMMYFUNCTION("FILTER('GBD estimates'!$AF$4:$AF$1203,'GBD estimates'!$AA$4:$AA$1203=AF$3,'GBD estimates'!$X$4:$X$1203=""Diarrheal diseases"",'GBD estimates'!$Z$4:$Z$1203=""0 to 6 days (early neonatal)"")"),70.61424279)</f>
        <v>70.61424279</v>
      </c>
      <c r="AG103" s="640">
        <f>IFERROR(__xludf.DUMMYFUNCTION("FILTER('GBD estimates'!$I$4:$I$1203,'GBD estimates'!$C$4:$C$1203=AG$2,'GBD estimates'!$F$4:$F$1203=""Diarrheal diseases"",'GBD estimates'!$E$4:$E$1203=""0-6 days"")"),127.5268529)</f>
        <v>127.5268529</v>
      </c>
      <c r="AH103" s="634">
        <f>IFERROR(__xludf.DUMMYFUNCTION("FILTER('GBD estimates'!$I$4:$I$1203,'GBD estimates'!$C$4:$C$1203=AH$2,'GBD estimates'!$F$4:$F$1203=""Diarrheal diseases"",'GBD estimates'!$E$4:$E$1203=""0-6 days"")"),584.7971654)</f>
        <v>584.7971654</v>
      </c>
      <c r="AI103" s="634">
        <f>IFERROR(__xludf.DUMMYFUNCTION("FILTER('GBD estimates'!$I$4:$I$1203,'GBD estimates'!$C$4:$C$1203=AI$2,'GBD estimates'!$F$4:$F$1203=""Diarrheal diseases"",'GBD estimates'!$E$4:$E$1203=""0-6 days"")"),141.5992773)</f>
        <v>141.5992773</v>
      </c>
      <c r="AJ103" s="423">
        <f>IFERROR(__xludf.DUMMYFUNCTION("FILTER('GBD estimates'!$I$4:$I$1203,'GBD estimates'!$C$4:$C$1203=AJ$2,'GBD estimates'!$F$4:$F$1203=""Diarrheal diseases"",'GBD estimates'!$E$4:$E$1203=""0-6 days"")"),149.9941463)</f>
        <v>149.9941463</v>
      </c>
      <c r="AK103" s="516"/>
      <c r="AL103" s="555" t="s">
        <v>233</v>
      </c>
      <c r="AM103" s="518"/>
    </row>
    <row r="104">
      <c r="A104" s="477"/>
      <c r="B104" s="102"/>
      <c r="C104" s="130"/>
      <c r="D104" s="130"/>
      <c r="E104" s="510" t="s">
        <v>364</v>
      </c>
      <c r="F104" s="145" t="s">
        <v>101</v>
      </c>
      <c r="G104" s="435" t="s">
        <v>213</v>
      </c>
      <c r="H104" s="511" t="s">
        <v>165</v>
      </c>
      <c r="I104" s="634">
        <f>IFERROR(__xludf.DUMMYFUNCTION("FILTER('GBD estimates'!$I$4:$I$1203,'GBD estimates'!$C$4:$C$1203=I$2,'GBD estimates'!$F$4:$F$1203=""Diarrheal diseases"",'GBD estimates'!$E$4:$E$1203=""7-27 days"")"),420.1399361)</f>
        <v>420.1399361</v>
      </c>
      <c r="J104" s="634">
        <f>IFERROR(__xludf.DUMMYFUNCTION("FILTER('GBD estimates'!$I$4:$I$1203,'GBD estimates'!$C$4:$C$1203=J$2,'GBD estimates'!$F$4:$F$1203=""Diarrheal diseases"",'GBD estimates'!$E$4:$E$1203=""7-27 days"")"),626.5421438)</f>
        <v>626.5421438</v>
      </c>
      <c r="K104" s="634">
        <f>IFERROR(__xludf.DUMMYFUNCTION("FILTER('GBD estimates'!$I$4:$I$1203,'GBD estimates'!$C$4:$C$1203=K$2,'GBD estimates'!$F$4:$F$1203=""Diarrheal diseases"",'GBD estimates'!$E$4:$E$1203=""7-27 days"")"),245.0759705)</f>
        <v>245.0759705</v>
      </c>
      <c r="L104" s="634">
        <f>IFERROR(__xludf.DUMMYFUNCTION("FILTER('GBD estimates'!$I$4:$I$1203,'GBD estimates'!$C$4:$C$1203=L$2,'GBD estimates'!$F$4:$F$1203=""Diarrheal diseases"",'GBD estimates'!$E$4:$E$1203=""7-27 days"")"),1156.690402)</f>
        <v>1156.690402</v>
      </c>
      <c r="M104" s="634">
        <f>IFERROR(__xludf.DUMMYFUNCTION("FILTER('GBD estimates'!$I$4:$I$1203,'GBD estimates'!$C$4:$C$1203=M$2,'GBD estimates'!$F$4:$F$1203=""Diarrheal diseases"",'GBD estimates'!$E$4:$E$1203=""7-27 days"")"),145.2444333)</f>
        <v>145.2444333</v>
      </c>
      <c r="N104" s="634">
        <f>IFERROR(__xludf.DUMMYFUNCTION("FILTER('GBD estimates'!$I$4:$I$1203,'GBD estimates'!$C$4:$C$1203=N$2,'GBD estimates'!$F$4:$F$1203=""Diarrheal diseases"",'GBD estimates'!$E$4:$E$1203=""7-27 days"")"),865.1332422)</f>
        <v>865.1332422</v>
      </c>
      <c r="O104" s="634">
        <f>IFERROR(__xludf.DUMMYFUNCTION("FILTER('GBD estimates'!$I$4:$I$1203,'GBD estimates'!$C$4:$C$1203=O$2,'GBD estimates'!$F$4:$F$1203=""Diarrheal diseases"",'GBD estimates'!$E$4:$E$1203=""7-27 days"")"),772.3839288)</f>
        <v>772.3839288</v>
      </c>
      <c r="P104" s="634">
        <f>IFERROR(__xludf.DUMMYFUNCTION("FILTER('GBD estimates'!$I$4:$I$1203,'GBD estimates'!$C$4:$C$1203=P$2,'GBD estimates'!$F$4:$F$1203=""Diarrheal diseases"",'GBD estimates'!$E$4:$E$1203=""7-27 days"")"),337.493752)</f>
        <v>337.493752</v>
      </c>
      <c r="Q104" s="634">
        <f>IFERROR(__xludf.DUMMYFUNCTION("FILTER('GBD estimates'!$I$4:$I$1203,'GBD estimates'!$C$4:$C$1203=Q$2,'GBD estimates'!$F$4:$F$1203=""Diarrheal diseases"",'GBD estimates'!$E$4:$E$1203=""7-27 days"")"),846.965731)</f>
        <v>846.965731</v>
      </c>
      <c r="R104" s="634">
        <f>IFERROR(__xludf.DUMMYFUNCTION("FILTER('GBD estimates'!$AF$4:$AF$1203,'GBD estimates'!$AA$4:$AA$1203=R$3,'GBD estimates'!$X$4:$X$1203=""Diarrheal diseases"",'GBD estimates'!$Z$4:$Z$1203=""7 to 27 days (late neonatal)"")"),66.87657355)</f>
        <v>66.87657355</v>
      </c>
      <c r="S104" s="634">
        <f>IFERROR(__xludf.DUMMYFUNCTION("FILTER('GBD estimates'!$AF$4:$AF$1203,'GBD estimates'!$AA$4:$AA$1203=S$3,'GBD estimates'!$X$4:$X$1203=""Diarrheal diseases"",'GBD estimates'!$Z$4:$Z$1203=""7 to 27 days (late neonatal)"")"),14.23559134)</f>
        <v>14.23559134</v>
      </c>
      <c r="T104" s="634">
        <f>IFERROR(__xludf.DUMMYFUNCTION("FILTER('GBD estimates'!$AF$4:$AF$1203,'GBD estimates'!$AA$4:$AA$1203=T$3,'GBD estimates'!$X$4:$X$1203=""Diarrheal diseases"",'GBD estimates'!$Z$4:$Z$1203=""7 to 27 days (late neonatal)"")"),32.27285513)</f>
        <v>32.27285513</v>
      </c>
      <c r="U104" s="634">
        <f>IFERROR(__xludf.DUMMYFUNCTION("FILTER('GBD estimates'!$AF$4:$AF$1203,'GBD estimates'!$AA$4:$AA$1203=U$3,'GBD estimates'!$X$4:$X$1203=""Diarrheal diseases"",'GBD estimates'!$Z$4:$Z$1203=""7 to 27 days (late neonatal)"")"),116.4531636)</f>
        <v>116.4531636</v>
      </c>
      <c r="V104" s="634">
        <f>IFERROR(__xludf.DUMMYFUNCTION("FILTER('GBD estimates'!$AF$4:$AF$1203,'GBD estimates'!$AA$4:$AA$1203=V$3,'GBD estimates'!$X$4:$X$1203=""Diarrheal diseases"",'GBD estimates'!$Z$4:$Z$1203=""7 to 27 days (late neonatal)"")"),43.09390723)</f>
        <v>43.09390723</v>
      </c>
      <c r="W104" s="634">
        <f>IFERROR(__xludf.DUMMYFUNCTION("FILTER('GBD estimates'!$AF$4:$AF$1203,'GBD estimates'!$AA$4:$AA$1203=W$3,'GBD estimates'!$X$4:$X$1203=""Diarrheal diseases"",'GBD estimates'!$Z$4:$Z$1203=""7 to 27 days (late neonatal)"")"),38.95461712)</f>
        <v>38.95461712</v>
      </c>
      <c r="X104" s="634">
        <f>IFERROR(__xludf.DUMMYFUNCTION("FILTER('GBD estimates'!$AF$4:$AF$1203,'GBD estimates'!$AA$4:$AA$1203=X$3,'GBD estimates'!$X$4:$X$1203=""Diarrheal diseases"",'GBD estimates'!$Z$4:$Z$1203=""7 to 27 days (late neonatal)"")"),26.97215714)</f>
        <v>26.97215714</v>
      </c>
      <c r="Y104" s="634">
        <f>IFERROR(__xludf.DUMMYFUNCTION("FILTER('GBD estimates'!$AF$4:$AF$1203,'GBD estimates'!$AA$4:$AA$1203=Y$3,'GBD estimates'!$X$4:$X$1203=""Diarrheal diseases"",'GBD estimates'!$Z$4:$Z$1203=""7 to 27 days (late neonatal)"")"),12.47435059)</f>
        <v>12.47435059</v>
      </c>
      <c r="Z104" s="634">
        <f>IFERROR(__xludf.DUMMYFUNCTION("FILTER('GBD estimates'!$AF$4:$AF$1203,'GBD estimates'!$AA$4:$AA$1203=Z$3,'GBD estimates'!$X$4:$X$1203=""Diarrheal diseases"",'GBD estimates'!$Z$4:$Z$1203=""7 to 27 days (late neonatal)"")"),45.10719646)</f>
        <v>45.10719646</v>
      </c>
      <c r="AA104" s="634">
        <f>IFERROR(__xludf.DUMMYFUNCTION("FILTER('GBD estimates'!$AF$4:$AF$1203,'GBD estimates'!$AA$4:$AA$1203=AA$3,'GBD estimates'!$X$4:$X$1203=""Diarrheal diseases"",'GBD estimates'!$Z$4:$Z$1203=""7 to 27 days (late neonatal)"")"),17.78068877)</f>
        <v>17.78068877</v>
      </c>
      <c r="AB104" s="634">
        <f>IFERROR(__xludf.DUMMYFUNCTION("FILTER('GBD estimates'!$AF$4:$AF$1203,'GBD estimates'!$AA$4:$AA$1203=AB$3,'GBD estimates'!$X$4:$X$1203=""Diarrheal diseases"",'GBD estimates'!$Z$4:$Z$1203=""7 to 27 days (late neonatal)"")"),67.02773261)</f>
        <v>67.02773261</v>
      </c>
      <c r="AC104" s="634">
        <f>IFERROR(__xludf.DUMMYFUNCTION("FILTER('GBD estimates'!$AF$4:$AF$1203,'GBD estimates'!$AA$4:$AA$1203=AC$3,'GBD estimates'!$X$4:$X$1203=""Diarrheal diseases"",'GBD estimates'!$Z$4:$Z$1203=""7 to 27 days (late neonatal)"")"),98.09492995)</f>
        <v>98.09492995</v>
      </c>
      <c r="AD104" s="634">
        <f>IFERROR(__xludf.DUMMYFUNCTION("FILTER('GBD estimates'!$AF$4:$AF$1203,'GBD estimates'!$AA$4:$AA$1203=AD$3,'GBD estimates'!$X$4:$X$1203=""Diarrheal diseases"",'GBD estimates'!$Z$4:$Z$1203=""7 to 27 days (late neonatal)"")"),20.56695412)</f>
        <v>20.56695412</v>
      </c>
      <c r="AE104" s="634">
        <f>IFERROR(__xludf.DUMMYFUNCTION("FILTER('GBD estimates'!$AF$4:$AF$1203,'GBD estimates'!$AA$4:$AA$1203=AE$3,'GBD estimates'!$X$4:$X$1203=""Diarrheal diseases"",'GBD estimates'!$Z$4:$Z$1203=""7 to 27 days (late neonatal)"")"),33.96682009)</f>
        <v>33.96682009</v>
      </c>
      <c r="AF104" s="634">
        <f>IFERROR(__xludf.DUMMYFUNCTION("FILTER('GBD estimates'!$AF$4:$AF$1203,'GBD estimates'!$AA$4:$AA$1203=AF$3,'GBD estimates'!$X$4:$X$1203=""Diarrheal diseases"",'GBD estimates'!$Z$4:$Z$1203=""7 to 27 days (late neonatal)"")"),182.2070996)</f>
        <v>182.2070996</v>
      </c>
      <c r="AG104" s="640">
        <f>IFERROR(__xludf.DUMMYFUNCTION("FILTER('GBD estimates'!$I$4:$I$1203,'GBD estimates'!$C$4:$C$1203=AG$2,'GBD estimates'!$F$4:$F$1203=""Diarrheal diseases"",'GBD estimates'!$E$4:$E$1203=""7-27 days"")"),245.947013)</f>
        <v>245.947013</v>
      </c>
      <c r="AH104" s="634">
        <f>IFERROR(__xludf.DUMMYFUNCTION("FILTER('GBD estimates'!$I$4:$I$1203,'GBD estimates'!$C$4:$C$1203=AH$2,'GBD estimates'!$F$4:$F$1203=""Diarrheal diseases"",'GBD estimates'!$E$4:$E$1203=""7-27 days"")"),1175.762003)</f>
        <v>1175.762003</v>
      </c>
      <c r="AI104" s="634">
        <f>IFERROR(__xludf.DUMMYFUNCTION("FILTER('GBD estimates'!$I$4:$I$1203,'GBD estimates'!$C$4:$C$1203=AI$2,'GBD estimates'!$F$4:$F$1203=""Diarrheal diseases"",'GBD estimates'!$E$4:$E$1203=""7-27 days"")"),203.8362527)</f>
        <v>203.8362527</v>
      </c>
      <c r="AJ104" s="423">
        <f>IFERROR(__xludf.DUMMYFUNCTION("FILTER('GBD estimates'!$I$4:$I$1203,'GBD estimates'!$C$4:$C$1203=AJ$2,'GBD estimates'!$F$4:$F$1203=""Diarrheal diseases"",'GBD estimates'!$E$4:$E$1203=""7-27 days"")"),257.4193881)</f>
        <v>257.4193881</v>
      </c>
      <c r="AK104" s="516"/>
      <c r="AL104" s="555" t="s">
        <v>233</v>
      </c>
      <c r="AM104" s="518"/>
    </row>
    <row r="105">
      <c r="A105" s="477"/>
      <c r="B105" s="102"/>
      <c r="C105" s="130"/>
      <c r="D105" s="130"/>
      <c r="E105" s="498" t="s">
        <v>373</v>
      </c>
      <c r="F105" s="176" t="s">
        <v>101</v>
      </c>
      <c r="G105" s="499" t="s">
        <v>213</v>
      </c>
      <c r="H105" s="500" t="s">
        <v>165</v>
      </c>
      <c r="I105" s="612">
        <f>IFERROR(__xludf.DUMMYFUNCTION("FILTER('GBD estimates'!$I$4:$I$1203,'GBD estimates'!$C$4:$C$1203=I$2,'GBD estimates'!$F$4:$F$1203=""Diarrheal diseases"",'GBD estimates'!$E$4:$E$1203=""28-364 days"")"),4166.392215)</f>
        <v>4166.392215</v>
      </c>
      <c r="J105" s="612">
        <f>IFERROR(__xludf.DUMMYFUNCTION("FILTER('GBD estimates'!$I$4:$I$1203,'GBD estimates'!$C$4:$C$1203=J$2,'GBD estimates'!$F$4:$F$1203=""Diarrheal diseases"",'GBD estimates'!$E$4:$E$1203=""28-364 days"")"),6046.204418)</f>
        <v>6046.204418</v>
      </c>
      <c r="K105" s="612">
        <f>IFERROR(__xludf.DUMMYFUNCTION("FILTER('GBD estimates'!$I$4:$I$1203,'GBD estimates'!$C$4:$C$1203=K$2,'GBD estimates'!$F$4:$F$1203=""Diarrheal diseases"",'GBD estimates'!$E$4:$E$1203=""28-364 days"")"),1429.618315)</f>
        <v>1429.618315</v>
      </c>
      <c r="L105" s="612">
        <f>IFERROR(__xludf.DUMMYFUNCTION("FILTER('GBD estimates'!$I$4:$I$1203,'GBD estimates'!$C$4:$C$1203=L$2,'GBD estimates'!$F$4:$F$1203=""Diarrheal diseases"",'GBD estimates'!$E$4:$E$1203=""28-364 days"")"),10035.0135)</f>
        <v>10035.0135</v>
      </c>
      <c r="M105" s="612">
        <f>IFERROR(__xludf.DUMMYFUNCTION("FILTER('GBD estimates'!$I$4:$I$1203,'GBD estimates'!$C$4:$C$1203=M$2,'GBD estimates'!$F$4:$F$1203=""Diarrheal diseases"",'GBD estimates'!$E$4:$E$1203=""28-364 days"")"),1141.932824)</f>
        <v>1141.932824</v>
      </c>
      <c r="N105" s="612">
        <f>IFERROR(__xludf.DUMMYFUNCTION("FILTER('GBD estimates'!$I$4:$I$1203,'GBD estimates'!$C$4:$C$1203=N$2,'GBD estimates'!$F$4:$F$1203=""Diarrheal diseases"",'GBD estimates'!$E$4:$E$1203=""28-364 days"")"),3915.73998)</f>
        <v>3915.73998</v>
      </c>
      <c r="O105" s="612">
        <f>IFERROR(__xludf.DUMMYFUNCTION("FILTER('GBD estimates'!$I$4:$I$1203,'GBD estimates'!$C$4:$C$1203=O$2,'GBD estimates'!$F$4:$F$1203=""Diarrheal diseases"",'GBD estimates'!$E$4:$E$1203=""28-364 days"")"),5187.831972)</f>
        <v>5187.831972</v>
      </c>
      <c r="P105" s="612">
        <f>IFERROR(__xludf.DUMMYFUNCTION("FILTER('GBD estimates'!$I$4:$I$1203,'GBD estimates'!$C$4:$C$1203=P$2,'GBD estimates'!$F$4:$F$1203=""Diarrheal diseases"",'GBD estimates'!$E$4:$E$1203=""28-364 days"")"),2834.217454)</f>
        <v>2834.217454</v>
      </c>
      <c r="Q105" s="612">
        <f>IFERROR(__xludf.DUMMYFUNCTION("FILTER('GBD estimates'!$I$4:$I$1203,'GBD estimates'!$C$4:$C$1203=Q$2,'GBD estimates'!$F$4:$F$1203=""Diarrheal diseases"",'GBD estimates'!$E$4:$E$1203=""28-364 days"")"),8339.273184)</f>
        <v>8339.273184</v>
      </c>
      <c r="R105" s="612">
        <f>IFERROR(__xludf.DUMMYFUNCTION("FILTER('GBD estimates'!$AF$4:$AF$1203,'GBD estimates'!$AA$4:$AA$1203=R$3,'GBD estimates'!$X$4:$X$1203=""Diarrheal diseases"",'GBD estimates'!$Z$4:$Z$1203=""28 to 364 days (post neonatal)"")"),864.7450087)</f>
        <v>864.7450087</v>
      </c>
      <c r="S105" s="612">
        <f>IFERROR(__xludf.DUMMYFUNCTION("FILTER('GBD estimates'!$AF$4:$AF$1203,'GBD estimates'!$AA$4:$AA$1203=S$3,'GBD estimates'!$X$4:$X$1203=""Diarrheal diseases"",'GBD estimates'!$Z$4:$Z$1203=""28 to 364 days (post neonatal)"")"),139.4161985)</f>
        <v>139.4161985</v>
      </c>
      <c r="T105" s="612">
        <f>IFERROR(__xludf.DUMMYFUNCTION("FILTER('GBD estimates'!$AF$4:$AF$1203,'GBD estimates'!$AA$4:$AA$1203=T$3,'GBD estimates'!$X$4:$X$1203=""Diarrheal diseases"",'GBD estimates'!$Z$4:$Z$1203=""28 to 364 days (post neonatal)"")"),315.2501924)</f>
        <v>315.2501924</v>
      </c>
      <c r="U105" s="612">
        <f>IFERROR(__xludf.DUMMYFUNCTION("FILTER('GBD estimates'!$AF$4:$AF$1203,'GBD estimates'!$AA$4:$AA$1203=U$3,'GBD estimates'!$X$4:$X$1203=""Diarrheal diseases"",'GBD estimates'!$Z$4:$Z$1203=""28 to 364 days (post neonatal)"")"),1457.282354)</f>
        <v>1457.282354</v>
      </c>
      <c r="V105" s="612">
        <f>IFERROR(__xludf.DUMMYFUNCTION("FILTER('GBD estimates'!$AF$4:$AF$1203,'GBD estimates'!$AA$4:$AA$1203=V$3,'GBD estimates'!$X$4:$X$1203=""Diarrheal diseases"",'GBD estimates'!$Z$4:$Z$1203=""28 to 364 days (post neonatal)"")"),491.3626913)</f>
        <v>491.3626913</v>
      </c>
      <c r="W105" s="612">
        <f>IFERROR(__xludf.DUMMYFUNCTION("FILTER('GBD estimates'!$AF$4:$AF$1203,'GBD estimates'!$AA$4:$AA$1203=W$3,'GBD estimates'!$X$4:$X$1203=""Diarrheal diseases"",'GBD estimates'!$Z$4:$Z$1203=""28 to 364 days (post neonatal)"")"),459.6910012)</f>
        <v>459.6910012</v>
      </c>
      <c r="X105" s="612">
        <f>IFERROR(__xludf.DUMMYFUNCTION("FILTER('GBD estimates'!$AF$4:$AF$1203,'GBD estimates'!$AA$4:$AA$1203=X$3,'GBD estimates'!$X$4:$X$1203=""Diarrheal diseases"",'GBD estimates'!$Z$4:$Z$1203=""28 to 364 days (post neonatal)"")"),295.2342368)</f>
        <v>295.2342368</v>
      </c>
      <c r="Y105" s="612">
        <f>IFERROR(__xludf.DUMMYFUNCTION("FILTER('GBD estimates'!$AF$4:$AF$1203,'GBD estimates'!$AA$4:$AA$1203=Y$3,'GBD estimates'!$X$4:$X$1203=""Diarrheal diseases"",'GBD estimates'!$Z$4:$Z$1203=""28 to 364 days (post neonatal)"")"),136.2337778)</f>
        <v>136.2337778</v>
      </c>
      <c r="Z105" s="612">
        <f>IFERROR(__xludf.DUMMYFUNCTION("FILTER('GBD estimates'!$AF$4:$AF$1203,'GBD estimates'!$AA$4:$AA$1203=Z$3,'GBD estimates'!$X$4:$X$1203=""Diarrheal diseases"",'GBD estimates'!$Z$4:$Z$1203=""28 to 364 days (post neonatal)"")"),426.6946491)</f>
        <v>426.6946491</v>
      </c>
      <c r="AA105" s="612">
        <f>IFERROR(__xludf.DUMMYFUNCTION("FILTER('GBD estimates'!$AF$4:$AF$1203,'GBD estimates'!$AA$4:$AA$1203=AA$3,'GBD estimates'!$X$4:$X$1203=""Diarrheal diseases"",'GBD estimates'!$Z$4:$Z$1203=""28 to 364 days (post neonatal)"")"),190.850842)</f>
        <v>190.850842</v>
      </c>
      <c r="AB105" s="612">
        <f>IFERROR(__xludf.DUMMYFUNCTION("FILTER('GBD estimates'!$AF$4:$AF$1203,'GBD estimates'!$AA$4:$AA$1203=AB$3,'GBD estimates'!$X$4:$X$1203=""Diarrheal diseases"",'GBD estimates'!$Z$4:$Z$1203=""28 to 364 days (post neonatal)"")"),796.09716)</f>
        <v>796.09716</v>
      </c>
      <c r="AC105" s="612">
        <f>IFERROR(__xludf.DUMMYFUNCTION("FILTER('GBD estimates'!$AF$4:$AF$1203,'GBD estimates'!$AA$4:$AA$1203=AC$3,'GBD estimates'!$X$4:$X$1203=""Diarrheal diseases"",'GBD estimates'!$Z$4:$Z$1203=""28 to 364 days (post neonatal)"")"),1165.234307)</f>
        <v>1165.234307</v>
      </c>
      <c r="AD105" s="612">
        <f>IFERROR(__xludf.DUMMYFUNCTION("FILTER('GBD estimates'!$AF$4:$AF$1203,'GBD estimates'!$AA$4:$AA$1203=AD$3,'GBD estimates'!$X$4:$X$1203=""Diarrheal diseases"",'GBD estimates'!$Z$4:$Z$1203=""28 to 364 days (post neonatal)"")"),189.1959992)</f>
        <v>189.1959992</v>
      </c>
      <c r="AE105" s="612">
        <f>IFERROR(__xludf.DUMMYFUNCTION("FILTER('GBD estimates'!$AF$4:$AF$1203,'GBD estimates'!$AA$4:$AA$1203=AE$3,'GBD estimates'!$X$4:$X$1203=""Diarrheal diseases"",'GBD estimates'!$Z$4:$Z$1203=""28 to 364 days (post neonatal)"")"),381.2421014)</f>
        <v>381.2421014</v>
      </c>
      <c r="AF105" s="612">
        <f>IFERROR(__xludf.DUMMYFUNCTION("FILTER('GBD estimates'!$AF$4:$AF$1203,'GBD estimates'!$AA$4:$AA$1203=AF$3,'GBD estimates'!$X$4:$X$1203=""Diarrheal diseases"",'GBD estimates'!$Z$4:$Z$1203=""28 to 364 days (post neonatal)"")"),2509.647553)</f>
        <v>2509.647553</v>
      </c>
      <c r="AG105" s="663">
        <f>IFERROR(__xludf.DUMMYFUNCTION("FILTER('GBD estimates'!$I$4:$I$1203,'GBD estimates'!$C$4:$C$1203=AG$2,'GBD estimates'!$F$4:$F$1203=""Diarrheal diseases"",'GBD estimates'!$E$4:$E$1203=""28-364 days"")"),3774.418903)</f>
        <v>3774.418903</v>
      </c>
      <c r="AH105" s="612">
        <f>IFERROR(__xludf.DUMMYFUNCTION("FILTER('GBD estimates'!$I$4:$I$1203,'GBD estimates'!$C$4:$C$1203=AH$2,'GBD estimates'!$F$4:$F$1203=""Diarrheal diseases"",'GBD estimates'!$E$4:$E$1203=""28-364 days"")"),10890.02466)</f>
        <v>10890.02466</v>
      </c>
      <c r="AI105" s="612">
        <f>IFERROR(__xludf.DUMMYFUNCTION("FILTER('GBD estimates'!$I$4:$I$1203,'GBD estimates'!$C$4:$C$1203=AI$2,'GBD estimates'!$F$4:$F$1203=""Diarrheal diseases"",'GBD estimates'!$E$4:$E$1203=""28-364 days"")"),1665.837634)</f>
        <v>1665.837634</v>
      </c>
      <c r="AJ105" s="664">
        <f>IFERROR(__xludf.DUMMYFUNCTION("FILTER('GBD estimates'!$I$4:$I$1203,'GBD estimates'!$C$4:$C$1203=AJ$2,'GBD estimates'!$F$4:$F$1203=""Diarrheal diseases"",'GBD estimates'!$E$4:$E$1203=""28-364 days"")"),2144.982486)</f>
        <v>2144.982486</v>
      </c>
      <c r="AK105" s="505"/>
      <c r="AL105" s="560" t="s">
        <v>233</v>
      </c>
      <c r="AM105" s="507"/>
    </row>
    <row r="106">
      <c r="A106" s="477"/>
      <c r="B106" s="102"/>
      <c r="C106" s="130"/>
      <c r="D106" s="130"/>
      <c r="E106" s="525"/>
      <c r="F106" s="132"/>
      <c r="G106" s="155"/>
      <c r="H106" s="478"/>
      <c r="I106" s="479"/>
      <c r="J106" s="479"/>
      <c r="K106" s="479"/>
      <c r="L106" s="479"/>
      <c r="M106" s="479"/>
      <c r="N106" s="479"/>
      <c r="O106" s="479"/>
      <c r="P106" s="479"/>
      <c r="Q106" s="479"/>
      <c r="R106" s="479"/>
      <c r="S106" s="479"/>
      <c r="T106" s="479"/>
      <c r="U106" s="479"/>
      <c r="V106" s="479"/>
      <c r="W106" s="479"/>
      <c r="X106" s="479"/>
      <c r="Y106" s="479"/>
      <c r="Z106" s="479"/>
      <c r="AA106" s="479"/>
      <c r="AB106" s="479"/>
      <c r="AC106" s="479"/>
      <c r="AD106" s="479"/>
      <c r="AE106" s="479"/>
      <c r="AF106" s="479"/>
      <c r="AG106" s="480"/>
      <c r="AH106" s="479"/>
      <c r="AI106" s="479"/>
      <c r="AJ106" s="481"/>
      <c r="AK106" s="482"/>
      <c r="AL106" s="483"/>
      <c r="AM106" s="484"/>
    </row>
    <row r="107">
      <c r="A107" s="477"/>
      <c r="B107" s="102"/>
      <c r="C107" s="203" t="s">
        <v>377</v>
      </c>
      <c r="F107" s="132"/>
      <c r="G107" s="155"/>
      <c r="H107" s="478"/>
      <c r="I107" s="479"/>
      <c r="J107" s="479"/>
      <c r="K107" s="479"/>
      <c r="L107" s="479"/>
      <c r="M107" s="479"/>
      <c r="N107" s="479"/>
      <c r="O107" s="479"/>
      <c r="P107" s="479"/>
      <c r="Q107" s="479"/>
      <c r="R107" s="479"/>
      <c r="S107" s="479"/>
      <c r="T107" s="479"/>
      <c r="U107" s="479"/>
      <c r="V107" s="479"/>
      <c r="W107" s="479"/>
      <c r="X107" s="479"/>
      <c r="Y107" s="479"/>
      <c r="Z107" s="479"/>
      <c r="AA107" s="479"/>
      <c r="AB107" s="479"/>
      <c r="AC107" s="479"/>
      <c r="AD107" s="479"/>
      <c r="AE107" s="479"/>
      <c r="AF107" s="479"/>
      <c r="AG107" s="480"/>
      <c r="AH107" s="479"/>
      <c r="AI107" s="479"/>
      <c r="AJ107" s="481"/>
      <c r="AK107" s="482"/>
      <c r="AL107" s="483"/>
      <c r="AM107" s="484"/>
    </row>
    <row r="108">
      <c r="A108" s="477"/>
      <c r="B108" s="102"/>
      <c r="C108" s="203"/>
      <c r="D108" s="203"/>
      <c r="E108" s="683" t="s">
        <v>378</v>
      </c>
      <c r="F108" s="114" t="s">
        <v>101</v>
      </c>
      <c r="G108" s="255" t="s">
        <v>213</v>
      </c>
      <c r="H108" s="487" t="s">
        <v>165</v>
      </c>
      <c r="I108" s="624">
        <f>IFERROR(__xludf.DUMMYFUNCTION("FILTER('GBD estimates'!$I$4:$I$1203,'GBD estimates'!$C$4:$C$1203=I$2,'GBD estimates'!$F$4:$F$1203=""Communicable, maternal, neonatal, and nutritional diseases"",'GBD estimates'!$E$4:$E$1203=""&lt;5 years"")"),78851.1003)</f>
        <v>78851.1003</v>
      </c>
      <c r="J108" s="624">
        <f>IFERROR(__xludf.DUMMYFUNCTION("FILTER('GBD estimates'!$I$4:$I$1203,'GBD estimates'!$C$4:$C$1203=J$2,'GBD estimates'!$F$4:$F$1203=""Communicable, maternal, neonatal, and nutritional diseases"",'GBD estimates'!$E$4:$E$1203=""&lt;5 years"")"),55800.17046)</f>
        <v>55800.17046</v>
      </c>
      <c r="K108" s="624">
        <f>IFERROR(__xludf.DUMMYFUNCTION("FILTER('GBD estimates'!$I$4:$I$1203,'GBD estimates'!$C$4:$C$1203=K$2,'GBD estimates'!$F$4:$F$1203=""Communicable, maternal, neonatal, and nutritional diseases"",'GBD estimates'!$E$4:$E$1203=""&lt;5 years"")"),57297.85472)</f>
        <v>57297.85472</v>
      </c>
      <c r="L108" s="624">
        <f>IFERROR(__xludf.DUMMYFUNCTION("FILTER('GBD estimates'!$I$4:$I$1203,'GBD estimates'!$C$4:$C$1203=L$2,'GBD estimates'!$F$4:$F$1203=""Communicable, maternal, neonatal, and nutritional diseases"",'GBD estimates'!$E$4:$E$1203=""&lt;5 years"")"),146985.756)</f>
        <v>146985.756</v>
      </c>
      <c r="M108" s="624">
        <f>IFERROR(__xludf.DUMMYFUNCTION("FILTER('GBD estimates'!$I$4:$I$1203,'GBD estimates'!$C$4:$C$1203=M$2,'GBD estimates'!$F$4:$F$1203=""Communicable, maternal, neonatal, and nutritional diseases"",'GBD estimates'!$E$4:$E$1203=""&lt;5 years"")"),38803.1646)</f>
        <v>38803.1646</v>
      </c>
      <c r="N108" s="624">
        <f>IFERROR(__xludf.DUMMYFUNCTION("FILTER('GBD estimates'!$I$4:$I$1203,'GBD estimates'!$C$4:$C$1203=N$2,'GBD estimates'!$F$4:$F$1203=""Communicable, maternal, neonatal, and nutritional diseases"",'GBD estimates'!$E$4:$E$1203=""&lt;5 years"")"),47856.04109)</f>
        <v>47856.04109</v>
      </c>
      <c r="O108" s="624">
        <f>IFERROR(__xludf.DUMMYFUNCTION("FILTER('GBD estimates'!$I$4:$I$1203,'GBD estimates'!$C$4:$C$1203=O$2,'GBD estimates'!$F$4:$F$1203=""Communicable, maternal, neonatal, and nutritional diseases"",'GBD estimates'!$E$4:$E$1203=""&lt;5 years"")"),42879.61451)</f>
        <v>42879.61451</v>
      </c>
      <c r="P108" s="624">
        <f>IFERROR(__xludf.DUMMYFUNCTION("FILTER('GBD estimates'!$I$4:$I$1203,'GBD estimates'!$C$4:$C$1203=P$2,'GBD estimates'!$F$4:$F$1203=""Communicable, maternal, neonatal, and nutritional diseases"",'GBD estimates'!$E$4:$E$1203=""&lt;5 years"")"),94761.37082)</f>
        <v>94761.37082</v>
      </c>
      <c r="Q108" s="624">
        <f>IFERROR(__xludf.DUMMYFUNCTION("FILTER('GBD estimates'!$I$4:$I$1203,'GBD estimates'!$C$4:$C$1203=Q$2,'GBD estimates'!$F$4:$F$1203=""Communicable, maternal, neonatal, and nutritional diseases"",'GBD estimates'!$E$4:$E$1203=""&lt;5 years"")"),106319.1525)</f>
        <v>106319.1525</v>
      </c>
      <c r="R108" s="624">
        <f>IFERROR(__xludf.DUMMYFUNCTION("FILTER('GBD estimates'!$AF$4:$AF$1203,'GBD estimates'!$AA$4:$AA$1203=R$3,'GBD estimates'!$X$4:$X$1203=""Communicable, maternal, neonatal, and nutritional diseases"",'GBD estimates'!$Z$4:$Z$1203=""Under 5"")"),12131.5791)</f>
        <v>12131.5791</v>
      </c>
      <c r="S108" s="624">
        <f>IFERROR(__xludf.DUMMYFUNCTION("FILTER('GBD estimates'!$AF$4:$AF$1203,'GBD estimates'!$AA$4:$AA$1203=S$3,'GBD estimates'!$X$4:$X$1203=""Communicable, maternal, neonatal, and nutritional diseases"",'GBD estimates'!$Z$4:$Z$1203=""Under 5"")"),3191.557343)</f>
        <v>3191.557343</v>
      </c>
      <c r="T108" s="624">
        <f>IFERROR(__xludf.DUMMYFUNCTION("FILTER('GBD estimates'!$AF$4:$AF$1203,'GBD estimates'!$AA$4:$AA$1203=T$3,'GBD estimates'!$X$4:$X$1203=""Communicable, maternal, neonatal, and nutritional diseases"",'GBD estimates'!$Z$4:$Z$1203=""Under 5"")"),7142.110275)</f>
        <v>7142.110275</v>
      </c>
      <c r="U108" s="624">
        <f>IFERROR(__xludf.DUMMYFUNCTION("FILTER('GBD estimates'!$AF$4:$AF$1203,'GBD estimates'!$AA$4:$AA$1203=U$3,'GBD estimates'!$X$4:$X$1203=""Communicable, maternal, neonatal, and nutritional diseases"",'GBD estimates'!$Z$4:$Z$1203=""Under 5"")"),23702.07949)</f>
        <v>23702.07949</v>
      </c>
      <c r="V108" s="624">
        <f>IFERROR(__xludf.DUMMYFUNCTION("FILTER('GBD estimates'!$AF$4:$AF$1203,'GBD estimates'!$AA$4:$AA$1203=V$3,'GBD estimates'!$X$4:$X$1203=""Communicable, maternal, neonatal, and nutritional diseases"",'GBD estimates'!$Z$4:$Z$1203=""Under 5"")"),6913.635617)</f>
        <v>6913.635617</v>
      </c>
      <c r="W108" s="624">
        <f>IFERROR(__xludf.DUMMYFUNCTION("FILTER('GBD estimates'!$AF$4:$AF$1203,'GBD estimates'!$AA$4:$AA$1203=W$3,'GBD estimates'!$X$4:$X$1203=""Communicable, maternal, neonatal, and nutritional diseases"",'GBD estimates'!$Z$4:$Z$1203=""Under 5"")"),6993.988801)</f>
        <v>6993.988801</v>
      </c>
      <c r="X108" s="624">
        <f>IFERROR(__xludf.DUMMYFUNCTION("FILTER('GBD estimates'!$AF$4:$AF$1203,'GBD estimates'!$AA$4:$AA$1203=X$3,'GBD estimates'!$X$4:$X$1203=""Communicable, maternal, neonatal, and nutritional diseases"",'GBD estimates'!$Z$4:$Z$1203=""Under 5"")"),4812.805935)</f>
        <v>4812.805935</v>
      </c>
      <c r="Y108" s="624">
        <f>IFERROR(__xludf.DUMMYFUNCTION("FILTER('GBD estimates'!$AF$4:$AF$1203,'GBD estimates'!$AA$4:$AA$1203=Y$3,'GBD estimates'!$X$4:$X$1203=""Communicable, maternal, neonatal, and nutritional diseases"",'GBD estimates'!$Z$4:$Z$1203=""Under 5"")"),2368.286167)</f>
        <v>2368.286167</v>
      </c>
      <c r="Z108" s="624">
        <f>IFERROR(__xludf.DUMMYFUNCTION("FILTER('GBD estimates'!$AF$4:$AF$1203,'GBD estimates'!$AA$4:$AA$1203=Z$3,'GBD estimates'!$X$4:$X$1203=""Communicable, maternal, neonatal, and nutritional diseases"",'GBD estimates'!$Z$4:$Z$1203=""Under 5"")"),10489.90213)</f>
        <v>10489.90213</v>
      </c>
      <c r="AA108" s="624">
        <f>IFERROR(__xludf.DUMMYFUNCTION("FILTER('GBD estimates'!$AF$4:$AF$1203,'GBD estimates'!$AA$4:$AA$1203=AA$3,'GBD estimates'!$X$4:$X$1203=""Communicable, maternal, neonatal, and nutritional diseases"",'GBD estimates'!$Z$4:$Z$1203=""Under 5"")"),3246.562606)</f>
        <v>3246.562606</v>
      </c>
      <c r="AB108" s="624">
        <f>IFERROR(__xludf.DUMMYFUNCTION("FILTER('GBD estimates'!$AF$4:$AF$1203,'GBD estimates'!$AA$4:$AA$1203=AB$3,'GBD estimates'!$X$4:$X$1203=""Communicable, maternal, neonatal, and nutritional diseases"",'GBD estimates'!$Z$4:$Z$1203=""Under 5"")"),11638.50733)</f>
        <v>11638.50733</v>
      </c>
      <c r="AC108" s="624">
        <f>IFERROR(__xludf.DUMMYFUNCTION("FILTER('GBD estimates'!$AF$4:$AF$1203,'GBD estimates'!$AA$4:$AA$1203=AC$3,'GBD estimates'!$X$4:$X$1203=""Communicable, maternal, neonatal, and nutritional diseases"",'GBD estimates'!$Z$4:$Z$1203=""Under 5"")"),18287.14449)</f>
        <v>18287.14449</v>
      </c>
      <c r="AD108" s="624">
        <f>IFERROR(__xludf.DUMMYFUNCTION("FILTER('GBD estimates'!$AF$4:$AF$1203,'GBD estimates'!$AA$4:$AA$1203=AD$3,'GBD estimates'!$X$4:$X$1203=""Communicable, maternal, neonatal, and nutritional diseases"",'GBD estimates'!$Z$4:$Z$1203=""Under 5"")"),4113.554881)</f>
        <v>4113.554881</v>
      </c>
      <c r="AE108" s="624">
        <f>IFERROR(__xludf.DUMMYFUNCTION("FILTER('GBD estimates'!$AF$4:$AF$1203,'GBD estimates'!$AA$4:$AA$1203=AE$3,'GBD estimates'!$X$4:$X$1203=""Communicable, maternal, neonatal, and nutritional diseases"",'GBD estimates'!$Z$4:$Z$1203=""Under 5"")"),6066.608993)</f>
        <v>6066.608993</v>
      </c>
      <c r="AF108" s="624">
        <f>IFERROR(__xludf.DUMMYFUNCTION("FILTER('GBD estimates'!$AF$4:$AF$1203,'GBD estimates'!$AA$4:$AA$1203=AF$3,'GBD estimates'!$X$4:$X$1203=""Communicable, maternal, neonatal, and nutritional diseases"",'GBD estimates'!$Z$4:$Z$1203=""Under 5"")"),29686.59996)</f>
        <v>29686.59996</v>
      </c>
      <c r="AG108" s="630">
        <f>IFERROR(__xludf.DUMMYFUNCTION("FILTER('GBD estimates'!$I$4:$I$1203,'GBD estimates'!$C$4:$C$1203=AG$2,'GBD estimates'!$F$4:$F$1203=""Communicable, maternal, neonatal, and nutritional diseases"",'GBD estimates'!$E$4:$E$1203=""&lt;5 years"")"),49719.73799)</f>
        <v>49719.73799</v>
      </c>
      <c r="AH108" s="624">
        <f>IFERROR(__xludf.DUMMYFUNCTION("FILTER('GBD estimates'!$I$4:$I$1203,'GBD estimates'!$C$4:$C$1203=AH$2,'GBD estimates'!$F$4:$F$1203=""Communicable, maternal, neonatal, and nutritional diseases"",'GBD estimates'!$E$4:$E$1203=""&lt;5 years"")"),76345.82075)</f>
        <v>76345.82075</v>
      </c>
      <c r="AI108" s="624">
        <f>IFERROR(__xludf.DUMMYFUNCTION("FILTER('GBD estimates'!$I$4:$I$1203,'GBD estimates'!$C$4:$C$1203=AI$2,'GBD estimates'!$F$4:$F$1203=""Communicable, maternal, neonatal, and nutritional diseases"",'GBD estimates'!$E$4:$E$1203=""&lt;5 years"")"),13360.25023)</f>
        <v>13360.25023</v>
      </c>
      <c r="AJ108" s="633">
        <f>IFERROR(__xludf.DUMMYFUNCTION("FILTER('GBD estimates'!$I$4:$I$1203,'GBD estimates'!$C$4:$C$1203=AJ$2,'GBD estimates'!$F$4:$F$1203=""Communicable, maternal, neonatal, and nutritional diseases"",'GBD estimates'!$E$4:$E$1203=""&lt;5 years"")"),79959.29327)</f>
        <v>79959.29327</v>
      </c>
      <c r="AK108" s="492"/>
      <c r="AL108" s="553" t="s">
        <v>233</v>
      </c>
      <c r="AM108" s="497"/>
    </row>
    <row r="109">
      <c r="A109" s="477"/>
      <c r="B109" s="102"/>
      <c r="C109" s="203"/>
      <c r="D109" s="203"/>
      <c r="E109" s="685" t="s">
        <v>386</v>
      </c>
      <c r="F109" s="145" t="s">
        <v>101</v>
      </c>
      <c r="G109" s="435" t="s">
        <v>213</v>
      </c>
      <c r="H109" s="511" t="s">
        <v>165</v>
      </c>
      <c r="I109" s="634">
        <f>IFERROR(__xludf.DUMMYFUNCTION("FILTER('GBD estimates'!$I$4:$I$1203,'GBD estimates'!$C$4:$C$1203=I$2,'GBD estimates'!$F$4:$F$1203=""Communicable, maternal, neonatal, and nutritional diseases"",'GBD estimates'!$E$4:$E$1203=""0-6 days"")"),17929.3449)</f>
        <v>17929.3449</v>
      </c>
      <c r="J109" s="634">
        <f>IFERROR(__xludf.DUMMYFUNCTION("FILTER('GBD estimates'!$I$4:$I$1203,'GBD estimates'!$C$4:$C$1203=J$2,'GBD estimates'!$F$4:$F$1203=""Communicable, maternal, neonatal, and nutritional diseases"",'GBD estimates'!$E$4:$E$1203=""0-6 days"")"),15658.22488)</f>
        <v>15658.22488</v>
      </c>
      <c r="K109" s="634">
        <f>IFERROR(__xludf.DUMMYFUNCTION("FILTER('GBD estimates'!$I$4:$I$1203,'GBD estimates'!$C$4:$C$1203=K$2,'GBD estimates'!$F$4:$F$1203=""Communicable, maternal, neonatal, and nutritional diseases"",'GBD estimates'!$E$4:$E$1203=""0-6 days"")"),23250.27761)</f>
        <v>23250.27761</v>
      </c>
      <c r="L109" s="634">
        <f>IFERROR(__xludf.DUMMYFUNCTION("FILTER('GBD estimates'!$I$4:$I$1203,'GBD estimates'!$C$4:$C$1203=L$2,'GBD estimates'!$F$4:$F$1203=""Communicable, maternal, neonatal, and nutritional diseases"",'GBD estimates'!$E$4:$E$1203=""0-6 days"")"),47864.25272)</f>
        <v>47864.25272</v>
      </c>
      <c r="M109" s="634">
        <f>IFERROR(__xludf.DUMMYFUNCTION("FILTER('GBD estimates'!$I$4:$I$1203,'GBD estimates'!$C$4:$C$1203=M$2,'GBD estimates'!$F$4:$F$1203=""Communicable, maternal, neonatal, and nutritional diseases"",'GBD estimates'!$E$4:$E$1203=""0-6 days"")"),10088.26102)</f>
        <v>10088.26102</v>
      </c>
      <c r="N109" s="634">
        <f>IFERROR(__xludf.DUMMYFUNCTION("FILTER('GBD estimates'!$I$4:$I$1203,'GBD estimates'!$C$4:$C$1203=N$2,'GBD estimates'!$F$4:$F$1203=""Communicable, maternal, neonatal, and nutritional diseases"",'GBD estimates'!$E$4:$E$1203=""0-6 days"")"),18877.20305)</f>
        <v>18877.20305</v>
      </c>
      <c r="O109" s="634">
        <f>IFERROR(__xludf.DUMMYFUNCTION("FILTER('GBD estimates'!$I$4:$I$1203,'GBD estimates'!$C$4:$C$1203=O$2,'GBD estimates'!$F$4:$F$1203=""Communicable, maternal, neonatal, and nutritional diseases"",'GBD estimates'!$E$4:$E$1203=""0-6 days"")"),14513.51656)</f>
        <v>14513.51656</v>
      </c>
      <c r="P109" s="634">
        <f>IFERROR(__xludf.DUMMYFUNCTION("FILTER('GBD estimates'!$I$4:$I$1203,'GBD estimates'!$C$4:$C$1203=P$2,'GBD estimates'!$F$4:$F$1203=""Communicable, maternal, neonatal, and nutritional diseases"",'GBD estimates'!$E$4:$E$1203=""0-6 days"")"),29206.62819)</f>
        <v>29206.62819</v>
      </c>
      <c r="Q109" s="634">
        <f>IFERROR(__xludf.DUMMYFUNCTION("FILTER('GBD estimates'!$I$4:$I$1203,'GBD estimates'!$C$4:$C$1203=Q$2,'GBD estimates'!$F$4:$F$1203=""Communicable, maternal, neonatal, and nutritional diseases"",'GBD estimates'!$E$4:$E$1203=""0-6 days"")"),21199.59032)</f>
        <v>21199.59032</v>
      </c>
      <c r="R109" s="634">
        <f>IFERROR(__xludf.DUMMYFUNCTION("FILTER('GBD estimates'!$AF$4:$AF$1203,'GBD estimates'!$AA$4:$AA$1203=R$3,'GBD estimates'!$X$4:$X$1203=""Communicable, maternal, neonatal, and nutritional diseases"",'GBD estimates'!$Z$4:$Z$1203=""0 to 6 days (early neonatal)"")"),3535.385867)</f>
        <v>3535.385867</v>
      </c>
      <c r="S109" s="634">
        <f>IFERROR(__xludf.DUMMYFUNCTION("FILTER('GBD estimates'!$AF$4:$AF$1203,'GBD estimates'!$AA$4:$AA$1203=S$3,'GBD estimates'!$X$4:$X$1203=""Communicable, maternal, neonatal, and nutritional diseases"",'GBD estimates'!$Z$4:$Z$1203=""0 to 6 days (early neonatal)"")"),1223.261877)</f>
        <v>1223.261877</v>
      </c>
      <c r="T109" s="634">
        <f>IFERROR(__xludf.DUMMYFUNCTION("FILTER('GBD estimates'!$AF$4:$AF$1203,'GBD estimates'!$AA$4:$AA$1203=T$3,'GBD estimates'!$X$4:$X$1203=""Communicable, maternal, neonatal, and nutritional diseases"",'GBD estimates'!$Z$4:$Z$1203=""0 to 6 days (early neonatal)"")"),3189.001908)</f>
        <v>3189.001908</v>
      </c>
      <c r="U109" s="634">
        <f>IFERROR(__xludf.DUMMYFUNCTION("FILTER('GBD estimates'!$AF$4:$AF$1203,'GBD estimates'!$AA$4:$AA$1203=U$3,'GBD estimates'!$X$4:$X$1203=""Communicable, maternal, neonatal, and nutritional diseases"",'GBD estimates'!$Z$4:$Z$1203=""0 to 6 days (early neonatal)"")"),8320.314551)</f>
        <v>8320.314551</v>
      </c>
      <c r="V109" s="634">
        <f>IFERROR(__xludf.DUMMYFUNCTION("FILTER('GBD estimates'!$AF$4:$AF$1203,'GBD estimates'!$AA$4:$AA$1203=V$3,'GBD estimates'!$X$4:$X$1203=""Communicable, maternal, neonatal, and nutritional diseases"",'GBD estimates'!$Z$4:$Z$1203=""0 to 6 days (early neonatal)"")"),2568.288103)</f>
        <v>2568.288103</v>
      </c>
      <c r="W109" s="634">
        <f>IFERROR(__xludf.DUMMYFUNCTION("FILTER('GBD estimates'!$AF$4:$AF$1203,'GBD estimates'!$AA$4:$AA$1203=W$3,'GBD estimates'!$X$4:$X$1203=""Communicable, maternal, neonatal, and nutritional diseases"",'GBD estimates'!$Z$4:$Z$1203=""0 to 6 days (early neonatal)"")"),2433.354076)</f>
        <v>2433.354076</v>
      </c>
      <c r="X109" s="634">
        <f>IFERROR(__xludf.DUMMYFUNCTION("FILTER('GBD estimates'!$AF$4:$AF$1203,'GBD estimates'!$AA$4:$AA$1203=X$3,'GBD estimates'!$X$4:$X$1203=""Communicable, maternal, neonatal, and nutritional diseases"",'GBD estimates'!$Z$4:$Z$1203=""0 to 6 days (early neonatal)"")"),1971.471576)</f>
        <v>1971.471576</v>
      </c>
      <c r="Y109" s="634">
        <f>IFERROR(__xludf.DUMMYFUNCTION("FILTER('GBD estimates'!$AF$4:$AF$1203,'GBD estimates'!$AA$4:$AA$1203=Y$3,'GBD estimates'!$X$4:$X$1203=""Communicable, maternal, neonatal, and nutritional diseases"",'GBD estimates'!$Z$4:$Z$1203=""0 to 6 days (early neonatal)"")"),897.8366006)</f>
        <v>897.8366006</v>
      </c>
      <c r="Z109" s="634">
        <f>IFERROR(__xludf.DUMMYFUNCTION("FILTER('GBD estimates'!$AF$4:$AF$1203,'GBD estimates'!$AA$4:$AA$1203=Z$3,'GBD estimates'!$X$4:$X$1203=""Communicable, maternal, neonatal, and nutritional diseases"",'GBD estimates'!$Z$4:$Z$1203=""0 to 6 days (early neonatal)"")"),4660.979503)</f>
        <v>4660.979503</v>
      </c>
      <c r="AA109" s="634">
        <f>IFERROR(__xludf.DUMMYFUNCTION("FILTER('GBD estimates'!$AF$4:$AF$1203,'GBD estimates'!$AA$4:$AA$1203=AA$3,'GBD estimates'!$X$4:$X$1203=""Communicable, maternal, neonatal, and nutritional diseases"",'GBD estimates'!$Z$4:$Z$1203=""0 to 6 days (early neonatal)"")"),1368.3101)</f>
        <v>1368.3101</v>
      </c>
      <c r="AB109" s="634">
        <f>IFERROR(__xludf.DUMMYFUNCTION("FILTER('GBD estimates'!$AF$4:$AF$1203,'GBD estimates'!$AA$4:$AA$1203=AB$3,'GBD estimates'!$X$4:$X$1203=""Communicable, maternal, neonatal, and nutritional diseases"",'GBD estimates'!$Z$4:$Z$1203=""0 to 6 days (early neonatal)"")"),4091.97616)</f>
        <v>4091.97616</v>
      </c>
      <c r="AC109" s="634">
        <f>IFERROR(__xludf.DUMMYFUNCTION("FILTER('GBD estimates'!$AF$4:$AF$1203,'GBD estimates'!$AA$4:$AA$1203=AC$3,'GBD estimates'!$X$4:$X$1203=""Communicable, maternal, neonatal, and nutritional diseases"",'GBD estimates'!$Z$4:$Z$1203=""0 to 6 days (early neonatal)"")"),7540.901279)</f>
        <v>7540.901279</v>
      </c>
      <c r="AD109" s="634">
        <f>IFERROR(__xludf.DUMMYFUNCTION("FILTER('GBD estimates'!$AF$4:$AF$1203,'GBD estimates'!$AA$4:$AA$1203=AD$3,'GBD estimates'!$X$4:$X$1203=""Communicable, maternal, neonatal, and nutritional diseases"",'GBD estimates'!$Z$4:$Z$1203=""0 to 6 days (early neonatal)"")"),1899.627952)</f>
        <v>1899.627952</v>
      </c>
      <c r="AE109" s="634">
        <f>IFERROR(__xludf.DUMMYFUNCTION("FILTER('GBD estimates'!$AF$4:$AF$1203,'GBD estimates'!$AA$4:$AA$1203=AE$3,'GBD estimates'!$X$4:$X$1203=""Communicable, maternal, neonatal, and nutritional diseases"",'GBD estimates'!$Z$4:$Z$1203=""0 to 6 days (early neonatal)"")"),2126.167861)</f>
        <v>2126.167861</v>
      </c>
      <c r="AF109" s="634">
        <f>IFERROR(__xludf.DUMMYFUNCTION("FILTER('GBD estimates'!$AF$4:$AF$1203,'GBD estimates'!$AA$4:$AA$1203=AF$3,'GBD estimates'!$X$4:$X$1203=""Communicable, maternal, neonatal, and nutritional diseases"",'GBD estimates'!$Z$4:$Z$1203=""0 to 6 days (early neonatal)"")"),8648.943249)</f>
        <v>8648.943249</v>
      </c>
      <c r="AG109" s="640">
        <f>IFERROR(__xludf.DUMMYFUNCTION("FILTER('GBD estimates'!$I$4:$I$1203,'GBD estimates'!$C$4:$C$1203=AG$2,'GBD estimates'!$F$4:$F$1203=""Communicable, maternal, neonatal, and nutritional diseases"",'GBD estimates'!$E$4:$E$1203=""0-6 days"")"),18925.60143)</f>
        <v>18925.60143</v>
      </c>
      <c r="AH109" s="634">
        <f>IFERROR(__xludf.DUMMYFUNCTION("FILTER('GBD estimates'!$I$4:$I$1203,'GBD estimates'!$C$4:$C$1203=AH$2,'GBD estimates'!$F$4:$F$1203=""Communicable, maternal, neonatal, and nutritional diseases"",'GBD estimates'!$E$4:$E$1203=""0-6 days"")"),18123.89347)</f>
        <v>18123.89347</v>
      </c>
      <c r="AI109" s="634">
        <f>IFERROR(__xludf.DUMMYFUNCTION("FILTER('GBD estimates'!$I$4:$I$1203,'GBD estimates'!$C$4:$C$1203=AI$2,'GBD estimates'!$F$4:$F$1203=""Communicable, maternal, neonatal, and nutritional diseases"",'GBD estimates'!$E$4:$E$1203=""0-6 days"")"),4718.378935)</f>
        <v>4718.378935</v>
      </c>
      <c r="AJ109" s="423">
        <f>IFERROR(__xludf.DUMMYFUNCTION("FILTER('GBD estimates'!$I$4:$I$1203,'GBD estimates'!$C$4:$C$1203=AJ$2,'GBD estimates'!$F$4:$F$1203=""Communicable, maternal, neonatal, and nutritional diseases"",'GBD estimates'!$E$4:$E$1203=""0-6 days"")"),31086.85527)</f>
        <v>31086.85527</v>
      </c>
      <c r="AK109" s="516"/>
      <c r="AL109" s="555" t="s">
        <v>233</v>
      </c>
      <c r="AM109" s="518"/>
    </row>
    <row r="110">
      <c r="A110" s="477"/>
      <c r="B110" s="102"/>
      <c r="C110" s="203"/>
      <c r="D110" s="203"/>
      <c r="E110" s="685" t="s">
        <v>395</v>
      </c>
      <c r="F110" s="145" t="s">
        <v>101</v>
      </c>
      <c r="G110" s="435" t="s">
        <v>213</v>
      </c>
      <c r="H110" s="511" t="s">
        <v>165</v>
      </c>
      <c r="I110" s="634">
        <f>IFERROR(__xludf.DUMMYFUNCTION("FILTER('GBD estimates'!$I$4:$I$1203,'GBD estimates'!$C$4:$C$1203=I$2,'GBD estimates'!$F$4:$F$1203=""Communicable, maternal, neonatal, and nutritional diseases"",'GBD estimates'!$E$4:$E$1203=""7-27 days"")"),5905.479894)</f>
        <v>5905.479894</v>
      </c>
      <c r="J110" s="634">
        <f>IFERROR(__xludf.DUMMYFUNCTION("FILTER('GBD estimates'!$I$4:$I$1203,'GBD estimates'!$C$4:$C$1203=J$2,'GBD estimates'!$F$4:$F$1203=""Communicable, maternal, neonatal, and nutritional diseases"",'GBD estimates'!$E$4:$E$1203=""7-27 days"")"),4182.320652)</f>
        <v>4182.320652</v>
      </c>
      <c r="K110" s="634">
        <f>IFERROR(__xludf.DUMMYFUNCTION("FILTER('GBD estimates'!$I$4:$I$1203,'GBD estimates'!$C$4:$C$1203=K$2,'GBD estimates'!$F$4:$F$1203=""Communicable, maternal, neonatal, and nutritional diseases"",'GBD estimates'!$E$4:$E$1203=""7-27 days"")"),4753.388392)</f>
        <v>4753.388392</v>
      </c>
      <c r="L110" s="634">
        <f>IFERROR(__xludf.DUMMYFUNCTION("FILTER('GBD estimates'!$I$4:$I$1203,'GBD estimates'!$C$4:$C$1203=L$2,'GBD estimates'!$F$4:$F$1203=""Communicable, maternal, neonatal, and nutritional diseases"",'GBD estimates'!$E$4:$E$1203=""7-27 days"")"),9506.047935)</f>
        <v>9506.047935</v>
      </c>
      <c r="M110" s="634">
        <f>IFERROR(__xludf.DUMMYFUNCTION("FILTER('GBD estimates'!$I$4:$I$1203,'GBD estimates'!$C$4:$C$1203=M$2,'GBD estimates'!$F$4:$F$1203=""Communicable, maternal, neonatal, and nutritional diseases"",'GBD estimates'!$E$4:$E$1203=""7-27 days"")"),3198.653959)</f>
        <v>3198.653959</v>
      </c>
      <c r="N110" s="634">
        <f>IFERROR(__xludf.DUMMYFUNCTION("FILTER('GBD estimates'!$I$4:$I$1203,'GBD estimates'!$C$4:$C$1203=N$2,'GBD estimates'!$F$4:$F$1203=""Communicable, maternal, neonatal, and nutritional diseases"",'GBD estimates'!$E$4:$E$1203=""7-27 days"")"),4696.948493)</f>
        <v>4696.948493</v>
      </c>
      <c r="O110" s="634">
        <f>IFERROR(__xludf.DUMMYFUNCTION("FILTER('GBD estimates'!$I$4:$I$1203,'GBD estimates'!$C$4:$C$1203=O$2,'GBD estimates'!$F$4:$F$1203=""Communicable, maternal, neonatal, and nutritional diseases"",'GBD estimates'!$E$4:$E$1203=""7-27 days"")"),3458.453559)</f>
        <v>3458.453559</v>
      </c>
      <c r="P110" s="634">
        <f>IFERROR(__xludf.DUMMYFUNCTION("FILTER('GBD estimates'!$I$4:$I$1203,'GBD estimates'!$C$4:$C$1203=P$2,'GBD estimates'!$F$4:$F$1203=""Communicable, maternal, neonatal, and nutritional diseases"",'GBD estimates'!$E$4:$E$1203=""7-27 days"")"),6125.073722)</f>
        <v>6125.073722</v>
      </c>
      <c r="Q110" s="634">
        <f>IFERROR(__xludf.DUMMYFUNCTION("FILTER('GBD estimates'!$I$4:$I$1203,'GBD estimates'!$C$4:$C$1203=Q$2,'GBD estimates'!$F$4:$F$1203=""Communicable, maternal, neonatal, and nutritional diseases"",'GBD estimates'!$E$4:$E$1203=""7-27 days"")"),6872.931093)</f>
        <v>6872.931093</v>
      </c>
      <c r="R110" s="634">
        <f>IFERROR(__xludf.DUMMYFUNCTION("FILTER('GBD estimates'!$AF$4:$AF$1203,'GBD estimates'!$AA$4:$AA$1203=R$3,'GBD estimates'!$X$4:$X$1203=""Communicable, maternal, neonatal, and nutritional diseases"",'GBD estimates'!$Z$4:$Z$1203=""7 to 27 days (late neonatal)"")"),848.9223243)</f>
        <v>848.9223243</v>
      </c>
      <c r="S110" s="634">
        <f>IFERROR(__xludf.DUMMYFUNCTION("FILTER('GBD estimates'!$AF$4:$AF$1203,'GBD estimates'!$AA$4:$AA$1203=S$3,'GBD estimates'!$X$4:$X$1203=""Communicable, maternal, neonatal, and nutritional diseases"",'GBD estimates'!$Z$4:$Z$1203=""7 to 27 days (late neonatal)"")"),207.8687477)</f>
        <v>207.8687477</v>
      </c>
      <c r="T110" s="634">
        <f>IFERROR(__xludf.DUMMYFUNCTION("FILTER('GBD estimates'!$AF$4:$AF$1203,'GBD estimates'!$AA$4:$AA$1203=T$3,'GBD estimates'!$X$4:$X$1203=""Communicable, maternal, neonatal, and nutritional diseases"",'GBD estimates'!$Z$4:$Z$1203=""7 to 27 days (late neonatal)"")"),509.2620502)</f>
        <v>509.2620502</v>
      </c>
      <c r="U110" s="634">
        <f>IFERROR(__xludf.DUMMYFUNCTION("FILTER('GBD estimates'!$AF$4:$AF$1203,'GBD estimates'!$AA$4:$AA$1203=U$3,'GBD estimates'!$X$4:$X$1203=""Communicable, maternal, neonatal, and nutritional diseases"",'GBD estimates'!$Z$4:$Z$1203=""7 to 27 days (late neonatal)"")"),1672.997698)</f>
        <v>1672.997698</v>
      </c>
      <c r="V110" s="634">
        <f>IFERROR(__xludf.DUMMYFUNCTION("FILTER('GBD estimates'!$AF$4:$AF$1203,'GBD estimates'!$AA$4:$AA$1203=V$3,'GBD estimates'!$X$4:$X$1203=""Communicable, maternal, neonatal, and nutritional diseases"",'GBD estimates'!$Z$4:$Z$1203=""7 to 27 days (late neonatal)"")"),492.2771106)</f>
        <v>492.2771106</v>
      </c>
      <c r="W110" s="634">
        <f>IFERROR(__xludf.DUMMYFUNCTION("FILTER('GBD estimates'!$AF$4:$AF$1203,'GBD estimates'!$AA$4:$AA$1203=W$3,'GBD estimates'!$X$4:$X$1203=""Communicable, maternal, neonatal, and nutritional diseases"",'GBD estimates'!$Z$4:$Z$1203=""7 to 27 days (late neonatal)"")"),508.7455817)</f>
        <v>508.7455817</v>
      </c>
      <c r="X110" s="634">
        <f>IFERROR(__xludf.DUMMYFUNCTION("FILTER('GBD estimates'!$AF$4:$AF$1203,'GBD estimates'!$AA$4:$AA$1203=X$3,'GBD estimates'!$X$4:$X$1203=""Communicable, maternal, neonatal, and nutritional diseases"",'GBD estimates'!$Z$4:$Z$1203=""7 to 27 days (late neonatal)"")"),340.4576432)</f>
        <v>340.4576432</v>
      </c>
      <c r="Y110" s="634">
        <f>IFERROR(__xludf.DUMMYFUNCTION("FILTER('GBD estimates'!$AF$4:$AF$1203,'GBD estimates'!$AA$4:$AA$1203=Y$3,'GBD estimates'!$X$4:$X$1203=""Communicable, maternal, neonatal, and nutritional diseases"",'GBD estimates'!$Z$4:$Z$1203=""7 to 27 days (late neonatal)"")"),166.8130442)</f>
        <v>166.8130442</v>
      </c>
      <c r="Z110" s="634">
        <f>IFERROR(__xludf.DUMMYFUNCTION("FILTER('GBD estimates'!$AF$4:$AF$1203,'GBD estimates'!$AA$4:$AA$1203=Z$3,'GBD estimates'!$X$4:$X$1203=""Communicable, maternal, neonatal, and nutritional diseases"",'GBD estimates'!$Z$4:$Z$1203=""7 to 27 days (late neonatal)"")"),773.7757722)</f>
        <v>773.7757722</v>
      </c>
      <c r="AA110" s="634">
        <f>IFERROR(__xludf.DUMMYFUNCTION("FILTER('GBD estimates'!$AF$4:$AF$1203,'GBD estimates'!$AA$4:$AA$1203=AA$3,'GBD estimates'!$X$4:$X$1203=""Communicable, maternal, neonatal, and nutritional diseases"",'GBD estimates'!$Z$4:$Z$1203=""7 to 27 days (late neonatal)"")"),226.9085233)</f>
        <v>226.9085233</v>
      </c>
      <c r="AB110" s="634">
        <f>IFERROR(__xludf.DUMMYFUNCTION("FILTER('GBD estimates'!$AF$4:$AF$1203,'GBD estimates'!$AA$4:$AA$1203=AB$3,'GBD estimates'!$X$4:$X$1203=""Communicable, maternal, neonatal, and nutritional diseases"",'GBD estimates'!$Z$4:$Z$1203=""7 to 27 days (late neonatal)"")"),840.6320517)</f>
        <v>840.6320517</v>
      </c>
      <c r="AC110" s="634">
        <f>IFERROR(__xludf.DUMMYFUNCTION("FILTER('GBD estimates'!$AF$4:$AF$1203,'GBD estimates'!$AA$4:$AA$1203=AC$3,'GBD estimates'!$X$4:$X$1203=""Communicable, maternal, neonatal, and nutritional diseases"",'GBD estimates'!$Z$4:$Z$1203=""7 to 27 days (late neonatal)"")"),1358.278824)</f>
        <v>1358.278824</v>
      </c>
      <c r="AD110" s="634">
        <f>IFERROR(__xludf.DUMMYFUNCTION("FILTER('GBD estimates'!$AF$4:$AF$1203,'GBD estimates'!$AA$4:$AA$1203=AD$3,'GBD estimates'!$X$4:$X$1203=""Communicable, maternal, neonatal, and nutritional diseases"",'GBD estimates'!$Z$4:$Z$1203=""7 to 27 days (late neonatal)"")"),297.0060283)</f>
        <v>297.0060283</v>
      </c>
      <c r="AE110" s="634">
        <f>IFERROR(__xludf.DUMMYFUNCTION("FILTER('GBD estimates'!$AF$4:$AF$1203,'GBD estimates'!$AA$4:$AA$1203=AE$3,'GBD estimates'!$X$4:$X$1203=""Communicable, maternal, neonatal, and nutritional diseases"",'GBD estimates'!$Z$4:$Z$1203=""7 to 27 days (late neonatal)"")"),414.2474273)</f>
        <v>414.2474273</v>
      </c>
      <c r="AF110" s="634">
        <f>IFERROR(__xludf.DUMMYFUNCTION("FILTER('GBD estimates'!$AF$4:$AF$1203,'GBD estimates'!$AA$4:$AA$1203=AF$3,'GBD estimates'!$X$4:$X$1203=""Communicable, maternal, neonatal, and nutritional diseases"",'GBD estimates'!$Z$4:$Z$1203=""7 to 27 days (late neonatal)"")"),2181.283881)</f>
        <v>2181.283881</v>
      </c>
      <c r="AG110" s="640">
        <f>IFERROR(__xludf.DUMMYFUNCTION("FILTER('GBD estimates'!$I$4:$I$1203,'GBD estimates'!$C$4:$C$1203=AG$2,'GBD estimates'!$F$4:$F$1203=""Communicable, maternal, neonatal, and nutritional diseases"",'GBD estimates'!$E$4:$E$1203=""7-27 days"")"),2795.793939)</f>
        <v>2795.793939</v>
      </c>
      <c r="AH110" s="634">
        <f>IFERROR(__xludf.DUMMYFUNCTION("FILTER('GBD estimates'!$I$4:$I$1203,'GBD estimates'!$C$4:$C$1203=AH$2,'GBD estimates'!$F$4:$F$1203=""Communicable, maternal, neonatal, and nutritional diseases"",'GBD estimates'!$E$4:$E$1203=""7-27 days"")"),5382.394896)</f>
        <v>5382.394896</v>
      </c>
      <c r="AI110" s="634">
        <f>IFERROR(__xludf.DUMMYFUNCTION("FILTER('GBD estimates'!$I$4:$I$1203,'GBD estimates'!$C$4:$C$1203=AI$2,'GBD estimates'!$F$4:$F$1203=""Communicable, maternal, neonatal, and nutritional diseases"",'GBD estimates'!$E$4:$E$1203=""7-27 days"")"),736.6961144)</f>
        <v>736.6961144</v>
      </c>
      <c r="AJ110" s="423">
        <f>IFERROR(__xludf.DUMMYFUNCTION("FILTER('GBD estimates'!$I$4:$I$1203,'GBD estimates'!$C$4:$C$1203=AJ$2,'GBD estimates'!$F$4:$F$1203=""Communicable, maternal, neonatal, and nutritional diseases"",'GBD estimates'!$E$4:$E$1203=""7-27 days"")"),6358.738547)</f>
        <v>6358.738547</v>
      </c>
      <c r="AK110" s="516"/>
      <c r="AL110" s="555" t="s">
        <v>233</v>
      </c>
      <c r="AM110" s="518"/>
    </row>
    <row r="111">
      <c r="A111" s="477"/>
      <c r="B111" s="102"/>
      <c r="C111" s="203"/>
      <c r="D111" s="203"/>
      <c r="E111" s="571" t="s">
        <v>402</v>
      </c>
      <c r="F111" s="176" t="s">
        <v>101</v>
      </c>
      <c r="G111" s="499" t="s">
        <v>213</v>
      </c>
      <c r="H111" s="500" t="s">
        <v>165</v>
      </c>
      <c r="I111" s="612">
        <f>IFERROR(__xludf.DUMMYFUNCTION("FILTER('GBD estimates'!$I$4:$I$1203,'GBD estimates'!$C$4:$C$1203=I$2,'GBD estimates'!$F$4:$F$1203=""Communicable, maternal, neonatal, and nutritional diseases"",'GBD estimates'!$E$4:$E$1203=""28-364 days"")"),24032.13734)</f>
        <v>24032.13734</v>
      </c>
      <c r="J111" s="612">
        <f>IFERROR(__xludf.DUMMYFUNCTION("FILTER('GBD estimates'!$I$4:$I$1203,'GBD estimates'!$C$4:$C$1203=J$2,'GBD estimates'!$F$4:$F$1203=""Communicable, maternal, neonatal, and nutritional diseases"",'GBD estimates'!$E$4:$E$1203=""28-364 days"")"),16398.31882)</f>
        <v>16398.31882</v>
      </c>
      <c r="K111" s="612">
        <f>IFERROR(__xludf.DUMMYFUNCTION("FILTER('GBD estimates'!$I$4:$I$1203,'GBD estimates'!$C$4:$C$1203=K$2,'GBD estimates'!$F$4:$F$1203=""Communicable, maternal, neonatal, and nutritional diseases"",'GBD estimates'!$E$4:$E$1203=""28-364 days"")"),10424.87457)</f>
        <v>10424.87457</v>
      </c>
      <c r="L111" s="612">
        <f>IFERROR(__xludf.DUMMYFUNCTION("FILTER('GBD estimates'!$I$4:$I$1203,'GBD estimates'!$C$4:$C$1203=L$2,'GBD estimates'!$F$4:$F$1203=""Communicable, maternal, neonatal, and nutritional diseases"",'GBD estimates'!$E$4:$E$1203=""28-364 days"")"),44514.11916)</f>
        <v>44514.11916</v>
      </c>
      <c r="M111" s="612">
        <f>IFERROR(__xludf.DUMMYFUNCTION("FILTER('GBD estimates'!$I$4:$I$1203,'GBD estimates'!$C$4:$C$1203=M$2,'GBD estimates'!$F$4:$F$1203=""Communicable, maternal, neonatal, and nutritional diseases"",'GBD estimates'!$E$4:$E$1203=""28-364 days"")"),10131.7027)</f>
        <v>10131.7027</v>
      </c>
      <c r="N111" s="612">
        <f>IFERROR(__xludf.DUMMYFUNCTION("FILTER('GBD estimates'!$I$4:$I$1203,'GBD estimates'!$C$4:$C$1203=N$2,'GBD estimates'!$F$4:$F$1203=""Communicable, maternal, neonatal, and nutritional diseases"",'GBD estimates'!$E$4:$E$1203=""28-364 days"")"),13397.36514)</f>
        <v>13397.36514</v>
      </c>
      <c r="O111" s="612">
        <f>IFERROR(__xludf.DUMMYFUNCTION("FILTER('GBD estimates'!$I$4:$I$1203,'GBD estimates'!$C$4:$C$1203=O$2,'GBD estimates'!$F$4:$F$1203=""Communicable, maternal, neonatal, and nutritional diseases"",'GBD estimates'!$E$4:$E$1203=""28-364 days"")"),13528.25622)</f>
        <v>13528.25622</v>
      </c>
      <c r="P111" s="612">
        <f>IFERROR(__xludf.DUMMYFUNCTION("FILTER('GBD estimates'!$I$4:$I$1203,'GBD estimates'!$C$4:$C$1203=P$2,'GBD estimates'!$F$4:$F$1203=""Communicable, maternal, neonatal, and nutritional diseases"",'GBD estimates'!$E$4:$E$1203=""28-364 days"")"),23752.01117)</f>
        <v>23752.01117</v>
      </c>
      <c r="Q111" s="612">
        <f>IFERROR(__xludf.DUMMYFUNCTION("FILTER('GBD estimates'!$I$4:$I$1203,'GBD estimates'!$C$4:$C$1203=Q$2,'GBD estimates'!$F$4:$F$1203=""Communicable, maternal, neonatal, and nutritional diseases"",'GBD estimates'!$E$4:$E$1203=""28-364 days"")"),26673.13569)</f>
        <v>26673.13569</v>
      </c>
      <c r="R111" s="612">
        <f>IFERROR(__xludf.DUMMYFUNCTION("FILTER('GBD estimates'!$AF$4:$AF$1203,'GBD estimates'!$AA$4:$AA$1203=R$3,'GBD estimates'!$X$4:$X$1203=""Communicable, maternal, neonatal, and nutritional diseases"",'GBD estimates'!$Z$4:$Z$1203=""28 to 364 days (post neonatal)"")"),3201.40251)</f>
        <v>3201.40251</v>
      </c>
      <c r="S111" s="612">
        <f>IFERROR(__xludf.DUMMYFUNCTION("FILTER('GBD estimates'!$AF$4:$AF$1203,'GBD estimates'!$AA$4:$AA$1203=S$3,'GBD estimates'!$X$4:$X$1203=""Communicable, maternal, neonatal, and nutritional diseases"",'GBD estimates'!$Z$4:$Z$1203=""28 to 364 days (post neonatal)"")"),811.9118308)</f>
        <v>811.9118308</v>
      </c>
      <c r="T111" s="612">
        <f>IFERROR(__xludf.DUMMYFUNCTION("FILTER('GBD estimates'!$AF$4:$AF$1203,'GBD estimates'!$AA$4:$AA$1203=T$3,'GBD estimates'!$X$4:$X$1203=""Communicable, maternal, neonatal, and nutritional diseases"",'GBD estimates'!$Z$4:$Z$1203=""28 to 364 days (post neonatal)"")"),1731.97017)</f>
        <v>1731.97017</v>
      </c>
      <c r="U111" s="612">
        <f>IFERROR(__xludf.DUMMYFUNCTION("FILTER('GBD estimates'!$AF$4:$AF$1203,'GBD estimates'!$AA$4:$AA$1203=U$3,'GBD estimates'!$X$4:$X$1203=""Communicable, maternal, neonatal, and nutritional diseases"",'GBD estimates'!$Z$4:$Z$1203=""28 to 364 days (post neonatal)"")"),6376.165976)</f>
        <v>6376.165976</v>
      </c>
      <c r="V111" s="612">
        <f>IFERROR(__xludf.DUMMYFUNCTION("FILTER('GBD estimates'!$AF$4:$AF$1203,'GBD estimates'!$AA$4:$AA$1203=V$3,'GBD estimates'!$X$4:$X$1203=""Communicable, maternal, neonatal, and nutritional diseases"",'GBD estimates'!$Z$4:$Z$1203=""28 to 364 days (post neonatal)"")"),1799.650355)</f>
        <v>1799.650355</v>
      </c>
      <c r="W111" s="612">
        <f>IFERROR(__xludf.DUMMYFUNCTION("FILTER('GBD estimates'!$AF$4:$AF$1203,'GBD estimates'!$AA$4:$AA$1203=W$3,'GBD estimates'!$X$4:$X$1203=""Communicable, maternal, neonatal, and nutritional diseases"",'GBD estimates'!$Z$4:$Z$1203=""28 to 364 days (post neonatal)"")"),1849.39778)</f>
        <v>1849.39778</v>
      </c>
      <c r="X111" s="612">
        <f>IFERROR(__xludf.DUMMYFUNCTION("FILTER('GBD estimates'!$AF$4:$AF$1203,'GBD estimates'!$AA$4:$AA$1203=X$3,'GBD estimates'!$X$4:$X$1203=""Communicable, maternal, neonatal, and nutritional diseases"",'GBD estimates'!$Z$4:$Z$1203=""28 to 364 days (post neonatal)"")"),1202.263105)</f>
        <v>1202.263105</v>
      </c>
      <c r="Y111" s="612">
        <f>IFERROR(__xludf.DUMMYFUNCTION("FILTER('GBD estimates'!$AF$4:$AF$1203,'GBD estimates'!$AA$4:$AA$1203=Y$3,'GBD estimates'!$X$4:$X$1203=""Communicable, maternal, neonatal, and nutritional diseases"",'GBD estimates'!$Z$4:$Z$1203=""28 to 364 days (post neonatal)"")"),599.6632835)</f>
        <v>599.6632835</v>
      </c>
      <c r="Z111" s="612">
        <f>IFERROR(__xludf.DUMMYFUNCTION("FILTER('GBD estimates'!$AF$4:$AF$1203,'GBD estimates'!$AA$4:$AA$1203=Z$3,'GBD estimates'!$X$4:$X$1203=""Communicable, maternal, neonatal, and nutritional diseases"",'GBD estimates'!$Z$4:$Z$1203=""28 to 364 days (post neonatal)"")"),2617.713561)</f>
        <v>2617.713561</v>
      </c>
      <c r="AA111" s="612">
        <f>IFERROR(__xludf.DUMMYFUNCTION("FILTER('GBD estimates'!$AF$4:$AF$1203,'GBD estimates'!$AA$4:$AA$1203=AA$3,'GBD estimates'!$X$4:$X$1203=""Communicable, maternal, neonatal, and nutritional diseases"",'GBD estimates'!$Z$4:$Z$1203=""28 to 364 days (post neonatal)"")"),767.0200692)</f>
        <v>767.0200692</v>
      </c>
      <c r="AB111" s="612">
        <f>IFERROR(__xludf.DUMMYFUNCTION("FILTER('GBD estimates'!$AF$4:$AF$1203,'GBD estimates'!$AA$4:$AA$1203=AB$3,'GBD estimates'!$X$4:$X$1203=""Communicable, maternal, neonatal, and nutritional diseases"",'GBD estimates'!$Z$4:$Z$1203=""28 to 364 days (post neonatal)"")"),3116.060354)</f>
        <v>3116.060354</v>
      </c>
      <c r="AC111" s="612">
        <f>IFERROR(__xludf.DUMMYFUNCTION("FILTER('GBD estimates'!$AF$4:$AF$1203,'GBD estimates'!$AA$4:$AA$1203=AC$3,'GBD estimates'!$X$4:$X$1203=""Communicable, maternal, neonatal, and nutritional diseases"",'GBD estimates'!$Z$4:$Z$1203=""28 to 364 days (post neonatal)"")"),4685.581409)</f>
        <v>4685.581409</v>
      </c>
      <c r="AD111" s="612">
        <f>IFERROR(__xludf.DUMMYFUNCTION("FILTER('GBD estimates'!$AF$4:$AF$1203,'GBD estimates'!$AA$4:$AA$1203=AD$3,'GBD estimates'!$X$4:$X$1203=""Communicable, maternal, neonatal, and nutritional diseases"",'GBD estimates'!$Z$4:$Z$1203=""28 to 364 days (post neonatal)"")"),939.8690807)</f>
        <v>939.8690807</v>
      </c>
      <c r="AE111" s="612">
        <f>IFERROR(__xludf.DUMMYFUNCTION("FILTER('GBD estimates'!$AF$4:$AF$1203,'GBD estimates'!$AA$4:$AA$1203=AE$3,'GBD estimates'!$X$4:$X$1203=""Communicable, maternal, neonatal, and nutritional diseases"",'GBD estimates'!$Z$4:$Z$1203=""28 to 364 days (post neonatal)"")"),1620.889213)</f>
        <v>1620.889213</v>
      </c>
      <c r="AF111" s="612">
        <f>IFERROR(__xludf.DUMMYFUNCTION("FILTER('GBD estimates'!$AF$4:$AF$1203,'GBD estimates'!$AA$4:$AA$1203=AF$3,'GBD estimates'!$X$4:$X$1203=""Communicable, maternal, neonatal, and nutritional diseases"",'GBD estimates'!$Z$4:$Z$1203=""28 to 364 days (post neonatal)"")"),8194.253746)</f>
        <v>8194.253746</v>
      </c>
      <c r="AG111" s="663">
        <f>IFERROR(__xludf.DUMMYFUNCTION("FILTER('GBD estimates'!$I$4:$I$1203,'GBD estimates'!$C$4:$C$1203=AG$2,'GBD estimates'!$F$4:$F$1203=""Communicable, maternal, neonatal, and nutritional diseases"",'GBD estimates'!$E$4:$E$1203=""28-364 days"")"),14268.30019)</f>
        <v>14268.30019</v>
      </c>
      <c r="AH111" s="612">
        <f>IFERROR(__xludf.DUMMYFUNCTION("FILTER('GBD estimates'!$I$4:$I$1203,'GBD estimates'!$C$4:$C$1203=AH$2,'GBD estimates'!$F$4:$F$1203=""Communicable, maternal, neonatal, and nutritional diseases"",'GBD estimates'!$E$4:$E$1203=""28-364 days"")"),24356.01256)</f>
        <v>24356.01256</v>
      </c>
      <c r="AI111" s="612">
        <f>IFERROR(__xludf.DUMMYFUNCTION("FILTER('GBD estimates'!$I$4:$I$1203,'GBD estimates'!$C$4:$C$1203=AI$2,'GBD estimates'!$F$4:$F$1203=""Communicable, maternal, neonatal, and nutritional diseases"",'GBD estimates'!$E$4:$E$1203=""28-364 days"")"),3250.455847)</f>
        <v>3250.455847</v>
      </c>
      <c r="AJ111" s="664">
        <f>IFERROR(__xludf.DUMMYFUNCTION("FILTER('GBD estimates'!$I$4:$I$1203,'GBD estimates'!$C$4:$C$1203=AJ$2,'GBD estimates'!$F$4:$F$1203=""Communicable, maternal, neonatal, and nutritional diseases"",'GBD estimates'!$E$4:$E$1203=""28-364 days"")"),21122.08707)</f>
        <v>21122.08707</v>
      </c>
      <c r="AK111" s="505"/>
      <c r="AL111" s="560" t="s">
        <v>233</v>
      </c>
      <c r="AM111" s="507"/>
    </row>
    <row r="112">
      <c r="A112" s="477"/>
      <c r="B112" s="102"/>
      <c r="C112" s="130"/>
      <c r="D112" s="130"/>
      <c r="E112" s="525"/>
      <c r="F112" s="132"/>
      <c r="G112" s="155"/>
      <c r="H112" s="478"/>
      <c r="I112" s="479"/>
      <c r="J112" s="479"/>
      <c r="K112" s="479"/>
      <c r="L112" s="479"/>
      <c r="M112" s="479"/>
      <c r="N112" s="479"/>
      <c r="O112" s="479"/>
      <c r="P112" s="479"/>
      <c r="Q112" s="479"/>
      <c r="R112" s="479"/>
      <c r="S112" s="479"/>
      <c r="T112" s="479"/>
      <c r="U112" s="479"/>
      <c r="V112" s="479"/>
      <c r="W112" s="479"/>
      <c r="X112" s="479"/>
      <c r="Y112" s="479"/>
      <c r="Z112" s="479"/>
      <c r="AA112" s="479"/>
      <c r="AB112" s="479"/>
      <c r="AC112" s="479"/>
      <c r="AD112" s="479"/>
      <c r="AE112" s="479"/>
      <c r="AF112" s="479"/>
      <c r="AG112" s="480"/>
      <c r="AH112" s="479"/>
      <c r="AI112" s="479"/>
      <c r="AJ112" s="481"/>
      <c r="AK112" s="482"/>
      <c r="AL112" s="483"/>
      <c r="AM112" s="484"/>
    </row>
    <row r="113">
      <c r="A113" s="477"/>
      <c r="B113" s="102"/>
      <c r="C113" s="130" t="s">
        <v>408</v>
      </c>
      <c r="F113" s="132"/>
      <c r="G113" s="155"/>
      <c r="H113" s="478"/>
      <c r="I113" s="479"/>
      <c r="J113" s="479"/>
      <c r="K113" s="479"/>
      <c r="L113" s="479"/>
      <c r="M113" s="479"/>
      <c r="N113" s="479"/>
      <c r="O113" s="479"/>
      <c r="P113" s="479"/>
      <c r="Q113" s="479"/>
      <c r="R113" s="479"/>
      <c r="S113" s="479"/>
      <c r="T113" s="479"/>
      <c r="U113" s="479"/>
      <c r="V113" s="479"/>
      <c r="W113" s="479"/>
      <c r="X113" s="479"/>
      <c r="Y113" s="479"/>
      <c r="Z113" s="479"/>
      <c r="AA113" s="479"/>
      <c r="AB113" s="479"/>
      <c r="AC113" s="479"/>
      <c r="AD113" s="479"/>
      <c r="AE113" s="479"/>
      <c r="AF113" s="479"/>
      <c r="AG113" s="480"/>
      <c r="AH113" s="479"/>
      <c r="AI113" s="479"/>
      <c r="AJ113" s="481"/>
      <c r="AK113" s="482"/>
      <c r="AL113" s="483"/>
      <c r="AM113" s="484"/>
    </row>
    <row r="114">
      <c r="A114" s="477"/>
      <c r="B114" s="102"/>
      <c r="C114" s="130"/>
      <c r="D114" s="130"/>
      <c r="E114" s="486" t="s">
        <v>409</v>
      </c>
      <c r="F114" s="114" t="s">
        <v>101</v>
      </c>
      <c r="G114" s="255" t="s">
        <v>213</v>
      </c>
      <c r="H114" s="487" t="s">
        <v>165</v>
      </c>
      <c r="I114" s="624">
        <f>IFERROR(__xludf.DUMMYFUNCTION("FILTER('GBD estimates'!$I$4:$I$1203,'GBD estimates'!$C$4:$C$1203=I$2,'GBD estimates'!$F$4:$F$1203=""Maternal and neonatal disorders"",'GBD estimates'!$E$4:$E$1203=""&lt;5 years"")"),19280.88532)</f>
        <v>19280.88532</v>
      </c>
      <c r="J114" s="624">
        <f>IFERROR(__xludf.DUMMYFUNCTION("FILTER('GBD estimates'!$I$4:$I$1203,'GBD estimates'!$C$4:$C$1203=J$2,'GBD estimates'!$F$4:$F$1203=""Maternal and neonatal disorders"",'GBD estimates'!$E$4:$E$1203=""&lt;5 years"")"),15687.77267)</f>
        <v>15687.77267</v>
      </c>
      <c r="K114" s="624">
        <f>IFERROR(__xludf.DUMMYFUNCTION("FILTER('GBD estimates'!$I$4:$I$1203,'GBD estimates'!$C$4:$C$1203=K$2,'GBD estimates'!$F$4:$F$1203=""Maternal and neonatal disorders"",'GBD estimates'!$E$4:$E$1203=""&lt;5 years"")"),23029.54205)</f>
        <v>23029.54205</v>
      </c>
      <c r="L114" s="624">
        <f>IFERROR(__xludf.DUMMYFUNCTION("FILTER('GBD estimates'!$I$4:$I$1203,'GBD estimates'!$C$4:$C$1203=L$2,'GBD estimates'!$F$4:$F$1203=""Maternal and neonatal disorders"",'GBD estimates'!$E$4:$E$1203=""&lt;5 years"")"),42976.46898)</f>
        <v>42976.46898</v>
      </c>
      <c r="M114" s="624">
        <f>IFERROR(__xludf.DUMMYFUNCTION("FILTER('GBD estimates'!$I$4:$I$1203,'GBD estimates'!$C$4:$C$1203=M$2,'GBD estimates'!$F$4:$F$1203=""Maternal and neonatal disorders"",'GBD estimates'!$E$4:$E$1203=""&lt;5 years"")"),10932.30342)</f>
        <v>10932.30342</v>
      </c>
      <c r="N114" s="624">
        <f>IFERROR(__xludf.DUMMYFUNCTION("FILTER('GBD estimates'!$I$4:$I$1203,'GBD estimates'!$C$4:$C$1203=N$2,'GBD estimates'!$F$4:$F$1203=""Maternal and neonatal disorders"",'GBD estimates'!$E$4:$E$1203=""&lt;5 years"")"),18316.72304)</f>
        <v>18316.72304</v>
      </c>
      <c r="O114" s="624">
        <f>IFERROR(__xludf.DUMMYFUNCTION("FILTER('GBD estimates'!$I$4:$I$1203,'GBD estimates'!$C$4:$C$1203=O$2,'GBD estimates'!$F$4:$F$1203=""Maternal and neonatal disorders"",'GBD estimates'!$E$4:$E$1203=""&lt;5 years"")"),12503.65652)</f>
        <v>12503.65652</v>
      </c>
      <c r="P114" s="624">
        <f>IFERROR(__xludf.DUMMYFUNCTION("FILTER('GBD estimates'!$I$4:$I$1203,'GBD estimates'!$C$4:$C$1203=P$2,'GBD estimates'!$F$4:$F$1203=""Maternal and neonatal disorders"",'GBD estimates'!$E$4:$E$1203=""&lt;5 years"")"),32005.72789)</f>
        <v>32005.72789</v>
      </c>
      <c r="Q114" s="624">
        <f>IFERROR(__xludf.DUMMYFUNCTION("FILTER('GBD estimates'!$I$4:$I$1203,'GBD estimates'!$C$4:$C$1203=Q$2,'GBD estimates'!$F$4:$F$1203=""Maternal and neonatal disorders"",'GBD estimates'!$E$4:$E$1203=""&lt;5 years"")"),22545.62864)</f>
        <v>22545.62864</v>
      </c>
      <c r="R114" s="624">
        <f>IFERROR(__xludf.DUMMYFUNCTION("FILTER('GBD estimates'!$AF$4:$AF$1203,'GBD estimates'!$AA$4:$AA$1203=R$3,'GBD estimates'!$X$4:$X$1203=""Maternal and neonatal disorders"",'GBD estimates'!$Z$4:$Z$1203=""Under 5"")"),3362.015582)</f>
        <v>3362.015582</v>
      </c>
      <c r="S114" s="624">
        <f>IFERROR(__xludf.DUMMYFUNCTION("FILTER('GBD estimates'!$AF$4:$AF$1203,'GBD estimates'!$AA$4:$AA$1203=S$3,'GBD estimates'!$X$4:$X$1203=""Maternal and neonatal disorders"",'GBD estimates'!$Z$4:$Z$1203=""Under 5"")"),1038.480657)</f>
        <v>1038.480657</v>
      </c>
      <c r="T114" s="624">
        <f>IFERROR(__xludf.DUMMYFUNCTION("FILTER('GBD estimates'!$AF$4:$AF$1203,'GBD estimates'!$AA$4:$AA$1203=T$3,'GBD estimates'!$X$4:$X$1203=""Maternal and neonatal disorders"",'GBD estimates'!$Z$4:$Z$1203=""Under 5"")"),2861.377272)</f>
        <v>2861.377272</v>
      </c>
      <c r="U114" s="624">
        <f>IFERROR(__xludf.DUMMYFUNCTION("FILTER('GBD estimates'!$AF$4:$AF$1203,'GBD estimates'!$AA$4:$AA$1203=U$3,'GBD estimates'!$X$4:$X$1203=""Maternal and neonatal disorders"",'GBD estimates'!$Z$4:$Z$1203=""Under 5"")"),7866.124946)</f>
        <v>7866.124946</v>
      </c>
      <c r="V114" s="624">
        <f>IFERROR(__xludf.DUMMYFUNCTION("FILTER('GBD estimates'!$AF$4:$AF$1203,'GBD estimates'!$AA$4:$AA$1203=V$3,'GBD estimates'!$X$4:$X$1203=""Maternal and neonatal disorders"",'GBD estimates'!$Z$4:$Z$1203=""Under 5"")"),2316.256909)</f>
        <v>2316.256909</v>
      </c>
      <c r="W114" s="624">
        <f>IFERROR(__xludf.DUMMYFUNCTION("FILTER('GBD estimates'!$AF$4:$AF$1203,'GBD estimates'!$AA$4:$AA$1203=W$3,'GBD estimates'!$X$4:$X$1203=""Maternal and neonatal disorders"",'GBD estimates'!$Z$4:$Z$1203=""Under 5"")"),2261.482853)</f>
        <v>2261.482853</v>
      </c>
      <c r="X114" s="624">
        <f>IFERROR(__xludf.DUMMYFUNCTION("FILTER('GBD estimates'!$AF$4:$AF$1203,'GBD estimates'!$AA$4:$AA$1203=X$3,'GBD estimates'!$X$4:$X$1203=""Maternal and neonatal disorders"",'GBD estimates'!$Z$4:$Z$1203=""Under 5"")"),1748.086437)</f>
        <v>1748.086437</v>
      </c>
      <c r="Y114" s="624">
        <f>IFERROR(__xludf.DUMMYFUNCTION("FILTER('GBD estimates'!$AF$4:$AF$1203,'GBD estimates'!$AA$4:$AA$1203=Y$3,'GBD estimates'!$X$4:$X$1203=""Maternal and neonatal disorders"",'GBD estimates'!$Z$4:$Z$1203=""Under 5"")"),800.3554528)</f>
        <v>800.3554528</v>
      </c>
      <c r="Z114" s="624">
        <f>IFERROR(__xludf.DUMMYFUNCTION("FILTER('GBD estimates'!$AF$4:$AF$1203,'GBD estimates'!$AA$4:$AA$1203=Z$3,'GBD estimates'!$X$4:$X$1203=""Maternal and neonatal disorders"",'GBD estimates'!$Z$4:$Z$1203=""Under 5"")"),4131.503659)</f>
        <v>4131.503659</v>
      </c>
      <c r="AA114" s="624">
        <f>IFERROR(__xludf.DUMMYFUNCTION("FILTER('GBD estimates'!$AF$4:$AF$1203,'GBD estimates'!$AA$4:$AA$1203=AA$3,'GBD estimates'!$X$4:$X$1203=""Maternal and neonatal disorders"",'GBD estimates'!$Z$4:$Z$1203=""Under 5"")"),1209.444206)</f>
        <v>1209.444206</v>
      </c>
      <c r="AB114" s="624">
        <f>IFERROR(__xludf.DUMMYFUNCTION("FILTER('GBD estimates'!$AF$4:$AF$1203,'GBD estimates'!$AA$4:$AA$1203=AB$3,'GBD estimates'!$X$4:$X$1203=""Maternal and neonatal disorders"",'GBD estimates'!$Z$4:$Z$1203=""Under 5"")"),3849.674858)</f>
        <v>3849.674858</v>
      </c>
      <c r="AC114" s="624">
        <f>IFERROR(__xludf.DUMMYFUNCTION("FILTER('GBD estimates'!$AF$4:$AF$1203,'GBD estimates'!$AA$4:$AA$1203=AC$3,'GBD estimates'!$X$4:$X$1203=""Maternal and neonatal disorders"",'GBD estimates'!$Z$4:$Z$1203=""Under 5"")"),6997.868826)</f>
        <v>6997.868826</v>
      </c>
      <c r="AD114" s="624">
        <f>IFERROR(__xludf.DUMMYFUNCTION("FILTER('GBD estimates'!$AF$4:$AF$1203,'GBD estimates'!$AA$4:$AA$1203=AD$3,'GBD estimates'!$X$4:$X$1203=""Maternal and neonatal disorders"",'GBD estimates'!$Z$4:$Z$1203=""Under 5"")"),1641.275026)</f>
        <v>1641.275026</v>
      </c>
      <c r="AE114" s="624">
        <f>IFERROR(__xludf.DUMMYFUNCTION("FILTER('GBD estimates'!$AF$4:$AF$1203,'GBD estimates'!$AA$4:$AA$1203=AE$3,'GBD estimates'!$X$4:$X$1203=""Maternal and neonatal disorders"",'GBD estimates'!$Z$4:$Z$1203=""Under 5"")"),1884.805775)</f>
        <v>1884.805775</v>
      </c>
      <c r="AF114" s="624">
        <f>IFERROR(__xludf.DUMMYFUNCTION("FILTER('GBD estimates'!$AF$4:$AF$1203,'GBD estimates'!$AA$4:$AA$1203=AF$3,'GBD estimates'!$X$4:$X$1203=""Maternal and neonatal disorders"",'GBD estimates'!$Z$4:$Z$1203=""Under 5"")"),8412.074946)</f>
        <v>8412.074946</v>
      </c>
      <c r="AG114" s="630">
        <f>IFERROR(__xludf.DUMMYFUNCTION("FILTER('GBD estimates'!$I$4:$I$1203,'GBD estimates'!$C$4:$C$1203=AG$2,'GBD estimates'!$F$4:$F$1203=""Maternal and neonatal disorders"",'GBD estimates'!$E$4:$E$1203=""&lt;5 years"")"),18188.84425)</f>
        <v>18188.84425</v>
      </c>
      <c r="AH114" s="624">
        <f>IFERROR(__xludf.DUMMYFUNCTION("FILTER('GBD estimates'!$I$4:$I$1203,'GBD estimates'!$C$4:$C$1203=AH$2,'GBD estimates'!$F$4:$F$1203=""Maternal and neonatal disorders"",'GBD estimates'!$E$4:$E$1203=""&lt;5 years"")"),17347.00226)</f>
        <v>17347.00226</v>
      </c>
      <c r="AI114" s="624">
        <f>IFERROR(__xludf.DUMMYFUNCTION("FILTER('GBD estimates'!$I$4:$I$1203,'GBD estimates'!$C$4:$C$1203=AI$2,'GBD estimates'!$F$4:$F$1203=""Maternal and neonatal disorders"",'GBD estimates'!$E$4:$E$1203=""&lt;5 years"")"),4517.930813)</f>
        <v>4517.930813</v>
      </c>
      <c r="AJ114" s="633">
        <f>IFERROR(__xludf.DUMMYFUNCTION("FILTER('GBD estimates'!$I$4:$I$1203,'GBD estimates'!$C$4:$C$1203=AJ$2,'GBD estimates'!$F$4:$F$1203=""Maternal and neonatal disorders"",'GBD estimates'!$E$4:$E$1203=""&lt;5 years"")"),30954.60232)</f>
        <v>30954.60232</v>
      </c>
      <c r="AK114" s="492"/>
      <c r="AL114" s="553" t="s">
        <v>233</v>
      </c>
      <c r="AM114" s="497"/>
    </row>
    <row r="115">
      <c r="A115" s="477"/>
      <c r="B115" s="102"/>
      <c r="C115" s="130"/>
      <c r="D115" s="130"/>
      <c r="E115" s="510" t="s">
        <v>414</v>
      </c>
      <c r="F115" s="145" t="s">
        <v>101</v>
      </c>
      <c r="G115" s="435" t="s">
        <v>213</v>
      </c>
      <c r="H115" s="511" t="s">
        <v>165</v>
      </c>
      <c r="I115" s="634">
        <f>IFERROR(__xludf.DUMMYFUNCTION("FILTER('GBD estimates'!$I$4:$I$1203,'GBD estimates'!$C$4:$C$1203=I$2,'GBD estimates'!$F$4:$F$1203=""Maternal and neonatal disorders"",'GBD estimates'!$E$4:$E$1203=""0-6 days"")"),15502.6788)</f>
        <v>15502.6788</v>
      </c>
      <c r="J115" s="634">
        <f>IFERROR(__xludf.DUMMYFUNCTION("FILTER('GBD estimates'!$I$4:$I$1203,'GBD estimates'!$C$4:$C$1203=J$2,'GBD estimates'!$F$4:$F$1203=""Maternal and neonatal disorders"",'GBD estimates'!$E$4:$E$1203=""0-6 days"")"),13371.45288)</f>
        <v>13371.45288</v>
      </c>
      <c r="K115" s="634">
        <f>IFERROR(__xludf.DUMMYFUNCTION("FILTER('GBD estimates'!$I$4:$I$1203,'GBD estimates'!$C$4:$C$1203=K$2,'GBD estimates'!$F$4:$F$1203=""Maternal and neonatal disorders"",'GBD estimates'!$E$4:$E$1203=""0-6 days"")"),20270.83575)</f>
        <v>20270.83575</v>
      </c>
      <c r="L115" s="634">
        <f>IFERROR(__xludf.DUMMYFUNCTION("FILTER('GBD estimates'!$I$4:$I$1203,'GBD estimates'!$C$4:$C$1203=L$2,'GBD estimates'!$F$4:$F$1203=""Maternal and neonatal disorders"",'GBD estimates'!$E$4:$E$1203=""0-6 days"")"),39188.56776)</f>
        <v>39188.56776</v>
      </c>
      <c r="M115" s="634">
        <f>IFERROR(__xludf.DUMMYFUNCTION("FILTER('GBD estimates'!$I$4:$I$1203,'GBD estimates'!$C$4:$C$1203=M$2,'GBD estimates'!$F$4:$F$1203=""Maternal and neonatal disorders"",'GBD estimates'!$E$4:$E$1203=""0-6 days"")"),8793.836189)</f>
        <v>8793.836189</v>
      </c>
      <c r="N115" s="634">
        <f>IFERROR(__xludf.DUMMYFUNCTION("FILTER('GBD estimates'!$I$4:$I$1203,'GBD estimates'!$C$4:$C$1203=N$2,'GBD estimates'!$F$4:$F$1203=""Maternal and neonatal disorders"",'GBD estimates'!$E$4:$E$1203=""0-6 days"")"),15618.10382)</f>
        <v>15618.10382</v>
      </c>
      <c r="O115" s="634">
        <f>IFERROR(__xludf.DUMMYFUNCTION("FILTER('GBD estimates'!$I$4:$I$1203,'GBD estimates'!$C$4:$C$1203=O$2,'GBD estimates'!$F$4:$F$1203=""Maternal and neonatal disorders"",'GBD estimates'!$E$4:$E$1203=""0-6 days"")"),10818.30135)</f>
        <v>10818.30135</v>
      </c>
      <c r="P115" s="634">
        <f>IFERROR(__xludf.DUMMYFUNCTION("FILTER('GBD estimates'!$I$4:$I$1203,'GBD estimates'!$C$4:$C$1203=P$2,'GBD estimates'!$F$4:$F$1203=""Maternal and neonatal disorders"",'GBD estimates'!$E$4:$E$1203=""0-6 days"")"),26429.7996)</f>
        <v>26429.7996</v>
      </c>
      <c r="Q115" s="634">
        <f>IFERROR(__xludf.DUMMYFUNCTION("FILTER('GBD estimates'!$I$4:$I$1203,'GBD estimates'!$C$4:$C$1203=Q$2,'GBD estimates'!$F$4:$F$1203=""Maternal and neonatal disorders"",'GBD estimates'!$E$4:$E$1203=""0-6 days"")"),18489.44217)</f>
        <v>18489.44217</v>
      </c>
      <c r="R115" s="634">
        <f>IFERROR(__xludf.DUMMYFUNCTION("FILTER('GBD estimates'!$AF$4:$AF$1203,'GBD estimates'!$AA$4:$AA$1203=R$3,'GBD estimates'!$X$4:$X$1203=""Maternal and neonatal disorders"",'GBD estimates'!$Z$4:$Z$1203=""0 to 6 days (early neonatal)"")"),2948.295794)</f>
        <v>2948.295794</v>
      </c>
      <c r="S115" s="634">
        <f>IFERROR(__xludf.DUMMYFUNCTION("FILTER('GBD estimates'!$AF$4:$AF$1203,'GBD estimates'!$AA$4:$AA$1203=S$3,'GBD estimates'!$X$4:$X$1203=""Maternal and neonatal disorders"",'GBD estimates'!$Z$4:$Z$1203=""0 to 6 days (early neonatal)"")"),975.2040703)</f>
        <v>975.2040703</v>
      </c>
      <c r="T115" s="634">
        <f>IFERROR(__xludf.DUMMYFUNCTION("FILTER('GBD estimates'!$AF$4:$AF$1203,'GBD estimates'!$AA$4:$AA$1203=T$3,'GBD estimates'!$X$4:$X$1203=""Maternal and neonatal disorders"",'GBD estimates'!$Z$4:$Z$1203=""0 to 6 days (early neonatal)"")"),2662.141716)</f>
        <v>2662.141716</v>
      </c>
      <c r="U115" s="634">
        <f>IFERROR(__xludf.DUMMYFUNCTION("FILTER('GBD estimates'!$AF$4:$AF$1203,'GBD estimates'!$AA$4:$AA$1203=U$3,'GBD estimates'!$X$4:$X$1203=""Maternal and neonatal disorders"",'GBD estimates'!$Z$4:$Z$1203=""0 to 6 days (early neonatal)"")"),7017.417331)</f>
        <v>7017.417331</v>
      </c>
      <c r="V115" s="634">
        <f>IFERROR(__xludf.DUMMYFUNCTION("FILTER('GBD estimates'!$AF$4:$AF$1203,'GBD estimates'!$AA$4:$AA$1203=V$3,'GBD estimates'!$X$4:$X$1203=""Maternal and neonatal disorders"",'GBD estimates'!$Z$4:$Z$1203=""0 to 6 days (early neonatal)"")"),2098.355926)</f>
        <v>2098.355926</v>
      </c>
      <c r="W115" s="634">
        <f>IFERROR(__xludf.DUMMYFUNCTION("FILTER('GBD estimates'!$AF$4:$AF$1203,'GBD estimates'!$AA$4:$AA$1203=W$3,'GBD estimates'!$X$4:$X$1203=""Maternal and neonatal disorders"",'GBD estimates'!$Z$4:$Z$1203=""0 to 6 days (early neonatal)"")"),2033.510476)</f>
        <v>2033.510476</v>
      </c>
      <c r="X115" s="634">
        <f>IFERROR(__xludf.DUMMYFUNCTION("FILTER('GBD estimates'!$AF$4:$AF$1203,'GBD estimates'!$AA$4:$AA$1203=X$3,'GBD estimates'!$X$4:$X$1203=""Maternal and neonatal disorders"",'GBD estimates'!$Z$4:$Z$1203=""0 to 6 days (early neonatal)"")"),1609.344906)</f>
        <v>1609.344906</v>
      </c>
      <c r="Y115" s="634">
        <f>IFERROR(__xludf.DUMMYFUNCTION("FILTER('GBD estimates'!$AF$4:$AF$1203,'GBD estimates'!$AA$4:$AA$1203=Y$3,'GBD estimates'!$X$4:$X$1203=""Maternal and neonatal disorders"",'GBD estimates'!$Z$4:$Z$1203=""0 to 6 days (early neonatal)"")"),738.4436004)</f>
        <v>738.4436004</v>
      </c>
      <c r="Z115" s="634">
        <f>IFERROR(__xludf.DUMMYFUNCTION("FILTER('GBD estimates'!$AF$4:$AF$1203,'GBD estimates'!$AA$4:$AA$1203=Z$3,'GBD estimates'!$X$4:$X$1203=""Maternal and neonatal disorders"",'GBD estimates'!$Z$4:$Z$1203=""0 to 6 days (early neonatal)"")"),3883.983124)</f>
        <v>3883.983124</v>
      </c>
      <c r="AA115" s="634">
        <f>IFERROR(__xludf.DUMMYFUNCTION("FILTER('GBD estimates'!$AF$4:$AF$1203,'GBD estimates'!$AA$4:$AA$1203=AA$3,'GBD estimates'!$X$4:$X$1203=""Maternal and neonatal disorders"",'GBD estimates'!$Z$4:$Z$1203=""0 to 6 days (early neonatal)"")"),1116.024653)</f>
        <v>1116.024653</v>
      </c>
      <c r="AB115" s="634">
        <f>IFERROR(__xludf.DUMMYFUNCTION("FILTER('GBD estimates'!$AF$4:$AF$1203,'GBD estimates'!$AA$4:$AA$1203=AB$3,'GBD estimates'!$X$4:$X$1203=""Maternal and neonatal disorders"",'GBD estimates'!$Z$4:$Z$1203=""0 to 6 days (early neonatal)"")"),3435.724413)</f>
        <v>3435.724413</v>
      </c>
      <c r="AC115" s="634">
        <f>IFERROR(__xludf.DUMMYFUNCTION("FILTER('GBD estimates'!$AF$4:$AF$1203,'GBD estimates'!$AA$4:$AA$1203=AC$3,'GBD estimates'!$X$4:$X$1203=""Maternal and neonatal disorders"",'GBD estimates'!$Z$4:$Z$1203=""0 to 6 days (early neonatal)"")"),6392.322875)</f>
        <v>6392.322875</v>
      </c>
      <c r="AD115" s="634">
        <f>IFERROR(__xludf.DUMMYFUNCTION("FILTER('GBD estimates'!$AF$4:$AF$1203,'GBD estimates'!$AA$4:$AA$1203=AD$3,'GBD estimates'!$X$4:$X$1203=""Maternal and neonatal disorders"",'GBD estimates'!$Z$4:$Z$1203=""0 to 6 days (early neonatal)"")"),1541.522823)</f>
        <v>1541.522823</v>
      </c>
      <c r="AE115" s="634">
        <f>IFERROR(__xludf.DUMMYFUNCTION("FILTER('GBD estimates'!$AF$4:$AF$1203,'GBD estimates'!$AA$4:$AA$1203=AE$3,'GBD estimates'!$X$4:$X$1203=""Maternal and neonatal disorders"",'GBD estimates'!$Z$4:$Z$1203=""0 to 6 days (early neonatal)"")"),1729.804881)</f>
        <v>1729.804881</v>
      </c>
      <c r="AF115" s="634">
        <f>IFERROR(__xludf.DUMMYFUNCTION("FILTER('GBD estimates'!$AF$4:$AF$1203,'GBD estimates'!$AA$4:$AA$1203=AF$3,'GBD estimates'!$X$4:$X$1203=""Maternal and neonatal disorders"",'GBD estimates'!$Z$4:$Z$1203=""0 to 6 days (early neonatal)"")"),7301.674866)</f>
        <v>7301.674866</v>
      </c>
      <c r="AG115" s="640">
        <f>IFERROR(__xludf.DUMMYFUNCTION("FILTER('GBD estimates'!$I$4:$I$1203,'GBD estimates'!$C$4:$C$1203=AG$2,'GBD estimates'!$F$4:$F$1203=""Maternal and neonatal disorders"",'GBD estimates'!$E$4:$E$1203=""0-6 days"")"),16249.79464)</f>
        <v>16249.79464</v>
      </c>
      <c r="AH115" s="634">
        <f>IFERROR(__xludf.DUMMYFUNCTION("FILTER('GBD estimates'!$I$4:$I$1203,'GBD estimates'!$C$4:$C$1203=AH$2,'GBD estimates'!$F$4:$F$1203=""Maternal and neonatal disorders"",'GBD estimates'!$E$4:$E$1203=""0-6 days"")"),14735.82198)</f>
        <v>14735.82198</v>
      </c>
      <c r="AI115" s="634">
        <f>IFERROR(__xludf.DUMMYFUNCTION("FILTER('GBD estimates'!$I$4:$I$1203,'GBD estimates'!$C$4:$C$1203=AI$2,'GBD estimates'!$F$4:$F$1203=""Maternal and neonatal disorders"",'GBD estimates'!$E$4:$E$1203=""0-6 days"")"),4133.021645)</f>
        <v>4133.021645</v>
      </c>
      <c r="AJ115" s="423">
        <f>IFERROR(__xludf.DUMMYFUNCTION("FILTER('GBD estimates'!$I$4:$I$1203,'GBD estimates'!$C$4:$C$1203=AJ$2,'GBD estimates'!$F$4:$F$1203=""Maternal and neonatal disorders"",'GBD estimates'!$E$4:$E$1203=""0-6 days"")"),26328.24175)</f>
        <v>26328.24175</v>
      </c>
      <c r="AK115" s="516"/>
      <c r="AL115" s="555" t="s">
        <v>233</v>
      </c>
      <c r="AM115" s="518"/>
    </row>
    <row r="116">
      <c r="A116" s="477"/>
      <c r="B116" s="102"/>
      <c r="C116" s="130"/>
      <c r="D116" s="130"/>
      <c r="E116" s="510" t="s">
        <v>419</v>
      </c>
      <c r="F116" s="145" t="s">
        <v>101</v>
      </c>
      <c r="G116" s="435" t="s">
        <v>213</v>
      </c>
      <c r="H116" s="511" t="s">
        <v>165</v>
      </c>
      <c r="I116" s="634">
        <f>IFERROR(__xludf.DUMMYFUNCTION("FILTER('GBD estimates'!$I$4:$I$1203,'GBD estimates'!$C$4:$C$1203=I$2,'GBD estimates'!$F$4:$F$1203=""Maternal and neonatal disorders"",'GBD estimates'!$E$4:$E$1203=""7-27 days"")"),2871.548327)</f>
        <v>2871.548327</v>
      </c>
      <c r="J116" s="634">
        <f>IFERROR(__xludf.DUMMYFUNCTION("FILTER('GBD estimates'!$I$4:$I$1203,'GBD estimates'!$C$4:$C$1203=J$2,'GBD estimates'!$F$4:$F$1203=""Maternal and neonatal disorders"",'GBD estimates'!$E$4:$E$1203=""7-27 days"")"),1993.632276)</f>
        <v>1993.632276</v>
      </c>
      <c r="K116" s="634">
        <f>IFERROR(__xludf.DUMMYFUNCTION("FILTER('GBD estimates'!$I$4:$I$1203,'GBD estimates'!$C$4:$C$1203=K$2,'GBD estimates'!$F$4:$F$1203=""Maternal and neonatal disorders"",'GBD estimates'!$E$4:$E$1203=""7-27 days"")"),2448.882897)</f>
        <v>2448.882897</v>
      </c>
      <c r="L116" s="634">
        <f>IFERROR(__xludf.DUMMYFUNCTION("FILTER('GBD estimates'!$I$4:$I$1203,'GBD estimates'!$C$4:$C$1203=L$2,'GBD estimates'!$F$4:$F$1203=""Maternal and neonatal disorders"",'GBD estimates'!$E$4:$E$1203=""7-27 days"")"),2774.750799)</f>
        <v>2774.750799</v>
      </c>
      <c r="M116" s="634">
        <f>IFERROR(__xludf.DUMMYFUNCTION("FILTER('GBD estimates'!$I$4:$I$1203,'GBD estimates'!$C$4:$C$1203=M$2,'GBD estimates'!$F$4:$F$1203=""Maternal and neonatal disorders"",'GBD estimates'!$E$4:$E$1203=""7-27 days"")"),1682.633262)</f>
        <v>1682.633262</v>
      </c>
      <c r="N116" s="634">
        <f>IFERROR(__xludf.DUMMYFUNCTION("FILTER('GBD estimates'!$I$4:$I$1203,'GBD estimates'!$C$4:$C$1203=N$2,'GBD estimates'!$F$4:$F$1203=""Maternal and neonatal disorders"",'GBD estimates'!$E$4:$E$1203=""7-27 days"")"),2147.990078)</f>
        <v>2147.990078</v>
      </c>
      <c r="O116" s="634">
        <f>IFERROR(__xludf.DUMMYFUNCTION("FILTER('GBD estimates'!$I$4:$I$1203,'GBD estimates'!$C$4:$C$1203=O$2,'GBD estimates'!$F$4:$F$1203=""Maternal and neonatal disorders"",'GBD estimates'!$E$4:$E$1203=""7-27 days"")"),1190.442477)</f>
        <v>1190.442477</v>
      </c>
      <c r="P116" s="634">
        <f>IFERROR(__xludf.DUMMYFUNCTION("FILTER('GBD estimates'!$I$4:$I$1203,'GBD estimates'!$C$4:$C$1203=P$2,'GBD estimates'!$F$4:$F$1203=""Maternal and neonatal disorders"",'GBD estimates'!$E$4:$E$1203=""7-27 days"")"),3900.950649)</f>
        <v>3900.950649</v>
      </c>
      <c r="Q116" s="634">
        <f>IFERROR(__xludf.DUMMYFUNCTION("FILTER('GBD estimates'!$I$4:$I$1203,'GBD estimates'!$C$4:$C$1203=Q$2,'GBD estimates'!$F$4:$F$1203=""Maternal and neonatal disorders"",'GBD estimates'!$E$4:$E$1203=""7-27 days"")"),3507.607149)</f>
        <v>3507.607149</v>
      </c>
      <c r="R116" s="634">
        <f>IFERROR(__xludf.DUMMYFUNCTION("FILTER('GBD estimates'!$AF$4:$AF$1203,'GBD estimates'!$AA$4:$AA$1203=R$3,'GBD estimates'!$X$4:$X$1203=""Maternal and neonatal disorders"",'GBD estimates'!$Z$4:$Z$1203=""7 to 27 days (late neonatal)"")"),382.1643007)</f>
        <v>382.1643007</v>
      </c>
      <c r="S116" s="634">
        <f>IFERROR(__xludf.DUMMYFUNCTION("FILTER('GBD estimates'!$AF$4:$AF$1203,'GBD estimates'!$AA$4:$AA$1203=S$3,'GBD estimates'!$X$4:$X$1203=""Maternal and neonatal disorders"",'GBD estimates'!$Z$4:$Z$1203=""7 to 27 days (late neonatal)"")"),59.37587154)</f>
        <v>59.37587154</v>
      </c>
      <c r="T116" s="634">
        <f>IFERROR(__xludf.DUMMYFUNCTION("FILTER('GBD estimates'!$AF$4:$AF$1203,'GBD estimates'!$AA$4:$AA$1203=T$3,'GBD estimates'!$X$4:$X$1203=""Maternal and neonatal disorders"",'GBD estimates'!$Z$4:$Z$1203=""7 to 27 days (late neonatal)"")"),185.4924038)</f>
        <v>185.4924038</v>
      </c>
      <c r="U116" s="634">
        <f>IFERROR(__xludf.DUMMYFUNCTION("FILTER('GBD estimates'!$AF$4:$AF$1203,'GBD estimates'!$AA$4:$AA$1203=U$3,'GBD estimates'!$X$4:$X$1203=""Maternal and neonatal disorders"",'GBD estimates'!$Z$4:$Z$1203=""7 to 27 days (late neonatal)"")"),782.5246299)</f>
        <v>782.5246299</v>
      </c>
      <c r="V116" s="634">
        <f>IFERROR(__xludf.DUMMYFUNCTION("FILTER('GBD estimates'!$AF$4:$AF$1203,'GBD estimates'!$AA$4:$AA$1203=V$3,'GBD estimates'!$X$4:$X$1203=""Maternal and neonatal disorders"",'GBD estimates'!$Z$4:$Z$1203=""7 to 27 days (late neonatal)"")"),201.4449966)</f>
        <v>201.4449966</v>
      </c>
      <c r="W116" s="634">
        <f>IFERROR(__xludf.DUMMYFUNCTION("FILTER('GBD estimates'!$AF$4:$AF$1203,'GBD estimates'!$AA$4:$AA$1203=W$3,'GBD estimates'!$X$4:$X$1203=""Maternal and neonatal disorders"",'GBD estimates'!$Z$4:$Z$1203=""7 to 27 days (late neonatal)"")"),211.9590836)</f>
        <v>211.9590836</v>
      </c>
      <c r="X116" s="634">
        <f>IFERROR(__xludf.DUMMYFUNCTION("FILTER('GBD estimates'!$AF$4:$AF$1203,'GBD estimates'!$AA$4:$AA$1203=X$3,'GBD estimates'!$X$4:$X$1203=""Maternal and neonatal disorders"",'GBD estimates'!$Z$4:$Z$1203=""7 to 27 days (late neonatal)"")"),128.6627436)</f>
        <v>128.6627436</v>
      </c>
      <c r="Y116" s="634">
        <f>IFERROR(__xludf.DUMMYFUNCTION("FILTER('GBD estimates'!$AF$4:$AF$1203,'GBD estimates'!$AA$4:$AA$1203=Y$3,'GBD estimates'!$X$4:$X$1203=""Maternal and neonatal disorders"",'GBD estimates'!$Z$4:$Z$1203=""7 to 27 days (late neonatal)"")"),57.53671422)</f>
        <v>57.53671422</v>
      </c>
      <c r="Z116" s="634">
        <f>IFERROR(__xludf.DUMMYFUNCTION("FILTER('GBD estimates'!$AF$4:$AF$1203,'GBD estimates'!$AA$4:$AA$1203=Z$3,'GBD estimates'!$X$4:$X$1203=""Maternal and neonatal disorders"",'GBD estimates'!$Z$4:$Z$1203=""7 to 27 days (late neonatal)"")"),231.9343086)</f>
        <v>231.9343086</v>
      </c>
      <c r="AA116" s="634">
        <f>IFERROR(__xludf.DUMMYFUNCTION("FILTER('GBD estimates'!$AF$4:$AF$1203,'GBD estimates'!$AA$4:$AA$1203=AA$3,'GBD estimates'!$X$4:$X$1203=""Maternal and neonatal disorders"",'GBD estimates'!$Z$4:$Z$1203=""7 to 27 days (late neonatal)"")"),86.7536971)</f>
        <v>86.7536971</v>
      </c>
      <c r="AB116" s="634">
        <f>IFERROR(__xludf.DUMMYFUNCTION("FILTER('GBD estimates'!$AF$4:$AF$1203,'GBD estimates'!$AA$4:$AA$1203=AB$3,'GBD estimates'!$X$4:$X$1203=""Maternal and neonatal disorders"",'GBD estimates'!$Z$4:$Z$1203=""7 to 27 days (late neonatal)"")"),383.3115867)</f>
        <v>383.3115867</v>
      </c>
      <c r="AC116" s="634">
        <f>IFERROR(__xludf.DUMMYFUNCTION("FILTER('GBD estimates'!$AF$4:$AF$1203,'GBD estimates'!$AA$4:$AA$1203=AC$3,'GBD estimates'!$X$4:$X$1203=""Maternal and neonatal disorders"",'GBD estimates'!$Z$4:$Z$1203=""7 to 27 days (late neonatal)"")"),566.2539728)</f>
        <v>566.2539728</v>
      </c>
      <c r="AD116" s="634">
        <f>IFERROR(__xludf.DUMMYFUNCTION("FILTER('GBD estimates'!$AF$4:$AF$1203,'GBD estimates'!$AA$4:$AA$1203=AD$3,'GBD estimates'!$X$4:$X$1203=""Maternal and neonatal disorders"",'GBD estimates'!$Z$4:$Z$1203=""7 to 27 days (late neonatal)"")"),92.99284229)</f>
        <v>92.99284229</v>
      </c>
      <c r="AE116" s="634">
        <f>IFERROR(__xludf.DUMMYFUNCTION("FILTER('GBD estimates'!$AF$4:$AF$1203,'GBD estimates'!$AA$4:$AA$1203=AE$3,'GBD estimates'!$X$4:$X$1203=""Maternal and neonatal disorders"",'GBD estimates'!$Z$4:$Z$1203=""7 to 27 days (late neonatal)"")"),144.3570176)</f>
        <v>144.3570176</v>
      </c>
      <c r="AF116" s="634">
        <f>IFERROR(__xludf.DUMMYFUNCTION("FILTER('GBD estimates'!$AF$4:$AF$1203,'GBD estimates'!$AA$4:$AA$1203=AF$3,'GBD estimates'!$X$4:$X$1203=""Maternal and neonatal disorders"",'GBD estimates'!$Z$4:$Z$1203=""7 to 27 days (late neonatal)"")"),1030.86687)</f>
        <v>1030.86687</v>
      </c>
      <c r="AG116" s="640">
        <f>IFERROR(__xludf.DUMMYFUNCTION("FILTER('GBD estimates'!$I$4:$I$1203,'GBD estimates'!$C$4:$C$1203=AG$2,'GBD estimates'!$F$4:$F$1203=""Maternal and neonatal disorders"",'GBD estimates'!$E$4:$E$1203=""7-27 days"")"),1368.346182)</f>
        <v>1368.346182</v>
      </c>
      <c r="AH116" s="634">
        <f>IFERROR(__xludf.DUMMYFUNCTION("FILTER('GBD estimates'!$I$4:$I$1203,'GBD estimates'!$C$4:$C$1203=AH$2,'GBD estimates'!$F$4:$F$1203=""Maternal and neonatal disorders"",'GBD estimates'!$E$4:$E$1203=""7-27 days"")"),2253.178095)</f>
        <v>2253.178095</v>
      </c>
      <c r="AI116" s="634">
        <f>IFERROR(__xludf.DUMMYFUNCTION("FILTER('GBD estimates'!$I$4:$I$1203,'GBD estimates'!$C$4:$C$1203=AI$2,'GBD estimates'!$F$4:$F$1203=""Maternal and neonatal disorders"",'GBD estimates'!$E$4:$E$1203=""7-27 days"")"),318.3604065)</f>
        <v>318.3604065</v>
      </c>
      <c r="AJ116" s="423">
        <f>IFERROR(__xludf.DUMMYFUNCTION("FILTER('GBD estimates'!$I$4:$I$1203,'GBD estimates'!$C$4:$C$1203=AJ$2,'GBD estimates'!$F$4:$F$1203=""Maternal and neonatal disorders"",'GBD estimates'!$E$4:$E$1203=""7-27 days"")"),3460.287761)</f>
        <v>3460.287761</v>
      </c>
      <c r="AK116" s="516"/>
      <c r="AL116" s="555" t="s">
        <v>233</v>
      </c>
      <c r="AM116" s="518"/>
    </row>
    <row r="117">
      <c r="A117" s="477"/>
      <c r="B117" s="102"/>
      <c r="C117" s="130"/>
      <c r="D117" s="130"/>
      <c r="E117" s="498" t="s">
        <v>424</v>
      </c>
      <c r="F117" s="176" t="s">
        <v>101</v>
      </c>
      <c r="G117" s="499" t="s">
        <v>213</v>
      </c>
      <c r="H117" s="500" t="s">
        <v>165</v>
      </c>
      <c r="I117" s="612">
        <f>IFERROR(__xludf.DUMMYFUNCTION("FILTER('GBD estimates'!$I$4:$I$1203,'GBD estimates'!$C$4:$C$1203=I$2,'GBD estimates'!$F$4:$F$1203=""Maternal and neonatal disorders"",'GBD estimates'!$E$4:$E$1203=""28-364 days"")"),795.514825)</f>
        <v>795.514825</v>
      </c>
      <c r="J117" s="612">
        <f>IFERROR(__xludf.DUMMYFUNCTION("FILTER('GBD estimates'!$I$4:$I$1203,'GBD estimates'!$C$4:$C$1203=J$2,'GBD estimates'!$F$4:$F$1203=""Maternal and neonatal disorders"",'GBD estimates'!$E$4:$E$1203=""28-364 days"")"),274.2068971)</f>
        <v>274.2068971</v>
      </c>
      <c r="K117" s="612">
        <f>IFERROR(__xludf.DUMMYFUNCTION("FILTER('GBD estimates'!$I$4:$I$1203,'GBD estimates'!$C$4:$C$1203=K$2,'GBD estimates'!$F$4:$F$1203=""Maternal and neonatal disorders"",'GBD estimates'!$E$4:$E$1203=""28-364 days"")"),241.1186002)</f>
        <v>241.1186002</v>
      </c>
      <c r="L117" s="612">
        <f>IFERROR(__xludf.DUMMYFUNCTION("FILTER('GBD estimates'!$I$4:$I$1203,'GBD estimates'!$C$4:$C$1203=L$2,'GBD estimates'!$F$4:$F$1203=""Maternal and neonatal disorders"",'GBD estimates'!$E$4:$E$1203=""28-364 days"")"),914.4215202)</f>
        <v>914.4215202</v>
      </c>
      <c r="M117" s="612">
        <f>IFERROR(__xludf.DUMMYFUNCTION("FILTER('GBD estimates'!$I$4:$I$1203,'GBD estimates'!$C$4:$C$1203=M$2,'GBD estimates'!$F$4:$F$1203=""Maternal and neonatal disorders"",'GBD estimates'!$E$4:$E$1203=""28-364 days"")"),382.6165192)</f>
        <v>382.6165192</v>
      </c>
      <c r="N117" s="612">
        <f>IFERROR(__xludf.DUMMYFUNCTION("FILTER('GBD estimates'!$I$4:$I$1203,'GBD estimates'!$C$4:$C$1203=N$2,'GBD estimates'!$F$4:$F$1203=""Maternal and neonatal disorders"",'GBD estimates'!$E$4:$E$1203=""28-364 days"")"),503.5382165)</f>
        <v>503.5382165</v>
      </c>
      <c r="O117" s="612">
        <f>IFERROR(__xludf.DUMMYFUNCTION("FILTER('GBD estimates'!$I$4:$I$1203,'GBD estimates'!$C$4:$C$1203=O$2,'GBD estimates'!$F$4:$F$1203=""Maternal and neonatal disorders"",'GBD estimates'!$E$4:$E$1203=""28-364 days"")"),438.4947609)</f>
        <v>438.4947609</v>
      </c>
      <c r="P117" s="612">
        <f>IFERROR(__xludf.DUMMYFUNCTION("FILTER('GBD estimates'!$I$4:$I$1203,'GBD estimates'!$C$4:$C$1203=P$2,'GBD estimates'!$F$4:$F$1203=""Maternal and neonatal disorders"",'GBD estimates'!$E$4:$E$1203=""28-364 days"")"),1466.084547)</f>
        <v>1466.084547</v>
      </c>
      <c r="Q117" s="612">
        <f>IFERROR(__xludf.DUMMYFUNCTION("FILTER('GBD estimates'!$I$4:$I$1203,'GBD estimates'!$C$4:$C$1203=Q$2,'GBD estimates'!$F$4:$F$1203=""Maternal and neonatal disorders"",'GBD estimates'!$E$4:$E$1203=""28-364 days"")"),421.2773139)</f>
        <v>421.2773139</v>
      </c>
      <c r="R117" s="612">
        <f>IFERROR(__xludf.DUMMYFUNCTION("FILTER('GBD estimates'!$AF$4:$AF$1203,'GBD estimates'!$AA$4:$AA$1203=R$3,'GBD estimates'!$X$4:$X$1203=""Maternal and neonatal disorders"",'GBD estimates'!$Z$4:$Z$1203=""28 to 364 days (post neonatal)"")"),23.93739897)</f>
        <v>23.93739897</v>
      </c>
      <c r="S117" s="612">
        <f>IFERROR(__xludf.DUMMYFUNCTION("FILTER('GBD estimates'!$AF$4:$AF$1203,'GBD estimates'!$AA$4:$AA$1203=S$3,'GBD estimates'!$X$4:$X$1203=""Maternal and neonatal disorders"",'GBD estimates'!$Z$4:$Z$1203=""28 to 364 days (post neonatal)"")"),3.470194986)</f>
        <v>3.470194986</v>
      </c>
      <c r="T117" s="612">
        <f>IFERROR(__xludf.DUMMYFUNCTION("FILTER('GBD estimates'!$AF$4:$AF$1203,'GBD estimates'!$AA$4:$AA$1203=T$3,'GBD estimates'!$X$4:$X$1203=""Maternal and neonatal disorders"",'GBD estimates'!$Z$4:$Z$1203=""28 to 364 days (post neonatal)"")"),12.40965662)</f>
        <v>12.40965662</v>
      </c>
      <c r="U117" s="612">
        <f>IFERROR(__xludf.DUMMYFUNCTION("FILTER('GBD estimates'!$AF$4:$AF$1203,'GBD estimates'!$AA$4:$AA$1203=U$3,'GBD estimates'!$X$4:$X$1203=""Maternal and neonatal disorders"",'GBD estimates'!$Z$4:$Z$1203=""28 to 364 days (post neonatal)"")"),56.5762361)</f>
        <v>56.5762361</v>
      </c>
      <c r="V117" s="612">
        <f>IFERROR(__xludf.DUMMYFUNCTION("FILTER('GBD estimates'!$AF$4:$AF$1203,'GBD estimates'!$AA$4:$AA$1203=V$3,'GBD estimates'!$X$4:$X$1203=""Maternal and neonatal disorders"",'GBD estimates'!$Z$4:$Z$1203=""28 to 364 days (post neonatal)"")"),13.55421143)</f>
        <v>13.55421143</v>
      </c>
      <c r="W117" s="612">
        <f>IFERROR(__xludf.DUMMYFUNCTION("FILTER('GBD estimates'!$AF$4:$AF$1203,'GBD estimates'!$AA$4:$AA$1203=W$3,'GBD estimates'!$X$4:$X$1203=""Maternal and neonatal disorders"",'GBD estimates'!$Z$4:$Z$1203=""28 to 364 days (post neonatal)"")"),13.08172858)</f>
        <v>13.08172858</v>
      </c>
      <c r="X117" s="612">
        <f>IFERROR(__xludf.DUMMYFUNCTION("FILTER('GBD estimates'!$AF$4:$AF$1203,'GBD estimates'!$AA$4:$AA$1203=X$3,'GBD estimates'!$X$4:$X$1203=""Maternal and neonatal disorders"",'GBD estimates'!$Z$4:$Z$1203=""28 to 364 days (post neonatal)"")"),8.62938334)</f>
        <v>8.62938334</v>
      </c>
      <c r="Y117" s="612">
        <f>IFERROR(__xludf.DUMMYFUNCTION("FILTER('GBD estimates'!$AF$4:$AF$1203,'GBD estimates'!$AA$4:$AA$1203=Y$3,'GBD estimates'!$X$4:$X$1203=""Maternal and neonatal disorders"",'GBD estimates'!$Z$4:$Z$1203=""28 to 364 days (post neonatal)"")"),3.668498765)</f>
        <v>3.668498765</v>
      </c>
      <c r="Z117" s="612">
        <f>IFERROR(__xludf.DUMMYFUNCTION("FILTER('GBD estimates'!$AF$4:$AF$1203,'GBD estimates'!$AA$4:$AA$1203=Z$3,'GBD estimates'!$X$4:$X$1203=""Maternal and neonatal disorders"",'GBD estimates'!$Z$4:$Z$1203=""28 to 364 days (post neonatal)"")"),14.27049462)</f>
        <v>14.27049462</v>
      </c>
      <c r="AA117" s="612">
        <f>IFERROR(__xludf.DUMMYFUNCTION("FILTER('GBD estimates'!$AF$4:$AF$1203,'GBD estimates'!$AA$4:$AA$1203=AA$3,'GBD estimates'!$X$4:$X$1203=""Maternal and neonatal disorders"",'GBD estimates'!$Z$4:$Z$1203=""28 to 364 days (post neonatal)"")"),5.609303214)</f>
        <v>5.609303214</v>
      </c>
      <c r="AB117" s="612">
        <f>IFERROR(__xludf.DUMMYFUNCTION("FILTER('GBD estimates'!$AF$4:$AF$1203,'GBD estimates'!$AA$4:$AA$1203=AB$3,'GBD estimates'!$X$4:$X$1203=""Maternal and neonatal disorders"",'GBD estimates'!$Z$4:$Z$1203=""28 to 364 days (post neonatal)"")"),25.34467223)</f>
        <v>25.34467223</v>
      </c>
      <c r="AC117" s="612">
        <f>IFERROR(__xludf.DUMMYFUNCTION("FILTER('GBD estimates'!$AF$4:$AF$1203,'GBD estimates'!$AA$4:$AA$1203=AC$3,'GBD estimates'!$X$4:$X$1203=""Maternal and neonatal disorders"",'GBD estimates'!$Z$4:$Z$1203=""28 to 364 days (post neonatal)"")"),34.276653)</f>
        <v>34.276653</v>
      </c>
      <c r="AD117" s="612">
        <f>IFERROR(__xludf.DUMMYFUNCTION("FILTER('GBD estimates'!$AF$4:$AF$1203,'GBD estimates'!$AA$4:$AA$1203=AD$3,'GBD estimates'!$X$4:$X$1203=""Maternal and neonatal disorders"",'GBD estimates'!$Z$4:$Z$1203=""28 to 364 days (post neonatal)"")"),6.023461456)</f>
        <v>6.023461456</v>
      </c>
      <c r="AE117" s="612">
        <f>IFERROR(__xludf.DUMMYFUNCTION("FILTER('GBD estimates'!$AF$4:$AF$1203,'GBD estimates'!$AA$4:$AA$1203=AE$3,'GBD estimates'!$X$4:$X$1203=""Maternal and neonatal disorders"",'GBD estimates'!$Z$4:$Z$1203=""28 to 364 days (post neonatal)"")"),8.99197252)</f>
        <v>8.99197252</v>
      </c>
      <c r="AF117" s="612">
        <f>IFERROR(__xludf.DUMMYFUNCTION("FILTER('GBD estimates'!$AF$4:$AF$1203,'GBD estimates'!$AA$4:$AA$1203=AF$3,'GBD estimates'!$X$4:$X$1203=""Maternal and neonatal disorders"",'GBD estimates'!$Z$4:$Z$1203=""28 to 364 days (post neonatal)"")"),60.96617863)</f>
        <v>60.96617863</v>
      </c>
      <c r="AG117" s="663">
        <f>IFERROR(__xludf.DUMMYFUNCTION("FILTER('GBD estimates'!$I$4:$I$1203,'GBD estimates'!$C$4:$C$1203=AG$2,'GBD estimates'!$F$4:$F$1203=""Maternal and neonatal disorders"",'GBD estimates'!$E$4:$E$1203=""28-364 days"")"),517.050853)</f>
        <v>517.050853</v>
      </c>
      <c r="AH117" s="612">
        <f>IFERROR(__xludf.DUMMYFUNCTION("FILTER('GBD estimates'!$I$4:$I$1203,'GBD estimates'!$C$4:$C$1203=AH$2,'GBD estimates'!$F$4:$F$1203=""Maternal and neonatal disorders"",'GBD estimates'!$E$4:$E$1203=""28-364 days"")"),297.4094461)</f>
        <v>297.4094461</v>
      </c>
      <c r="AI117" s="612">
        <f>IFERROR(__xludf.DUMMYFUNCTION("FILTER('GBD estimates'!$I$4:$I$1203,'GBD estimates'!$C$4:$C$1203=AI$2,'GBD estimates'!$F$4:$F$1203=""Maternal and neonatal disorders"",'GBD estimates'!$E$4:$E$1203=""28-364 days"")"),54.21432658)</f>
        <v>54.21432658</v>
      </c>
      <c r="AJ117" s="664">
        <f>IFERROR(__xludf.DUMMYFUNCTION("FILTER('GBD estimates'!$I$4:$I$1203,'GBD estimates'!$C$4:$C$1203=AJ$2,'GBD estimates'!$F$4:$F$1203=""Maternal and neonatal disorders"",'GBD estimates'!$E$4:$E$1203=""28-364 days"")"),1067.196919)</f>
        <v>1067.196919</v>
      </c>
      <c r="AK117" s="505"/>
      <c r="AL117" s="560" t="s">
        <v>233</v>
      </c>
      <c r="AM117" s="507"/>
    </row>
    <row r="118">
      <c r="A118" s="477"/>
      <c r="B118" s="102"/>
      <c r="C118" s="130"/>
      <c r="D118" s="130"/>
      <c r="E118" s="525"/>
      <c r="F118" s="132"/>
      <c r="G118" s="155"/>
      <c r="H118" s="478"/>
      <c r="I118" s="479"/>
      <c r="J118" s="479"/>
      <c r="K118" s="479"/>
      <c r="L118" s="479"/>
      <c r="M118" s="479"/>
      <c r="N118" s="479"/>
      <c r="O118" s="479"/>
      <c r="P118" s="479"/>
      <c r="Q118" s="479"/>
      <c r="R118" s="479"/>
      <c r="S118" s="479"/>
      <c r="T118" s="479"/>
      <c r="U118" s="479"/>
      <c r="V118" s="479"/>
      <c r="W118" s="479"/>
      <c r="X118" s="479"/>
      <c r="Y118" s="479"/>
      <c r="Z118" s="479"/>
      <c r="AA118" s="479"/>
      <c r="AB118" s="479"/>
      <c r="AC118" s="479"/>
      <c r="AD118" s="479"/>
      <c r="AE118" s="479"/>
      <c r="AF118" s="479"/>
      <c r="AG118" s="480"/>
      <c r="AH118" s="479"/>
      <c r="AI118" s="479"/>
      <c r="AJ118" s="481"/>
      <c r="AK118" s="482"/>
      <c r="AL118" s="483"/>
      <c r="AM118" s="484"/>
    </row>
    <row r="119">
      <c r="A119" s="477"/>
      <c r="B119" s="102"/>
      <c r="C119" s="130" t="s">
        <v>428</v>
      </c>
      <c r="F119" s="132"/>
      <c r="G119" s="155"/>
      <c r="H119" s="478"/>
      <c r="I119" s="479"/>
      <c r="J119" s="479"/>
      <c r="K119" s="479"/>
      <c r="L119" s="479"/>
      <c r="M119" s="479"/>
      <c r="N119" s="479"/>
      <c r="O119" s="479"/>
      <c r="P119" s="479"/>
      <c r="Q119" s="479"/>
      <c r="R119" s="479"/>
      <c r="S119" s="479"/>
      <c r="T119" s="479"/>
      <c r="U119" s="479"/>
      <c r="V119" s="479"/>
      <c r="W119" s="479"/>
      <c r="X119" s="479"/>
      <c r="Y119" s="479"/>
      <c r="Z119" s="479"/>
      <c r="AA119" s="479"/>
      <c r="AB119" s="479"/>
      <c r="AC119" s="479"/>
      <c r="AD119" s="479"/>
      <c r="AE119" s="479"/>
      <c r="AF119" s="479"/>
      <c r="AG119" s="480"/>
      <c r="AH119" s="479"/>
      <c r="AI119" s="479"/>
      <c r="AJ119" s="481"/>
      <c r="AK119" s="482"/>
      <c r="AL119" s="483"/>
      <c r="AM119" s="484"/>
    </row>
    <row r="120">
      <c r="A120" s="477"/>
      <c r="B120" s="102"/>
      <c r="C120" s="130"/>
      <c r="D120" s="130"/>
      <c r="E120" s="486" t="s">
        <v>430</v>
      </c>
      <c r="F120" s="114" t="s">
        <v>101</v>
      </c>
      <c r="G120" s="255" t="s">
        <v>213</v>
      </c>
      <c r="H120" s="487" t="s">
        <v>165</v>
      </c>
      <c r="I120" s="624">
        <f>IFERROR(__xludf.DUMMYFUNCTION("FILTER('GBD estimates'!$I$4:$I$1203,'GBD estimates'!$C$4:$C$1203=I$2,'GBD estimates'!$F$4:$F$1203=""Nutritional deficiencies"",'GBD estimates'!$E$4:$E$1203=""&lt;5 years"")"),3240.766172)</f>
        <v>3240.766172</v>
      </c>
      <c r="J120" s="624">
        <f>IFERROR(__xludf.DUMMYFUNCTION("FILTER('GBD estimates'!$I$4:$I$1203,'GBD estimates'!$C$4:$C$1203=J$2,'GBD estimates'!$F$4:$F$1203=""Nutritional deficiencies"",'GBD estimates'!$E$4:$E$1203=""&lt;5 years"")"),511.8589187)</f>
        <v>511.8589187</v>
      </c>
      <c r="K120" s="624">
        <f>IFERROR(__xludf.DUMMYFUNCTION("FILTER('GBD estimates'!$I$4:$I$1203,'GBD estimates'!$C$4:$C$1203=K$2,'GBD estimates'!$F$4:$F$1203=""Nutritional deficiencies"",'GBD estimates'!$E$4:$E$1203=""&lt;5 years"")"),405.2707627)</f>
        <v>405.2707627</v>
      </c>
      <c r="L120" s="624">
        <f>IFERROR(__xludf.DUMMYFUNCTION("FILTER('GBD estimates'!$I$4:$I$1203,'GBD estimates'!$C$4:$C$1203=L$2,'GBD estimates'!$F$4:$F$1203=""Nutritional deficiencies"",'GBD estimates'!$E$4:$E$1203=""&lt;5 years"")"),3209.696883)</f>
        <v>3209.696883</v>
      </c>
      <c r="M120" s="624">
        <f>IFERROR(__xludf.DUMMYFUNCTION("FILTER('GBD estimates'!$I$4:$I$1203,'GBD estimates'!$C$4:$C$1203=M$2,'GBD estimates'!$F$4:$F$1203=""Nutritional deficiencies"",'GBD estimates'!$E$4:$E$1203=""&lt;5 years"")"),1366.196343)</f>
        <v>1366.196343</v>
      </c>
      <c r="N120" s="624">
        <f>IFERROR(__xludf.DUMMYFUNCTION("FILTER('GBD estimates'!$I$4:$I$1203,'GBD estimates'!$C$4:$C$1203=N$2,'GBD estimates'!$F$4:$F$1203=""Nutritional deficiencies"",'GBD estimates'!$E$4:$E$1203=""&lt;5 years"")"),2228.863407)</f>
        <v>2228.863407</v>
      </c>
      <c r="O120" s="624">
        <f>IFERROR(__xludf.DUMMYFUNCTION("FILTER('GBD estimates'!$I$4:$I$1203,'GBD estimates'!$C$4:$C$1203=O$2,'GBD estimates'!$F$4:$F$1203=""Nutritional deficiencies"",'GBD estimates'!$E$4:$E$1203=""&lt;5 years"")"),2713.235172)</f>
        <v>2713.235172</v>
      </c>
      <c r="P120" s="624">
        <f>IFERROR(__xludf.DUMMYFUNCTION("FILTER('GBD estimates'!$I$4:$I$1203,'GBD estimates'!$C$4:$C$1203=P$2,'GBD estimates'!$F$4:$F$1203=""Nutritional deficiencies"",'GBD estimates'!$E$4:$E$1203=""&lt;5 years"")"),12360.99778)</f>
        <v>12360.99778</v>
      </c>
      <c r="Q120" s="624">
        <f>IFERROR(__xludf.DUMMYFUNCTION("FILTER('GBD estimates'!$I$4:$I$1203,'GBD estimates'!$C$4:$C$1203=Q$2,'GBD estimates'!$F$4:$F$1203=""Nutritional deficiencies"",'GBD estimates'!$E$4:$E$1203=""&lt;5 years"")"),2170.903038)</f>
        <v>2170.903038</v>
      </c>
      <c r="R120" s="624">
        <f>IFERROR(__xludf.DUMMYFUNCTION("FILTER('GBD estimates'!$AF$4:$AF$1203,'GBD estimates'!$AA$4:$AA$1203=R$3,'GBD estimates'!$X$4:$X$1203=""Nutritional deficiencies"",'GBD estimates'!$Z$4:$Z$1203=""Under 5"")"),93.41445483)</f>
        <v>93.41445483</v>
      </c>
      <c r="S120" s="624">
        <f>IFERROR(__xludf.DUMMYFUNCTION("FILTER('GBD estimates'!$AF$4:$AF$1203,'GBD estimates'!$AA$4:$AA$1203=S$3,'GBD estimates'!$X$4:$X$1203=""Nutritional deficiencies"",'GBD estimates'!$Z$4:$Z$1203=""Under 5"")"),7.981324951)</f>
        <v>7.981324951</v>
      </c>
      <c r="T120" s="624">
        <f>IFERROR(__xludf.DUMMYFUNCTION("FILTER('GBD estimates'!$AF$4:$AF$1203,'GBD estimates'!$AA$4:$AA$1203=T$3,'GBD estimates'!$X$4:$X$1203=""Nutritional deficiencies"",'GBD estimates'!$Z$4:$Z$1203=""Under 5"")"),22.19935276)</f>
        <v>22.19935276</v>
      </c>
      <c r="U120" s="624">
        <f>IFERROR(__xludf.DUMMYFUNCTION("FILTER('GBD estimates'!$AF$4:$AF$1203,'GBD estimates'!$AA$4:$AA$1203=U$3,'GBD estimates'!$X$4:$X$1203=""Nutritional deficiencies"",'GBD estimates'!$Z$4:$Z$1203=""Under 5"")"),137.2677538)</f>
        <v>137.2677538</v>
      </c>
      <c r="V120" s="624">
        <f>IFERROR(__xludf.DUMMYFUNCTION("FILTER('GBD estimates'!$AF$4:$AF$1203,'GBD estimates'!$AA$4:$AA$1203=V$3,'GBD estimates'!$X$4:$X$1203=""Nutritional deficiencies"",'GBD estimates'!$Z$4:$Z$1203=""Under 5"")"),42.083102)</f>
        <v>42.083102</v>
      </c>
      <c r="W120" s="624">
        <f>IFERROR(__xludf.DUMMYFUNCTION("FILTER('GBD estimates'!$AF$4:$AF$1203,'GBD estimates'!$AA$4:$AA$1203=W$3,'GBD estimates'!$X$4:$X$1203=""Nutritional deficiencies"",'GBD estimates'!$Z$4:$Z$1203=""Under 5"")"),41.36376613)</f>
        <v>41.36376613</v>
      </c>
      <c r="X120" s="624">
        <f>IFERROR(__xludf.DUMMYFUNCTION("FILTER('GBD estimates'!$AF$4:$AF$1203,'GBD estimates'!$AA$4:$AA$1203=X$3,'GBD estimates'!$X$4:$X$1203=""Nutritional deficiencies"",'GBD estimates'!$Z$4:$Z$1203=""Under 5"")"),22.16163252)</f>
        <v>22.16163252</v>
      </c>
      <c r="Y120" s="624">
        <f>IFERROR(__xludf.DUMMYFUNCTION("FILTER('GBD estimates'!$AF$4:$AF$1203,'GBD estimates'!$AA$4:$AA$1203=Y$3,'GBD estimates'!$X$4:$X$1203=""Nutritional deficiencies"",'GBD estimates'!$Z$4:$Z$1203=""Under 5"")"),10.94014326)</f>
        <v>10.94014326</v>
      </c>
      <c r="Z120" s="624">
        <f>IFERROR(__xludf.DUMMYFUNCTION("FILTER('GBD estimates'!$AF$4:$AF$1203,'GBD estimates'!$AA$4:$AA$1203=Z$3,'GBD estimates'!$X$4:$X$1203=""Nutritional deficiencies"",'GBD estimates'!$Z$4:$Z$1203=""Under 5"")"),26.03646214)</f>
        <v>26.03646214</v>
      </c>
      <c r="AA120" s="624">
        <f>IFERROR(__xludf.DUMMYFUNCTION("FILTER('GBD estimates'!$AF$4:$AF$1203,'GBD estimates'!$AA$4:$AA$1203=AA$3,'GBD estimates'!$X$4:$X$1203=""Nutritional deficiencies"",'GBD estimates'!$Z$4:$Z$1203=""Under 5"")"),14.90612651)</f>
        <v>14.90612651</v>
      </c>
      <c r="AB120" s="624">
        <f>IFERROR(__xludf.DUMMYFUNCTION("FILTER('GBD estimates'!$AF$4:$AF$1203,'GBD estimates'!$AA$4:$AA$1203=AB$3,'GBD estimates'!$X$4:$X$1203=""Nutritional deficiencies"",'GBD estimates'!$Z$4:$Z$1203=""Under 5"")"),76.47365451)</f>
        <v>76.47365451</v>
      </c>
      <c r="AC120" s="624">
        <f>IFERROR(__xludf.DUMMYFUNCTION("FILTER('GBD estimates'!$AF$4:$AF$1203,'GBD estimates'!$AA$4:$AA$1203=AC$3,'GBD estimates'!$X$4:$X$1203=""Nutritional deficiencies"",'GBD estimates'!$Z$4:$Z$1203=""Under 5"")"),81.16861838)</f>
        <v>81.16861838</v>
      </c>
      <c r="AD120" s="624">
        <f>IFERROR(__xludf.DUMMYFUNCTION("FILTER('GBD estimates'!$AF$4:$AF$1203,'GBD estimates'!$AA$4:$AA$1203=AD$3,'GBD estimates'!$X$4:$X$1203=""Nutritional deficiencies"",'GBD estimates'!$Z$4:$Z$1203=""Under 5"")"),12.07559408)</f>
        <v>12.07559408</v>
      </c>
      <c r="AE120" s="624">
        <f>IFERROR(__xludf.DUMMYFUNCTION("FILTER('GBD estimates'!$AF$4:$AF$1203,'GBD estimates'!$AA$4:$AA$1203=AE$3,'GBD estimates'!$X$4:$X$1203=""Nutritional deficiencies"",'GBD estimates'!$Z$4:$Z$1203=""Under 5"")"),27.24434138)</f>
        <v>27.24434138</v>
      </c>
      <c r="AF120" s="624">
        <f>IFERROR(__xludf.DUMMYFUNCTION("FILTER('GBD estimates'!$AF$4:$AF$1203,'GBD estimates'!$AA$4:$AA$1203=AF$3,'GBD estimates'!$X$4:$X$1203=""Nutritional deficiencies"",'GBD estimates'!$Z$4:$Z$1203=""Under 5"")"),217.9004706)</f>
        <v>217.9004706</v>
      </c>
      <c r="AG120" s="630">
        <f>IFERROR(__xludf.DUMMYFUNCTION("FILTER('GBD estimates'!$I$4:$I$1203,'GBD estimates'!$C$4:$C$1203=AG$2,'GBD estimates'!$F$4:$F$1203=""Nutritional deficiencies"",'GBD estimates'!$E$4:$E$1203=""&lt;5 years"")"),1856.458748)</f>
        <v>1856.458748</v>
      </c>
      <c r="AH120" s="624">
        <f>IFERROR(__xludf.DUMMYFUNCTION("FILTER('GBD estimates'!$I$4:$I$1203,'GBD estimates'!$C$4:$C$1203=AH$2,'GBD estimates'!$F$4:$F$1203=""Nutritional deficiencies"",'GBD estimates'!$E$4:$E$1203=""&lt;5 years"")"),1797.586184)</f>
        <v>1797.586184</v>
      </c>
      <c r="AI120" s="624">
        <f>IFERROR(__xludf.DUMMYFUNCTION("FILTER('GBD estimates'!$I$4:$I$1203,'GBD estimates'!$C$4:$C$1203=AI$2,'GBD estimates'!$F$4:$F$1203=""Nutritional deficiencies"",'GBD estimates'!$E$4:$E$1203=""&lt;5 years"")"),94.18087009)</f>
        <v>94.18087009</v>
      </c>
      <c r="AJ120" s="633">
        <f>IFERROR(__xludf.DUMMYFUNCTION("FILTER('GBD estimates'!$I$4:$I$1203,'GBD estimates'!$C$4:$C$1203=AJ$2,'GBD estimates'!$F$4:$F$1203=""Nutritional deficiencies"",'GBD estimates'!$E$4:$E$1203=""&lt;5 years"")"),2544.791322)</f>
        <v>2544.791322</v>
      </c>
      <c r="AK120" s="492"/>
      <c r="AL120" s="553" t="s">
        <v>233</v>
      </c>
      <c r="AM120" s="497"/>
    </row>
    <row r="121">
      <c r="A121" s="477"/>
      <c r="B121" s="102"/>
      <c r="C121" s="130"/>
      <c r="D121" s="130"/>
      <c r="E121" s="510" t="s">
        <v>436</v>
      </c>
      <c r="F121" s="145" t="s">
        <v>101</v>
      </c>
      <c r="G121" s="435" t="s">
        <v>213</v>
      </c>
      <c r="H121" s="511" t="s">
        <v>165</v>
      </c>
      <c r="I121" s="634">
        <f>IFERROR(__xludf.DUMMYFUNCTION("FILTER('GBD estimates'!$I$4:$I$1203,'GBD estimates'!$C$4:$C$1203=I$2,'GBD estimates'!$F$4:$F$1203=""Nutritional deficiencies"",'GBD estimates'!$E$4:$E$1203=""0-6 days"")"),0.0)</f>
        <v>0</v>
      </c>
      <c r="J121" s="634">
        <f>IFERROR(__xludf.DUMMYFUNCTION("FILTER('GBD estimates'!$I$4:$I$1203,'GBD estimates'!$C$4:$C$1203=J$2,'GBD estimates'!$F$4:$F$1203=""Nutritional deficiencies"",'GBD estimates'!$E$4:$E$1203=""0-6 days"")"),0.0)</f>
        <v>0</v>
      </c>
      <c r="K121" s="634">
        <f>IFERROR(__xludf.DUMMYFUNCTION("FILTER('GBD estimates'!$I$4:$I$1203,'GBD estimates'!$C$4:$C$1203=K$2,'GBD estimates'!$F$4:$F$1203=""Nutritional deficiencies"",'GBD estimates'!$E$4:$E$1203=""0-6 days"")"),0.0)</f>
        <v>0</v>
      </c>
      <c r="L121" s="634">
        <f>IFERROR(__xludf.DUMMYFUNCTION("FILTER('GBD estimates'!$I$4:$I$1203,'GBD estimates'!$C$4:$C$1203=L$2,'GBD estimates'!$F$4:$F$1203=""Nutritional deficiencies"",'GBD estimates'!$E$4:$E$1203=""0-6 days"")"),0.0)</f>
        <v>0</v>
      </c>
      <c r="M121" s="634">
        <f>IFERROR(__xludf.DUMMYFUNCTION("FILTER('GBD estimates'!$I$4:$I$1203,'GBD estimates'!$C$4:$C$1203=M$2,'GBD estimates'!$F$4:$F$1203=""Nutritional deficiencies"",'GBD estimates'!$E$4:$E$1203=""0-6 days"")"),0.0)</f>
        <v>0</v>
      </c>
      <c r="N121" s="634">
        <f>IFERROR(__xludf.DUMMYFUNCTION("FILTER('GBD estimates'!$I$4:$I$1203,'GBD estimates'!$C$4:$C$1203=N$2,'GBD estimates'!$F$4:$F$1203=""Nutritional deficiencies"",'GBD estimates'!$E$4:$E$1203=""0-6 days"")"),0.0)</f>
        <v>0</v>
      </c>
      <c r="O121" s="634">
        <f>IFERROR(__xludf.DUMMYFUNCTION("FILTER('GBD estimates'!$I$4:$I$1203,'GBD estimates'!$C$4:$C$1203=O$2,'GBD estimates'!$F$4:$F$1203=""Nutritional deficiencies"",'GBD estimates'!$E$4:$E$1203=""0-6 days"")"),0.0)</f>
        <v>0</v>
      </c>
      <c r="P121" s="634">
        <f>IFERROR(__xludf.DUMMYFUNCTION("FILTER('GBD estimates'!$I$4:$I$1203,'GBD estimates'!$C$4:$C$1203=P$2,'GBD estimates'!$F$4:$F$1203=""Nutritional deficiencies"",'GBD estimates'!$E$4:$E$1203=""0-6 days"")"),0.0)</f>
        <v>0</v>
      </c>
      <c r="Q121" s="634">
        <f>IFERROR(__xludf.DUMMYFUNCTION("FILTER('GBD estimates'!$I$4:$I$1203,'GBD estimates'!$C$4:$C$1203=Q$2,'GBD estimates'!$F$4:$F$1203=""Nutritional deficiencies"",'GBD estimates'!$E$4:$E$1203=""0-6 days"")"),0.0)</f>
        <v>0</v>
      </c>
      <c r="R121" s="634" t="str">
        <f>IFERROR(__xludf.DUMMYFUNCTION("IFERROR(FILTER('GBD estimates'!$AF$4:$AF$1203,'GBD estimates'!$AA$4:$AA$1203=R$3,'GBD estimates'!$X$4:$X$1203=""Nutritional deficiencies"",'GBD estimates'!$Z$4:$Z$1203=""0 to 6 days (early neonatal)""),""-"")"),"-")</f>
        <v>-</v>
      </c>
      <c r="S121" s="634" t="str">
        <f>IFERROR(__xludf.DUMMYFUNCTION("IFERROR(FILTER('GBD estimates'!$AF$4:$AF$1203,'GBD estimates'!$AA$4:$AA$1203=S$3,'GBD estimates'!$X$4:$X$1203=""Nutritional deficiencies"",'GBD estimates'!$Z$4:$Z$1203=""0 to 6 days (early neonatal)""),""-"")"),"-")</f>
        <v>-</v>
      </c>
      <c r="T121" s="634" t="str">
        <f>IFERROR(__xludf.DUMMYFUNCTION("IFERROR(FILTER('GBD estimates'!$AF$4:$AF$1203,'GBD estimates'!$AA$4:$AA$1203=T$3,'GBD estimates'!$X$4:$X$1203=""Nutritional deficiencies"",'GBD estimates'!$Z$4:$Z$1203=""0 to 6 days (early neonatal)""),""-"")"),"-")</f>
        <v>-</v>
      </c>
      <c r="U121" s="634" t="str">
        <f>IFERROR(__xludf.DUMMYFUNCTION("IFERROR(FILTER('GBD estimates'!$AF$4:$AF$1203,'GBD estimates'!$AA$4:$AA$1203=U$3,'GBD estimates'!$X$4:$X$1203=""Nutritional deficiencies"",'GBD estimates'!$Z$4:$Z$1203=""0 to 6 days (early neonatal)""),""-"")"),"-")</f>
        <v>-</v>
      </c>
      <c r="V121" s="634" t="str">
        <f>IFERROR(__xludf.DUMMYFUNCTION("IFERROR(FILTER('GBD estimates'!$AF$4:$AF$1203,'GBD estimates'!$AA$4:$AA$1203=V$3,'GBD estimates'!$X$4:$X$1203=""Nutritional deficiencies"",'GBD estimates'!$Z$4:$Z$1203=""0 to 6 days (early neonatal)""),""-"")"),"-")</f>
        <v>-</v>
      </c>
      <c r="W121" s="634" t="str">
        <f>IFERROR(__xludf.DUMMYFUNCTION("IFERROR(FILTER('GBD estimates'!$AF$4:$AF$1203,'GBD estimates'!$AA$4:$AA$1203=W$3,'GBD estimates'!$X$4:$X$1203=""Nutritional deficiencies"",'GBD estimates'!$Z$4:$Z$1203=""0 to 6 days (early neonatal)""),""-"")"),"-")</f>
        <v>-</v>
      </c>
      <c r="X121" s="634" t="str">
        <f>IFERROR(__xludf.DUMMYFUNCTION("IFERROR(FILTER('GBD estimates'!$AF$4:$AF$1203,'GBD estimates'!$AA$4:$AA$1203=X$3,'GBD estimates'!$X$4:$X$1203=""Nutritional deficiencies"",'GBD estimates'!$Z$4:$Z$1203=""0 to 6 days (early neonatal)""),""-"")"),"-")</f>
        <v>-</v>
      </c>
      <c r="Y121" s="634" t="str">
        <f>IFERROR(__xludf.DUMMYFUNCTION("IFERROR(FILTER('GBD estimates'!$AF$4:$AF$1203,'GBD estimates'!$AA$4:$AA$1203=Y$3,'GBD estimates'!$X$4:$X$1203=""Nutritional deficiencies"",'GBD estimates'!$Z$4:$Z$1203=""0 to 6 days (early neonatal)""),""-"")"),"-")</f>
        <v>-</v>
      </c>
      <c r="Z121" s="634" t="str">
        <f>IFERROR(__xludf.DUMMYFUNCTION("IFERROR(FILTER('GBD estimates'!$AF$4:$AF$1203,'GBD estimates'!$AA$4:$AA$1203=Z$3,'GBD estimates'!$X$4:$X$1203=""Nutritional deficiencies"",'GBD estimates'!$Z$4:$Z$1203=""0 to 6 days (early neonatal)""),""-"")"),"-")</f>
        <v>-</v>
      </c>
      <c r="AA121" s="634" t="str">
        <f>IFERROR(__xludf.DUMMYFUNCTION("IFERROR(FILTER('GBD estimates'!$AF$4:$AF$1203,'GBD estimates'!$AA$4:$AA$1203=AA$3,'GBD estimates'!$X$4:$X$1203=""Nutritional deficiencies"",'GBD estimates'!$Z$4:$Z$1203=""0 to 6 days (early neonatal)""),""-"")"),"-")</f>
        <v>-</v>
      </c>
      <c r="AB121" s="634" t="str">
        <f>IFERROR(__xludf.DUMMYFUNCTION("IFERROR(FILTER('GBD estimates'!$AF$4:$AF$1203,'GBD estimates'!$AA$4:$AA$1203=AB$3,'GBD estimates'!$X$4:$X$1203=""Nutritional deficiencies"",'GBD estimates'!$Z$4:$Z$1203=""0 to 6 days (early neonatal)""),""-"")"),"-")</f>
        <v>-</v>
      </c>
      <c r="AC121" s="634" t="str">
        <f>IFERROR(__xludf.DUMMYFUNCTION("IFERROR(FILTER('GBD estimates'!$AF$4:$AF$1203,'GBD estimates'!$AA$4:$AA$1203=AC$3,'GBD estimates'!$X$4:$X$1203=""Nutritional deficiencies"",'GBD estimates'!$Z$4:$Z$1203=""0 to 6 days (early neonatal)""),""-"")"),"-")</f>
        <v>-</v>
      </c>
      <c r="AD121" s="634" t="str">
        <f>IFERROR(__xludf.DUMMYFUNCTION("IFERROR(FILTER('GBD estimates'!$AF$4:$AF$1203,'GBD estimates'!$AA$4:$AA$1203=AD$3,'GBD estimates'!$X$4:$X$1203=""Nutritional deficiencies"",'GBD estimates'!$Z$4:$Z$1203=""0 to 6 days (early neonatal)""),""-"")"),"-")</f>
        <v>-</v>
      </c>
      <c r="AE121" s="634" t="str">
        <f>IFERROR(__xludf.DUMMYFUNCTION("IFERROR(FILTER('GBD estimates'!$AF$4:$AF$1203,'GBD estimates'!$AA$4:$AA$1203=AE$3,'GBD estimates'!$X$4:$X$1203=""Nutritional deficiencies"",'GBD estimates'!$Z$4:$Z$1203=""0 to 6 days (early neonatal)""),""-"")"),"-")</f>
        <v>-</v>
      </c>
      <c r="AF121" s="634" t="str">
        <f>IFERROR(__xludf.DUMMYFUNCTION("IFERROR(FILTER('GBD estimates'!$AF$4:$AF$1203,'GBD estimates'!$AA$4:$AA$1203=AF$3,'GBD estimates'!$X$4:$X$1203=""Nutritional deficiencies"",'GBD estimates'!$Z$4:$Z$1203=""0 to 6 days (early neonatal)""),""-"")"),"-")</f>
        <v>-</v>
      </c>
      <c r="AG121" s="640">
        <f>IFERROR(__xludf.DUMMYFUNCTION("FILTER('GBD estimates'!$I$4:$I$1203,'GBD estimates'!$C$4:$C$1203=AG$2,'GBD estimates'!$F$4:$F$1203=""Nutritional deficiencies"",'GBD estimates'!$E$4:$E$1203=""0-6 days"")"),0.0)</f>
        <v>0</v>
      </c>
      <c r="AH121" s="634">
        <f>IFERROR(__xludf.DUMMYFUNCTION("FILTER('GBD estimates'!$I$4:$I$1203,'GBD estimates'!$C$4:$C$1203=AH$2,'GBD estimates'!$F$4:$F$1203=""Nutritional deficiencies"",'GBD estimates'!$E$4:$E$1203=""0-6 days"")"),0.0)</f>
        <v>0</v>
      </c>
      <c r="AI121" s="634">
        <f>IFERROR(__xludf.DUMMYFUNCTION("FILTER('GBD estimates'!$I$4:$I$1203,'GBD estimates'!$C$4:$C$1203=AI$2,'GBD estimates'!$F$4:$F$1203=""Nutritional deficiencies"",'GBD estimates'!$E$4:$E$1203=""0-6 days"")"),0.0)</f>
        <v>0</v>
      </c>
      <c r="AJ121" s="423">
        <f>IFERROR(__xludf.DUMMYFUNCTION("FILTER('GBD estimates'!$I$4:$I$1203,'GBD estimates'!$C$4:$C$1203=AJ$2,'GBD estimates'!$F$4:$F$1203=""Nutritional deficiencies"",'GBD estimates'!$E$4:$E$1203=""0-6 days"")"),0.0)</f>
        <v>0</v>
      </c>
      <c r="AK121" s="516"/>
      <c r="AL121" s="555" t="s">
        <v>233</v>
      </c>
      <c r="AM121" s="518"/>
    </row>
    <row r="122">
      <c r="A122" s="477"/>
      <c r="B122" s="102"/>
      <c r="C122" s="130"/>
      <c r="D122" s="130"/>
      <c r="E122" s="510" t="s">
        <v>441</v>
      </c>
      <c r="F122" s="145" t="s">
        <v>101</v>
      </c>
      <c r="G122" s="435" t="s">
        <v>213</v>
      </c>
      <c r="H122" s="511" t="s">
        <v>165</v>
      </c>
      <c r="I122" s="634">
        <f>IFERROR(__xludf.DUMMYFUNCTION("FILTER('GBD estimates'!$I$4:$I$1203,'GBD estimates'!$C$4:$C$1203=I$2,'GBD estimates'!$F$4:$F$1203=""Nutritional deficiencies"",'GBD estimates'!$E$4:$E$1203=""7-27 days"")"),0.0)</f>
        <v>0</v>
      </c>
      <c r="J122" s="634">
        <f>IFERROR(__xludf.DUMMYFUNCTION("FILTER('GBD estimates'!$I$4:$I$1203,'GBD estimates'!$C$4:$C$1203=J$2,'GBD estimates'!$F$4:$F$1203=""Nutritional deficiencies"",'GBD estimates'!$E$4:$E$1203=""7-27 days"")"),0.0)</f>
        <v>0</v>
      </c>
      <c r="K122" s="634">
        <f>IFERROR(__xludf.DUMMYFUNCTION("FILTER('GBD estimates'!$I$4:$I$1203,'GBD estimates'!$C$4:$C$1203=K$2,'GBD estimates'!$F$4:$F$1203=""Nutritional deficiencies"",'GBD estimates'!$E$4:$E$1203=""7-27 days"")"),0.0)</f>
        <v>0</v>
      </c>
      <c r="L122" s="634">
        <f>IFERROR(__xludf.DUMMYFUNCTION("FILTER('GBD estimates'!$I$4:$I$1203,'GBD estimates'!$C$4:$C$1203=L$2,'GBD estimates'!$F$4:$F$1203=""Nutritional deficiencies"",'GBD estimates'!$E$4:$E$1203=""7-27 days"")"),0.0)</f>
        <v>0</v>
      </c>
      <c r="M122" s="634">
        <f>IFERROR(__xludf.DUMMYFUNCTION("FILTER('GBD estimates'!$I$4:$I$1203,'GBD estimates'!$C$4:$C$1203=M$2,'GBD estimates'!$F$4:$F$1203=""Nutritional deficiencies"",'GBD estimates'!$E$4:$E$1203=""7-27 days"")"),0.0)</f>
        <v>0</v>
      </c>
      <c r="N122" s="634">
        <f>IFERROR(__xludf.DUMMYFUNCTION("FILTER('GBD estimates'!$I$4:$I$1203,'GBD estimates'!$C$4:$C$1203=N$2,'GBD estimates'!$F$4:$F$1203=""Nutritional deficiencies"",'GBD estimates'!$E$4:$E$1203=""7-27 days"")"),0.0)</f>
        <v>0</v>
      </c>
      <c r="O122" s="634">
        <f>IFERROR(__xludf.DUMMYFUNCTION("FILTER('GBD estimates'!$I$4:$I$1203,'GBD estimates'!$C$4:$C$1203=O$2,'GBD estimates'!$F$4:$F$1203=""Nutritional deficiencies"",'GBD estimates'!$E$4:$E$1203=""7-27 days"")"),0.0)</f>
        <v>0</v>
      </c>
      <c r="P122" s="634">
        <f>IFERROR(__xludf.DUMMYFUNCTION("FILTER('GBD estimates'!$I$4:$I$1203,'GBD estimates'!$C$4:$C$1203=P$2,'GBD estimates'!$F$4:$F$1203=""Nutritional deficiencies"",'GBD estimates'!$E$4:$E$1203=""7-27 days"")"),0.0)</f>
        <v>0</v>
      </c>
      <c r="Q122" s="634">
        <f>IFERROR(__xludf.DUMMYFUNCTION("FILTER('GBD estimates'!$I$4:$I$1203,'GBD estimates'!$C$4:$C$1203=Q$2,'GBD estimates'!$F$4:$F$1203=""Nutritional deficiencies"",'GBD estimates'!$E$4:$E$1203=""7-27 days"")"),0.0)</f>
        <v>0</v>
      </c>
      <c r="R122" s="634" t="str">
        <f>IFERROR(__xludf.DUMMYFUNCTION("IFERROR(FILTER('GBD estimates'!$AF$4:$AF$1203,'GBD estimates'!$AA$4:$AA$1203=R$3,'GBD estimates'!$X$4:$X$1203=""Nutritional deficiencies"",'GBD estimates'!$Z$4:$Z$1203=""7 to 27 days (late neonatal)""),""-"")"),"-")</f>
        <v>-</v>
      </c>
      <c r="S122" s="634" t="str">
        <f>IFERROR(__xludf.DUMMYFUNCTION("IFERROR(FILTER('GBD estimates'!$AF$4:$AF$1203,'GBD estimates'!$AA$4:$AA$1203=S$3,'GBD estimates'!$X$4:$X$1203=""Nutritional deficiencies"",'GBD estimates'!$Z$4:$Z$1203=""7 to 27 days (late neonatal)""),""-"")"),"-")</f>
        <v>-</v>
      </c>
      <c r="T122" s="634" t="str">
        <f>IFERROR(__xludf.DUMMYFUNCTION("IFERROR(FILTER('GBD estimates'!$AF$4:$AF$1203,'GBD estimates'!$AA$4:$AA$1203=T$3,'GBD estimates'!$X$4:$X$1203=""Nutritional deficiencies"",'GBD estimates'!$Z$4:$Z$1203=""7 to 27 days (late neonatal)""),""-"")"),"-")</f>
        <v>-</v>
      </c>
      <c r="U122" s="634" t="str">
        <f>IFERROR(__xludf.DUMMYFUNCTION("IFERROR(FILTER('GBD estimates'!$AF$4:$AF$1203,'GBD estimates'!$AA$4:$AA$1203=U$3,'GBD estimates'!$X$4:$X$1203=""Nutritional deficiencies"",'GBD estimates'!$Z$4:$Z$1203=""7 to 27 days (late neonatal)""),""-"")"),"-")</f>
        <v>-</v>
      </c>
      <c r="V122" s="634" t="str">
        <f>IFERROR(__xludf.DUMMYFUNCTION("IFERROR(FILTER('GBD estimates'!$AF$4:$AF$1203,'GBD estimates'!$AA$4:$AA$1203=V$3,'GBD estimates'!$X$4:$X$1203=""Nutritional deficiencies"",'GBD estimates'!$Z$4:$Z$1203=""7 to 27 days (late neonatal)""),""-"")"),"-")</f>
        <v>-</v>
      </c>
      <c r="W122" s="634" t="str">
        <f>IFERROR(__xludf.DUMMYFUNCTION("IFERROR(FILTER('GBD estimates'!$AF$4:$AF$1203,'GBD estimates'!$AA$4:$AA$1203=W$3,'GBD estimates'!$X$4:$X$1203=""Nutritional deficiencies"",'GBD estimates'!$Z$4:$Z$1203=""7 to 27 days (late neonatal)""),""-"")"),"-")</f>
        <v>-</v>
      </c>
      <c r="X122" s="634" t="str">
        <f>IFERROR(__xludf.DUMMYFUNCTION("IFERROR(FILTER('GBD estimates'!$AF$4:$AF$1203,'GBD estimates'!$AA$4:$AA$1203=X$3,'GBD estimates'!$X$4:$X$1203=""Nutritional deficiencies"",'GBD estimates'!$Z$4:$Z$1203=""7 to 27 days (late neonatal)""),""-"")"),"-")</f>
        <v>-</v>
      </c>
      <c r="Y122" s="634" t="str">
        <f>IFERROR(__xludf.DUMMYFUNCTION("IFERROR(FILTER('GBD estimates'!$AF$4:$AF$1203,'GBD estimates'!$AA$4:$AA$1203=Y$3,'GBD estimates'!$X$4:$X$1203=""Nutritional deficiencies"",'GBD estimates'!$Z$4:$Z$1203=""7 to 27 days (late neonatal)""),""-"")"),"-")</f>
        <v>-</v>
      </c>
      <c r="Z122" s="634" t="str">
        <f>IFERROR(__xludf.DUMMYFUNCTION("IFERROR(FILTER('GBD estimates'!$AF$4:$AF$1203,'GBD estimates'!$AA$4:$AA$1203=Z$3,'GBD estimates'!$X$4:$X$1203=""Nutritional deficiencies"",'GBD estimates'!$Z$4:$Z$1203=""7 to 27 days (late neonatal)""),""-"")"),"-")</f>
        <v>-</v>
      </c>
      <c r="AA122" s="634" t="str">
        <f>IFERROR(__xludf.DUMMYFUNCTION("IFERROR(FILTER('GBD estimates'!$AF$4:$AF$1203,'GBD estimates'!$AA$4:$AA$1203=AA$3,'GBD estimates'!$X$4:$X$1203=""Nutritional deficiencies"",'GBD estimates'!$Z$4:$Z$1203=""7 to 27 days (late neonatal)""),""-"")"),"-")</f>
        <v>-</v>
      </c>
      <c r="AB122" s="634" t="str">
        <f>IFERROR(__xludf.DUMMYFUNCTION("IFERROR(FILTER('GBD estimates'!$AF$4:$AF$1203,'GBD estimates'!$AA$4:$AA$1203=AB$3,'GBD estimates'!$X$4:$X$1203=""Nutritional deficiencies"",'GBD estimates'!$Z$4:$Z$1203=""7 to 27 days (late neonatal)""),""-"")"),"-")</f>
        <v>-</v>
      </c>
      <c r="AC122" s="634" t="str">
        <f>IFERROR(__xludf.DUMMYFUNCTION("IFERROR(FILTER('GBD estimates'!$AF$4:$AF$1203,'GBD estimates'!$AA$4:$AA$1203=AC$3,'GBD estimates'!$X$4:$X$1203=""Nutritional deficiencies"",'GBD estimates'!$Z$4:$Z$1203=""7 to 27 days (late neonatal)""),""-"")"),"-")</f>
        <v>-</v>
      </c>
      <c r="AD122" s="634" t="str">
        <f>IFERROR(__xludf.DUMMYFUNCTION("IFERROR(FILTER('GBD estimates'!$AF$4:$AF$1203,'GBD estimates'!$AA$4:$AA$1203=AD$3,'GBD estimates'!$X$4:$X$1203=""Nutritional deficiencies"",'GBD estimates'!$Z$4:$Z$1203=""7 to 27 days (late neonatal)""),""-"")"),"-")</f>
        <v>-</v>
      </c>
      <c r="AE122" s="634" t="str">
        <f>IFERROR(__xludf.DUMMYFUNCTION("IFERROR(FILTER('GBD estimates'!$AF$4:$AF$1203,'GBD estimates'!$AA$4:$AA$1203=AE$3,'GBD estimates'!$X$4:$X$1203=""Nutritional deficiencies"",'GBD estimates'!$Z$4:$Z$1203=""7 to 27 days (late neonatal)""),""-"")"),"-")</f>
        <v>-</v>
      </c>
      <c r="AF122" s="634" t="str">
        <f>IFERROR(__xludf.DUMMYFUNCTION("IFERROR(FILTER('GBD estimates'!$AF$4:$AF$1203,'GBD estimates'!$AA$4:$AA$1203=AF$3,'GBD estimates'!$X$4:$X$1203=""Nutritional deficiencies"",'GBD estimates'!$Z$4:$Z$1203=""7 to 27 days (late neonatal)""),""-"")"),"-")</f>
        <v>-</v>
      </c>
      <c r="AG122" s="640">
        <f>IFERROR(__xludf.DUMMYFUNCTION("FILTER('GBD estimates'!$I$4:$I$1203,'GBD estimates'!$C$4:$C$1203=AG$2,'GBD estimates'!$F$4:$F$1203=""Nutritional deficiencies"",'GBD estimates'!$E$4:$E$1203=""7-27 days"")"),0.0)</f>
        <v>0</v>
      </c>
      <c r="AH122" s="634">
        <f>IFERROR(__xludf.DUMMYFUNCTION("FILTER('GBD estimates'!$I$4:$I$1203,'GBD estimates'!$C$4:$C$1203=AH$2,'GBD estimates'!$F$4:$F$1203=""Nutritional deficiencies"",'GBD estimates'!$E$4:$E$1203=""7-27 days"")"),0.0)</f>
        <v>0</v>
      </c>
      <c r="AI122" s="634">
        <f>IFERROR(__xludf.DUMMYFUNCTION("FILTER('GBD estimates'!$I$4:$I$1203,'GBD estimates'!$C$4:$C$1203=AI$2,'GBD estimates'!$F$4:$F$1203=""Nutritional deficiencies"",'GBD estimates'!$E$4:$E$1203=""7-27 days"")"),0.0)</f>
        <v>0</v>
      </c>
      <c r="AJ122" s="423">
        <f>IFERROR(__xludf.DUMMYFUNCTION("FILTER('GBD estimates'!$I$4:$I$1203,'GBD estimates'!$C$4:$C$1203=AJ$2,'GBD estimates'!$F$4:$F$1203=""Nutritional deficiencies"",'GBD estimates'!$E$4:$E$1203=""7-27 days"")"),0.0)</f>
        <v>0</v>
      </c>
      <c r="AK122" s="516"/>
      <c r="AL122" s="555" t="s">
        <v>233</v>
      </c>
      <c r="AM122" s="518"/>
    </row>
    <row r="123">
      <c r="A123" s="477"/>
      <c r="B123" s="102"/>
      <c r="C123" s="130"/>
      <c r="D123" s="130"/>
      <c r="E123" s="498" t="s">
        <v>446</v>
      </c>
      <c r="F123" s="176" t="s">
        <v>101</v>
      </c>
      <c r="G123" s="499" t="s">
        <v>213</v>
      </c>
      <c r="H123" s="500" t="s">
        <v>165</v>
      </c>
      <c r="I123" s="612">
        <f>IFERROR(__xludf.DUMMYFUNCTION("FILTER('GBD estimates'!$I$4:$I$1203,'GBD estimates'!$C$4:$C$1203=I$2,'GBD estimates'!$F$4:$F$1203=""Nutritional deficiencies"",'GBD estimates'!$E$4:$E$1203=""28-364 days"")"),1314.619861)</f>
        <v>1314.619861</v>
      </c>
      <c r="J123" s="612">
        <f>IFERROR(__xludf.DUMMYFUNCTION("FILTER('GBD estimates'!$I$4:$I$1203,'GBD estimates'!$C$4:$C$1203=J$2,'GBD estimates'!$F$4:$F$1203=""Nutritional deficiencies"",'GBD estimates'!$E$4:$E$1203=""28-364 days"")"),227.6493195)</f>
        <v>227.6493195</v>
      </c>
      <c r="K123" s="612">
        <f>IFERROR(__xludf.DUMMYFUNCTION("FILTER('GBD estimates'!$I$4:$I$1203,'GBD estimates'!$C$4:$C$1203=K$2,'GBD estimates'!$F$4:$F$1203=""Nutritional deficiencies"",'GBD estimates'!$E$4:$E$1203=""28-364 days"")"),142.2047)</f>
        <v>142.2047</v>
      </c>
      <c r="L123" s="612">
        <f>IFERROR(__xludf.DUMMYFUNCTION("FILTER('GBD estimates'!$I$4:$I$1203,'GBD estimates'!$C$4:$C$1203=L$2,'GBD estimates'!$F$4:$F$1203=""Nutritional deficiencies"",'GBD estimates'!$E$4:$E$1203=""28-364 days"")"),1750.771129)</f>
        <v>1750.771129</v>
      </c>
      <c r="M123" s="612">
        <f>IFERROR(__xludf.DUMMYFUNCTION("FILTER('GBD estimates'!$I$4:$I$1203,'GBD estimates'!$C$4:$C$1203=M$2,'GBD estimates'!$F$4:$F$1203=""Nutritional deficiencies"",'GBD estimates'!$E$4:$E$1203=""28-364 days"")"),474.3186015)</f>
        <v>474.3186015</v>
      </c>
      <c r="N123" s="612">
        <f>IFERROR(__xludf.DUMMYFUNCTION("FILTER('GBD estimates'!$I$4:$I$1203,'GBD estimates'!$C$4:$C$1203=N$2,'GBD estimates'!$F$4:$F$1203=""Nutritional deficiencies"",'GBD estimates'!$E$4:$E$1203=""28-364 days"")"),1018.345263)</f>
        <v>1018.345263</v>
      </c>
      <c r="O123" s="612">
        <f>IFERROR(__xludf.DUMMYFUNCTION("FILTER('GBD estimates'!$I$4:$I$1203,'GBD estimates'!$C$4:$C$1203=O$2,'GBD estimates'!$F$4:$F$1203=""Nutritional deficiencies"",'GBD estimates'!$E$4:$E$1203=""28-364 days"")"),1197.536301)</f>
        <v>1197.536301</v>
      </c>
      <c r="P123" s="612">
        <f>IFERROR(__xludf.DUMMYFUNCTION("FILTER('GBD estimates'!$I$4:$I$1203,'GBD estimates'!$C$4:$C$1203=P$2,'GBD estimates'!$F$4:$F$1203=""Nutritional deficiencies"",'GBD estimates'!$E$4:$E$1203=""28-364 days"")"),3615.922396)</f>
        <v>3615.922396</v>
      </c>
      <c r="Q123" s="612">
        <f>IFERROR(__xludf.DUMMYFUNCTION("FILTER('GBD estimates'!$I$4:$I$1203,'GBD estimates'!$C$4:$C$1203=Q$2,'GBD estimates'!$F$4:$F$1203=""Nutritional deficiencies"",'GBD estimates'!$E$4:$E$1203=""28-364 days"")"),666.9676364)</f>
        <v>666.9676364</v>
      </c>
      <c r="R123" s="612">
        <f>IFERROR(__xludf.DUMMYFUNCTION("FILTER('GBD estimates'!$AF$4:$AF$1203,'GBD estimates'!$AA$4:$AA$1203=R$3,'GBD estimates'!$X$4:$X$1203=""Nutritional deficiencies"",'GBD estimates'!$Z$4:$Z$1203=""28 to 364 days (post neonatal)"")"),45.85553736)</f>
        <v>45.85553736</v>
      </c>
      <c r="S123" s="612">
        <f>IFERROR(__xludf.DUMMYFUNCTION("FILTER('GBD estimates'!$AF$4:$AF$1203,'GBD estimates'!$AA$4:$AA$1203=S$3,'GBD estimates'!$X$4:$X$1203=""Nutritional deficiencies"",'GBD estimates'!$Z$4:$Z$1203=""28 to 364 days (post neonatal)"")"),5.57284467)</f>
        <v>5.57284467</v>
      </c>
      <c r="T123" s="612">
        <f>IFERROR(__xludf.DUMMYFUNCTION("FILTER('GBD estimates'!$AF$4:$AF$1203,'GBD estimates'!$AA$4:$AA$1203=T$3,'GBD estimates'!$X$4:$X$1203=""Nutritional deficiencies"",'GBD estimates'!$Z$4:$Z$1203=""28 to 364 days (post neonatal)"")"),15.29420849)</f>
        <v>15.29420849</v>
      </c>
      <c r="U123" s="612">
        <f>IFERROR(__xludf.DUMMYFUNCTION("FILTER('GBD estimates'!$AF$4:$AF$1203,'GBD estimates'!$AA$4:$AA$1203=U$3,'GBD estimates'!$X$4:$X$1203=""Nutritional deficiencies"",'GBD estimates'!$Z$4:$Z$1203=""28 to 364 days (post neonatal)"")"),83.94278256)</f>
        <v>83.94278256</v>
      </c>
      <c r="V123" s="612">
        <f>IFERROR(__xludf.DUMMYFUNCTION("FILTER('GBD estimates'!$AF$4:$AF$1203,'GBD estimates'!$AA$4:$AA$1203=V$3,'GBD estimates'!$X$4:$X$1203=""Nutritional deficiencies"",'GBD estimates'!$Z$4:$Z$1203=""28 to 364 days (post neonatal)"")"),23.99536706)</f>
        <v>23.99536706</v>
      </c>
      <c r="W123" s="612">
        <f>IFERROR(__xludf.DUMMYFUNCTION("FILTER('GBD estimates'!$AF$4:$AF$1203,'GBD estimates'!$AA$4:$AA$1203=W$3,'GBD estimates'!$X$4:$X$1203=""Nutritional deficiencies"",'GBD estimates'!$Z$4:$Z$1203=""28 to 364 days (post neonatal)"")"),23.76993056)</f>
        <v>23.76993056</v>
      </c>
      <c r="X123" s="612">
        <f>IFERROR(__xludf.DUMMYFUNCTION("FILTER('GBD estimates'!$AF$4:$AF$1203,'GBD estimates'!$AA$4:$AA$1203=X$3,'GBD estimates'!$X$4:$X$1203=""Nutritional deficiencies"",'GBD estimates'!$Z$4:$Z$1203=""28 to 364 days (post neonatal)"")"),13.79276453)</f>
        <v>13.79276453</v>
      </c>
      <c r="Y123" s="612">
        <f>IFERROR(__xludf.DUMMYFUNCTION("FILTER('GBD estimates'!$AF$4:$AF$1203,'GBD estimates'!$AA$4:$AA$1203=Y$3,'GBD estimates'!$X$4:$X$1203=""Nutritional deficiencies"",'GBD estimates'!$Z$4:$Z$1203=""28 to 364 days (post neonatal)"")"),6.504526225)</f>
        <v>6.504526225</v>
      </c>
      <c r="Z123" s="612">
        <f>IFERROR(__xludf.DUMMYFUNCTION("FILTER('GBD estimates'!$AF$4:$AF$1203,'GBD estimates'!$AA$4:$AA$1203=Z$3,'GBD estimates'!$X$4:$X$1203=""Nutritional deficiencies"",'GBD estimates'!$Z$4:$Z$1203=""28 to 364 days (post neonatal)"")"),18.98935739)</f>
        <v>18.98935739</v>
      </c>
      <c r="AA123" s="612">
        <f>IFERROR(__xludf.DUMMYFUNCTION("FILTER('GBD estimates'!$AF$4:$AF$1203,'GBD estimates'!$AA$4:$AA$1203=AA$3,'GBD estimates'!$X$4:$X$1203=""Nutritional deficiencies"",'GBD estimates'!$Z$4:$Z$1203=""28 to 364 days (post neonatal)"")"),8.749991978)</f>
        <v>8.749991978</v>
      </c>
      <c r="AB123" s="612">
        <f>IFERROR(__xludf.DUMMYFUNCTION("FILTER('GBD estimates'!$AF$4:$AF$1203,'GBD estimates'!$AA$4:$AA$1203=AB$3,'GBD estimates'!$X$4:$X$1203=""Nutritional deficiencies"",'GBD estimates'!$Z$4:$Z$1203=""28 to 364 days (post neonatal)"")"),44.7369121)</f>
        <v>44.7369121</v>
      </c>
      <c r="AC123" s="612">
        <f>IFERROR(__xludf.DUMMYFUNCTION("FILTER('GBD estimates'!$AF$4:$AF$1203,'GBD estimates'!$AA$4:$AA$1203=AC$3,'GBD estimates'!$X$4:$X$1203=""Nutritional deficiencies"",'GBD estimates'!$Z$4:$Z$1203=""28 to 364 days (post neonatal)"")"),52.91201047)</f>
        <v>52.91201047</v>
      </c>
      <c r="AD123" s="612">
        <f>IFERROR(__xludf.DUMMYFUNCTION("FILTER('GBD estimates'!$AF$4:$AF$1203,'GBD estimates'!$AA$4:$AA$1203=AD$3,'GBD estimates'!$X$4:$X$1203=""Nutritional deficiencies"",'GBD estimates'!$Z$4:$Z$1203=""28 to 364 days (post neonatal)"")"),8.016956106)</f>
        <v>8.016956106</v>
      </c>
      <c r="AE123" s="612">
        <f>IFERROR(__xludf.DUMMYFUNCTION("FILTER('GBD estimates'!$AF$4:$AF$1203,'GBD estimates'!$AA$4:$AA$1203=AE$3,'GBD estimates'!$X$4:$X$1203=""Nutritional deficiencies"",'GBD estimates'!$Z$4:$Z$1203=""28 to 364 days (post neonatal)"")"),16.93959217)</f>
        <v>16.93959217</v>
      </c>
      <c r="AF123" s="612">
        <f>IFERROR(__xludf.DUMMYFUNCTION("FILTER('GBD estimates'!$AF$4:$AF$1203,'GBD estimates'!$AA$4:$AA$1203=AF$3,'GBD estimates'!$X$4:$X$1203=""Nutritional deficiencies"",'GBD estimates'!$Z$4:$Z$1203=""28 to 364 days (post neonatal)"")"),108.4879973)</f>
        <v>108.4879973</v>
      </c>
      <c r="AG123" s="663">
        <f>IFERROR(__xludf.DUMMYFUNCTION("FILTER('GBD estimates'!$I$4:$I$1203,'GBD estimates'!$C$4:$C$1203=AG$2,'GBD estimates'!$F$4:$F$1203=""Nutritional deficiencies"",'GBD estimates'!$E$4:$E$1203=""28-364 days"")"),905.6977597)</f>
        <v>905.6977597</v>
      </c>
      <c r="AH123" s="612">
        <f>IFERROR(__xludf.DUMMYFUNCTION("FILTER('GBD estimates'!$I$4:$I$1203,'GBD estimates'!$C$4:$C$1203=AH$2,'GBD estimates'!$F$4:$F$1203=""Nutritional deficiencies"",'GBD estimates'!$E$4:$E$1203=""28-364 days"")"),756.7462721)</f>
        <v>756.7462721</v>
      </c>
      <c r="AI123" s="612">
        <f>IFERROR(__xludf.DUMMYFUNCTION("FILTER('GBD estimates'!$I$4:$I$1203,'GBD estimates'!$C$4:$C$1203=AI$2,'GBD estimates'!$F$4:$F$1203=""Nutritional deficiencies"",'GBD estimates'!$E$4:$E$1203=""28-364 days"")"),35.94181968)</f>
        <v>35.94181968</v>
      </c>
      <c r="AJ123" s="664">
        <f>IFERROR(__xludf.DUMMYFUNCTION("FILTER('GBD estimates'!$I$4:$I$1203,'GBD estimates'!$C$4:$C$1203=AJ$2,'GBD estimates'!$F$4:$F$1203=""Nutritional deficiencies"",'GBD estimates'!$E$4:$E$1203=""28-364 days"")"),1087.170306)</f>
        <v>1087.170306</v>
      </c>
      <c r="AK123" s="505"/>
      <c r="AL123" s="560" t="s">
        <v>233</v>
      </c>
      <c r="AM123" s="507"/>
    </row>
    <row r="124">
      <c r="A124" s="477"/>
      <c r="B124" s="102"/>
      <c r="C124" s="130"/>
      <c r="D124" s="130"/>
      <c r="E124" s="525"/>
      <c r="F124" s="132"/>
      <c r="G124" s="155"/>
      <c r="H124" s="478"/>
      <c r="I124" s="479"/>
      <c r="J124" s="479"/>
      <c r="K124" s="479"/>
      <c r="L124" s="479"/>
      <c r="M124" s="479"/>
      <c r="N124" s="479"/>
      <c r="O124" s="479"/>
      <c r="P124" s="479"/>
      <c r="Q124" s="479"/>
      <c r="R124" s="479"/>
      <c r="S124" s="479"/>
      <c r="T124" s="479"/>
      <c r="U124" s="479"/>
      <c r="V124" s="479"/>
      <c r="W124" s="479"/>
      <c r="X124" s="479"/>
      <c r="Y124" s="479"/>
      <c r="Z124" s="479"/>
      <c r="AA124" s="479"/>
      <c r="AB124" s="479"/>
      <c r="AC124" s="479"/>
      <c r="AD124" s="479"/>
      <c r="AE124" s="479"/>
      <c r="AF124" s="479"/>
      <c r="AG124" s="480"/>
      <c r="AH124" s="479"/>
      <c r="AI124" s="479"/>
      <c r="AJ124" s="481"/>
      <c r="AK124" s="482"/>
      <c r="AL124" s="483"/>
      <c r="AM124" s="484"/>
    </row>
    <row r="125">
      <c r="A125" s="477"/>
      <c r="B125" s="102"/>
      <c r="C125" s="203" t="s">
        <v>453</v>
      </c>
      <c r="F125" s="132"/>
      <c r="G125" s="155"/>
      <c r="H125" s="478"/>
      <c r="I125" s="479"/>
      <c r="J125" s="479"/>
      <c r="K125" s="479"/>
      <c r="L125" s="479"/>
      <c r="M125" s="479"/>
      <c r="N125" s="479"/>
      <c r="O125" s="479"/>
      <c r="P125" s="479"/>
      <c r="Q125" s="479"/>
      <c r="R125" s="623"/>
      <c r="S125" s="479"/>
      <c r="T125" s="479"/>
      <c r="U125" s="479"/>
      <c r="V125" s="479"/>
      <c r="W125" s="479"/>
      <c r="X125" s="479"/>
      <c r="Y125" s="479"/>
      <c r="Z125" s="479"/>
      <c r="AA125" s="479"/>
      <c r="AB125" s="479"/>
      <c r="AC125" s="479"/>
      <c r="AD125" s="479"/>
      <c r="AE125" s="479"/>
      <c r="AF125" s="479"/>
      <c r="AG125" s="480"/>
      <c r="AH125" s="479"/>
      <c r="AI125" s="479"/>
      <c r="AJ125" s="481"/>
      <c r="AK125" s="482"/>
      <c r="AL125" s="483"/>
      <c r="AM125" s="484"/>
    </row>
    <row r="126">
      <c r="A126" s="477"/>
      <c r="B126" s="102"/>
      <c r="C126" s="130"/>
      <c r="D126" s="130"/>
      <c r="E126" s="683" t="s">
        <v>454</v>
      </c>
      <c r="F126" s="114" t="s">
        <v>112</v>
      </c>
      <c r="G126" s="255" t="s">
        <v>213</v>
      </c>
      <c r="H126" s="552">
        <v>0.3367407</v>
      </c>
      <c r="I126" s="624" t="s">
        <v>165</v>
      </c>
      <c r="J126" s="624" t="s">
        <v>165</v>
      </c>
      <c r="K126" s="624" t="s">
        <v>165</v>
      </c>
      <c r="L126" s="624" t="s">
        <v>165</v>
      </c>
      <c r="M126" s="624" t="s">
        <v>165</v>
      </c>
      <c r="N126" s="624" t="s">
        <v>165</v>
      </c>
      <c r="O126" s="624" t="s">
        <v>165</v>
      </c>
      <c r="P126" s="624" t="s">
        <v>165</v>
      </c>
      <c r="Q126" s="624" t="s">
        <v>165</v>
      </c>
      <c r="R126" s="624" t="s">
        <v>165</v>
      </c>
      <c r="S126" s="624" t="s">
        <v>165</v>
      </c>
      <c r="T126" s="624" t="s">
        <v>165</v>
      </c>
      <c r="U126" s="624" t="s">
        <v>165</v>
      </c>
      <c r="V126" s="624" t="s">
        <v>165</v>
      </c>
      <c r="W126" s="624" t="s">
        <v>165</v>
      </c>
      <c r="X126" s="624" t="s">
        <v>165</v>
      </c>
      <c r="Y126" s="624" t="s">
        <v>165</v>
      </c>
      <c r="Z126" s="624" t="s">
        <v>165</v>
      </c>
      <c r="AA126" s="624" t="s">
        <v>165</v>
      </c>
      <c r="AB126" s="624" t="s">
        <v>165</v>
      </c>
      <c r="AC126" s="624" t="s">
        <v>165</v>
      </c>
      <c r="AD126" s="624" t="s">
        <v>165</v>
      </c>
      <c r="AE126" s="624" t="s">
        <v>165</v>
      </c>
      <c r="AF126" s="624" t="s">
        <v>165</v>
      </c>
      <c r="AG126" s="630" t="s">
        <v>165</v>
      </c>
      <c r="AH126" s="624" t="s">
        <v>165</v>
      </c>
      <c r="AI126" s="624" t="s">
        <v>165</v>
      </c>
      <c r="AJ126" s="633" t="s">
        <v>165</v>
      </c>
      <c r="AK126" s="492"/>
      <c r="AL126" s="553" t="s">
        <v>216</v>
      </c>
      <c r="AM126" s="716" t="s">
        <v>140</v>
      </c>
    </row>
    <row r="127">
      <c r="A127" s="477"/>
      <c r="B127" s="102"/>
      <c r="C127" s="130"/>
      <c r="D127" s="130"/>
      <c r="E127" s="571" t="s">
        <v>455</v>
      </c>
      <c r="F127" s="176" t="s">
        <v>112</v>
      </c>
      <c r="G127" s="499" t="s">
        <v>213</v>
      </c>
      <c r="H127" s="557">
        <v>0.7512944</v>
      </c>
      <c r="I127" s="612" t="s">
        <v>165</v>
      </c>
      <c r="J127" s="612" t="s">
        <v>165</v>
      </c>
      <c r="K127" s="612" t="s">
        <v>165</v>
      </c>
      <c r="L127" s="612" t="s">
        <v>165</v>
      </c>
      <c r="M127" s="612" t="s">
        <v>165</v>
      </c>
      <c r="N127" s="612" t="s">
        <v>165</v>
      </c>
      <c r="O127" s="612" t="s">
        <v>165</v>
      </c>
      <c r="P127" s="612" t="s">
        <v>165</v>
      </c>
      <c r="Q127" s="612" t="s">
        <v>165</v>
      </c>
      <c r="R127" s="612" t="s">
        <v>165</v>
      </c>
      <c r="S127" s="612" t="s">
        <v>165</v>
      </c>
      <c r="T127" s="612" t="s">
        <v>165</v>
      </c>
      <c r="U127" s="612" t="s">
        <v>165</v>
      </c>
      <c r="V127" s="612" t="s">
        <v>165</v>
      </c>
      <c r="W127" s="612" t="s">
        <v>165</v>
      </c>
      <c r="X127" s="612" t="s">
        <v>165</v>
      </c>
      <c r="Y127" s="612" t="s">
        <v>165</v>
      </c>
      <c r="Z127" s="612" t="s">
        <v>165</v>
      </c>
      <c r="AA127" s="612" t="s">
        <v>165</v>
      </c>
      <c r="AB127" s="612" t="s">
        <v>165</v>
      </c>
      <c r="AC127" s="612" t="s">
        <v>165</v>
      </c>
      <c r="AD127" s="612" t="s">
        <v>165</v>
      </c>
      <c r="AE127" s="612" t="s">
        <v>165</v>
      </c>
      <c r="AF127" s="612" t="s">
        <v>165</v>
      </c>
      <c r="AG127" s="663" t="s">
        <v>165</v>
      </c>
      <c r="AH127" s="612" t="s">
        <v>165</v>
      </c>
      <c r="AI127" s="612" t="s">
        <v>165</v>
      </c>
      <c r="AJ127" s="664" t="s">
        <v>165</v>
      </c>
      <c r="AK127" s="505"/>
      <c r="AL127" s="560" t="s">
        <v>216</v>
      </c>
      <c r="AM127" s="717" t="s">
        <v>140</v>
      </c>
    </row>
    <row r="128">
      <c r="A128" s="477"/>
      <c r="B128" s="102"/>
      <c r="C128" s="130"/>
      <c r="D128" s="130"/>
      <c r="E128" s="525"/>
      <c r="F128" s="132"/>
      <c r="G128" s="155"/>
      <c r="H128" s="478"/>
      <c r="I128" s="479"/>
      <c r="J128" s="479"/>
      <c r="K128" s="479"/>
      <c r="L128" s="479"/>
      <c r="M128" s="479"/>
      <c r="N128" s="479"/>
      <c r="O128" s="479"/>
      <c r="P128" s="479"/>
      <c r="Q128" s="479"/>
      <c r="R128" s="479"/>
      <c r="S128" s="479"/>
      <c r="T128" s="479"/>
      <c r="U128" s="479"/>
      <c r="V128" s="479"/>
      <c r="W128" s="479"/>
      <c r="X128" s="479"/>
      <c r="Y128" s="479"/>
      <c r="Z128" s="479"/>
      <c r="AA128" s="479"/>
      <c r="AB128" s="479"/>
      <c r="AC128" s="479"/>
      <c r="AD128" s="479"/>
      <c r="AE128" s="479"/>
      <c r="AF128" s="479"/>
      <c r="AG128" s="480"/>
      <c r="AH128" s="479"/>
      <c r="AI128" s="479"/>
      <c r="AJ128" s="481"/>
      <c r="AK128" s="482"/>
      <c r="AL128" s="483"/>
      <c r="AM128" s="484"/>
    </row>
    <row r="129">
      <c r="A129" s="477"/>
      <c r="B129" s="102"/>
      <c r="C129" s="203" t="s">
        <v>456</v>
      </c>
      <c r="F129" s="132"/>
      <c r="G129" s="155"/>
      <c r="H129" s="478"/>
      <c r="I129" s="479"/>
      <c r="J129" s="479"/>
      <c r="K129" s="479"/>
      <c r="L129" s="479"/>
      <c r="M129" s="479"/>
      <c r="N129" s="479"/>
      <c r="O129" s="479"/>
      <c r="P129" s="479"/>
      <c r="Q129" s="479"/>
      <c r="R129" s="479"/>
      <c r="S129" s="479"/>
      <c r="T129" s="479"/>
      <c r="U129" s="479"/>
      <c r="V129" s="479"/>
      <c r="W129" s="479"/>
      <c r="X129" s="479"/>
      <c r="Y129" s="479"/>
      <c r="Z129" s="479"/>
      <c r="AA129" s="479"/>
      <c r="AB129" s="479"/>
      <c r="AC129" s="479"/>
      <c r="AD129" s="479"/>
      <c r="AE129" s="479"/>
      <c r="AF129" s="479"/>
      <c r="AG129" s="480"/>
      <c r="AH129" s="479"/>
      <c r="AI129" s="479"/>
      <c r="AJ129" s="481"/>
      <c r="AK129" s="482"/>
      <c r="AL129" s="483"/>
      <c r="AM129" s="484"/>
    </row>
    <row r="130">
      <c r="A130" s="477"/>
      <c r="B130" s="102"/>
      <c r="C130" s="203"/>
      <c r="D130" s="203"/>
      <c r="E130" s="683" t="s">
        <v>457</v>
      </c>
      <c r="F130" s="114" t="s">
        <v>112</v>
      </c>
      <c r="G130" s="255" t="s">
        <v>213</v>
      </c>
      <c r="H130" s="552">
        <v>0.8</v>
      </c>
      <c r="I130" s="718" t="s">
        <v>165</v>
      </c>
      <c r="J130" s="718" t="s">
        <v>165</v>
      </c>
      <c r="K130" s="718" t="s">
        <v>165</v>
      </c>
      <c r="L130" s="718" t="s">
        <v>165</v>
      </c>
      <c r="M130" s="718" t="s">
        <v>165</v>
      </c>
      <c r="N130" s="718" t="s">
        <v>165</v>
      </c>
      <c r="O130" s="718" t="s">
        <v>165</v>
      </c>
      <c r="P130" s="718" t="s">
        <v>165</v>
      </c>
      <c r="Q130" s="718" t="s">
        <v>165</v>
      </c>
      <c r="R130" s="718" t="s">
        <v>165</v>
      </c>
      <c r="S130" s="718" t="s">
        <v>165</v>
      </c>
      <c r="T130" s="718" t="s">
        <v>165</v>
      </c>
      <c r="U130" s="718" t="s">
        <v>165</v>
      </c>
      <c r="V130" s="718" t="s">
        <v>165</v>
      </c>
      <c r="W130" s="718" t="s">
        <v>165</v>
      </c>
      <c r="X130" s="718" t="s">
        <v>165</v>
      </c>
      <c r="Y130" s="718" t="s">
        <v>165</v>
      </c>
      <c r="Z130" s="718" t="s">
        <v>165</v>
      </c>
      <c r="AA130" s="718" t="s">
        <v>165</v>
      </c>
      <c r="AB130" s="718" t="s">
        <v>165</v>
      </c>
      <c r="AC130" s="718" t="s">
        <v>165</v>
      </c>
      <c r="AD130" s="718" t="s">
        <v>165</v>
      </c>
      <c r="AE130" s="718" t="s">
        <v>165</v>
      </c>
      <c r="AF130" s="718" t="s">
        <v>165</v>
      </c>
      <c r="AG130" s="721" t="s">
        <v>165</v>
      </c>
      <c r="AH130" s="718" t="s">
        <v>165</v>
      </c>
      <c r="AI130" s="718" t="s">
        <v>165</v>
      </c>
      <c r="AJ130" s="723" t="s">
        <v>165</v>
      </c>
      <c r="AK130" s="492"/>
      <c r="AL130" s="553" t="s">
        <v>216</v>
      </c>
      <c r="AM130" s="174" t="s">
        <v>143</v>
      </c>
    </row>
    <row r="131">
      <c r="A131" s="477"/>
      <c r="B131" s="102"/>
      <c r="C131" s="203"/>
      <c r="D131" s="203"/>
      <c r="E131" s="571" t="s">
        <v>458</v>
      </c>
      <c r="F131" s="176" t="s">
        <v>112</v>
      </c>
      <c r="G131" s="499" t="s">
        <v>213</v>
      </c>
      <c r="H131" s="557">
        <v>0.2</v>
      </c>
      <c r="I131" s="503" t="s">
        <v>165</v>
      </c>
      <c r="J131" s="503" t="s">
        <v>165</v>
      </c>
      <c r="K131" s="503" t="s">
        <v>165</v>
      </c>
      <c r="L131" s="503" t="s">
        <v>165</v>
      </c>
      <c r="M131" s="503" t="s">
        <v>165</v>
      </c>
      <c r="N131" s="503" t="s">
        <v>165</v>
      </c>
      <c r="O131" s="503" t="s">
        <v>165</v>
      </c>
      <c r="P131" s="503" t="s">
        <v>165</v>
      </c>
      <c r="Q131" s="503" t="s">
        <v>165</v>
      </c>
      <c r="R131" s="503" t="s">
        <v>165</v>
      </c>
      <c r="S131" s="503" t="s">
        <v>165</v>
      </c>
      <c r="T131" s="503" t="s">
        <v>165</v>
      </c>
      <c r="U131" s="503" t="s">
        <v>165</v>
      </c>
      <c r="V131" s="503" t="s">
        <v>165</v>
      </c>
      <c r="W131" s="503" t="s">
        <v>165</v>
      </c>
      <c r="X131" s="503" t="s">
        <v>165</v>
      </c>
      <c r="Y131" s="503" t="s">
        <v>165</v>
      </c>
      <c r="Z131" s="503" t="s">
        <v>165</v>
      </c>
      <c r="AA131" s="503" t="s">
        <v>165</v>
      </c>
      <c r="AB131" s="503" t="s">
        <v>165</v>
      </c>
      <c r="AC131" s="503" t="s">
        <v>165</v>
      </c>
      <c r="AD131" s="503" t="s">
        <v>165</v>
      </c>
      <c r="AE131" s="503" t="s">
        <v>165</v>
      </c>
      <c r="AF131" s="503" t="s">
        <v>165</v>
      </c>
      <c r="AG131" s="502" t="s">
        <v>165</v>
      </c>
      <c r="AH131" s="503" t="s">
        <v>165</v>
      </c>
      <c r="AI131" s="503" t="s">
        <v>165</v>
      </c>
      <c r="AJ131" s="504" t="s">
        <v>165</v>
      </c>
      <c r="AK131" s="505"/>
      <c r="AL131" s="560" t="s">
        <v>216</v>
      </c>
      <c r="AM131" s="724" t="s">
        <v>143</v>
      </c>
    </row>
    <row r="132">
      <c r="A132" s="477"/>
      <c r="B132" s="102"/>
      <c r="C132" s="203"/>
      <c r="D132" s="203"/>
      <c r="E132" s="725"/>
      <c r="F132" s="132"/>
      <c r="G132" s="155"/>
      <c r="H132" s="478"/>
      <c r="I132" s="479"/>
      <c r="J132" s="479"/>
      <c r="K132" s="479"/>
      <c r="L132" s="479"/>
      <c r="M132" s="479"/>
      <c r="N132" s="479"/>
      <c r="O132" s="479"/>
      <c r="P132" s="479"/>
      <c r="Q132" s="479"/>
      <c r="R132" s="479"/>
      <c r="S132" s="479"/>
      <c r="T132" s="479"/>
      <c r="U132" s="479"/>
      <c r="V132" s="479"/>
      <c r="W132" s="479"/>
      <c r="X132" s="479"/>
      <c r="Y132" s="479"/>
      <c r="Z132" s="479"/>
      <c r="AA132" s="479"/>
      <c r="AB132" s="479"/>
      <c r="AC132" s="479"/>
      <c r="AD132" s="479"/>
      <c r="AE132" s="479"/>
      <c r="AF132" s="479"/>
      <c r="AG132" s="480"/>
      <c r="AH132" s="479"/>
      <c r="AI132" s="479"/>
      <c r="AJ132" s="481"/>
      <c r="AK132" s="482"/>
      <c r="AL132" s="483"/>
      <c r="AM132" s="484"/>
    </row>
    <row r="133">
      <c r="A133" s="477"/>
      <c r="B133" s="102"/>
      <c r="C133" s="203" t="s">
        <v>459</v>
      </c>
      <c r="F133" s="132"/>
      <c r="G133" s="155"/>
      <c r="H133" s="478"/>
      <c r="I133" s="479"/>
      <c r="J133" s="479"/>
      <c r="K133" s="479"/>
      <c r="L133" s="479"/>
      <c r="M133" s="479"/>
      <c r="N133" s="479"/>
      <c r="O133" s="479"/>
      <c r="P133" s="479"/>
      <c r="Q133" s="479"/>
      <c r="R133" s="479"/>
      <c r="S133" s="479"/>
      <c r="T133" s="479"/>
      <c r="U133" s="479"/>
      <c r="V133" s="479"/>
      <c r="W133" s="479"/>
      <c r="X133" s="479"/>
      <c r="Y133" s="479"/>
      <c r="Z133" s="479"/>
      <c r="AA133" s="479"/>
      <c r="AB133" s="479"/>
      <c r="AC133" s="479"/>
      <c r="AD133" s="479"/>
      <c r="AE133" s="479"/>
      <c r="AF133" s="479"/>
      <c r="AG133" s="480"/>
      <c r="AH133" s="479"/>
      <c r="AI133" s="479"/>
      <c r="AJ133" s="481"/>
      <c r="AK133" s="482"/>
      <c r="AL133" s="483"/>
      <c r="AM133" s="484"/>
    </row>
    <row r="134">
      <c r="A134" s="477"/>
      <c r="B134" s="102"/>
      <c r="C134" s="203"/>
      <c r="D134" s="203"/>
      <c r="E134" s="690" t="s">
        <v>460</v>
      </c>
      <c r="F134" s="121" t="s">
        <v>112</v>
      </c>
      <c r="G134" s="542" t="s">
        <v>213</v>
      </c>
      <c r="H134" s="616">
        <v>-0.25</v>
      </c>
      <c r="I134" s="726" t="s">
        <v>165</v>
      </c>
      <c r="J134" s="726" t="s">
        <v>165</v>
      </c>
      <c r="K134" s="726" t="s">
        <v>165</v>
      </c>
      <c r="L134" s="726" t="s">
        <v>165</v>
      </c>
      <c r="M134" s="726" t="s">
        <v>165</v>
      </c>
      <c r="N134" s="726" t="s">
        <v>165</v>
      </c>
      <c r="O134" s="726" t="s">
        <v>165</v>
      </c>
      <c r="P134" s="726" t="s">
        <v>165</v>
      </c>
      <c r="Q134" s="726" t="s">
        <v>165</v>
      </c>
      <c r="R134" s="726" t="s">
        <v>165</v>
      </c>
      <c r="S134" s="726" t="s">
        <v>165</v>
      </c>
      <c r="T134" s="726" t="s">
        <v>165</v>
      </c>
      <c r="U134" s="726" t="s">
        <v>165</v>
      </c>
      <c r="V134" s="726" t="s">
        <v>165</v>
      </c>
      <c r="W134" s="726" t="s">
        <v>165</v>
      </c>
      <c r="X134" s="726" t="s">
        <v>165</v>
      </c>
      <c r="Y134" s="726" t="s">
        <v>165</v>
      </c>
      <c r="Z134" s="726" t="s">
        <v>165</v>
      </c>
      <c r="AA134" s="726" t="s">
        <v>165</v>
      </c>
      <c r="AB134" s="726" t="s">
        <v>165</v>
      </c>
      <c r="AC134" s="726" t="s">
        <v>165</v>
      </c>
      <c r="AD134" s="726" t="s">
        <v>165</v>
      </c>
      <c r="AE134" s="726" t="s">
        <v>165</v>
      </c>
      <c r="AF134" s="726" t="s">
        <v>165</v>
      </c>
      <c r="AG134" s="727" t="s">
        <v>165</v>
      </c>
      <c r="AH134" s="726" t="s">
        <v>165</v>
      </c>
      <c r="AI134" s="726" t="s">
        <v>165</v>
      </c>
      <c r="AJ134" s="728" t="s">
        <v>165</v>
      </c>
      <c r="AK134" s="548"/>
      <c r="AL134" s="603" t="s">
        <v>259</v>
      </c>
      <c r="AM134" s="550"/>
    </row>
    <row r="135">
      <c r="A135" s="477"/>
      <c r="B135" s="102"/>
      <c r="C135" s="102"/>
      <c r="D135" s="102"/>
      <c r="E135" s="337"/>
      <c r="F135" s="104"/>
      <c r="G135" s="115"/>
      <c r="H135" s="43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482"/>
      <c r="AH135" s="110"/>
      <c r="AI135" s="110"/>
      <c r="AJ135" s="115"/>
      <c r="AK135" s="482"/>
      <c r="AL135" s="590"/>
      <c r="AM135" s="484"/>
    </row>
    <row r="136">
      <c r="A136" s="99" t="s">
        <v>208</v>
      </c>
      <c r="B136" s="12"/>
      <c r="C136" s="12"/>
      <c r="D136" s="12"/>
      <c r="E136" s="12"/>
      <c r="F136" s="12"/>
      <c r="G136" s="30"/>
      <c r="H136" s="407"/>
      <c r="I136" s="408"/>
      <c r="J136" s="408"/>
      <c r="K136" s="408"/>
      <c r="L136" s="408"/>
      <c r="M136" s="408"/>
      <c r="N136" s="408"/>
      <c r="O136" s="408"/>
      <c r="P136" s="408"/>
      <c r="Q136" s="408"/>
      <c r="R136" s="408"/>
      <c r="S136" s="408"/>
      <c r="T136" s="408"/>
      <c r="U136" s="408"/>
      <c r="V136" s="408"/>
      <c r="W136" s="408"/>
      <c r="X136" s="408"/>
      <c r="Y136" s="408"/>
      <c r="Z136" s="408"/>
      <c r="AA136" s="408"/>
      <c r="AB136" s="408"/>
      <c r="AC136" s="408"/>
      <c r="AD136" s="408"/>
      <c r="AE136" s="408"/>
      <c r="AF136" s="408"/>
      <c r="AG136" s="409"/>
      <c r="AH136" s="408"/>
      <c r="AI136" s="408"/>
      <c r="AJ136" s="410"/>
      <c r="AK136" s="409"/>
      <c r="AL136" s="411"/>
      <c r="AM136" s="412"/>
    </row>
    <row r="137">
      <c r="A137" s="477"/>
      <c r="B137" s="102"/>
      <c r="C137" s="102"/>
      <c r="D137" s="102"/>
      <c r="E137" s="337"/>
      <c r="F137" s="104"/>
      <c r="G137" s="115"/>
      <c r="H137" s="43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482"/>
      <c r="AH137" s="110"/>
      <c r="AI137" s="110"/>
      <c r="AJ137" s="115"/>
      <c r="AK137" s="482"/>
      <c r="AL137" s="590"/>
      <c r="AM137" s="484"/>
    </row>
    <row r="138">
      <c r="A138" s="477"/>
      <c r="B138" s="102"/>
      <c r="C138" s="113" t="s">
        <v>209</v>
      </c>
      <c r="F138" s="104"/>
      <c r="G138" s="115"/>
      <c r="H138" s="43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482"/>
      <c r="AH138" s="110"/>
      <c r="AI138" s="110"/>
      <c r="AJ138" s="115"/>
      <c r="AK138" s="482"/>
      <c r="AL138" s="590"/>
      <c r="AM138" s="484"/>
    </row>
    <row r="139">
      <c r="A139" s="477"/>
      <c r="B139" s="102"/>
      <c r="C139" s="102"/>
      <c r="D139" s="102"/>
      <c r="E139" s="403" t="s">
        <v>212</v>
      </c>
      <c r="F139" s="121" t="s">
        <v>112</v>
      </c>
      <c r="G139" s="542" t="s">
        <v>213</v>
      </c>
      <c r="H139" s="602" t="s">
        <v>165</v>
      </c>
      <c r="I139" s="544">
        <v>0.25</v>
      </c>
      <c r="J139" s="544">
        <v>0.25</v>
      </c>
      <c r="K139" s="544">
        <v>0.25</v>
      </c>
      <c r="L139" s="544">
        <v>0.25</v>
      </c>
      <c r="M139" s="544">
        <v>0.25</v>
      </c>
      <c r="N139" s="544">
        <v>0.25</v>
      </c>
      <c r="O139" s="460">
        <v>0.44</v>
      </c>
      <c r="P139" s="544">
        <v>0.25</v>
      </c>
      <c r="Q139" s="544">
        <v>0.25</v>
      </c>
      <c r="R139" s="544">
        <v>0.25</v>
      </c>
      <c r="S139" s="544">
        <v>0.25</v>
      </c>
      <c r="T139" s="544">
        <v>0.25</v>
      </c>
      <c r="U139" s="544">
        <v>0.25</v>
      </c>
      <c r="V139" s="544">
        <v>0.25</v>
      </c>
      <c r="W139" s="544">
        <v>0.25</v>
      </c>
      <c r="X139" s="544">
        <v>0.25</v>
      </c>
      <c r="Y139" s="544">
        <v>0.25</v>
      </c>
      <c r="Z139" s="544">
        <v>0.25</v>
      </c>
      <c r="AA139" s="544">
        <v>0.25</v>
      </c>
      <c r="AB139" s="544">
        <v>0.25</v>
      </c>
      <c r="AC139" s="544">
        <v>0.25</v>
      </c>
      <c r="AD139" s="544">
        <v>0.25</v>
      </c>
      <c r="AE139" s="544">
        <v>0.25</v>
      </c>
      <c r="AF139" s="544">
        <v>0.25</v>
      </c>
      <c r="AG139" s="729">
        <v>0.25</v>
      </c>
      <c r="AH139" s="544">
        <v>0.25</v>
      </c>
      <c r="AI139" s="544">
        <v>0.25</v>
      </c>
      <c r="AJ139" s="730">
        <v>0.25</v>
      </c>
      <c r="AK139" s="548"/>
      <c r="AL139" s="603" t="s">
        <v>259</v>
      </c>
      <c r="AM139" s="550"/>
    </row>
    <row r="140">
      <c r="A140" s="477"/>
      <c r="B140" s="102"/>
      <c r="C140" s="102"/>
      <c r="D140" s="102"/>
      <c r="E140" s="337"/>
      <c r="F140" s="104"/>
      <c r="G140" s="115"/>
      <c r="H140" s="43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482"/>
      <c r="AH140" s="110"/>
      <c r="AI140" s="110"/>
      <c r="AJ140" s="115"/>
      <c r="AK140" s="482"/>
      <c r="AL140" s="590"/>
      <c r="AM140" s="484"/>
    </row>
    <row r="141">
      <c r="A141" s="99" t="s">
        <v>218</v>
      </c>
      <c r="B141" s="12"/>
      <c r="C141" s="12"/>
      <c r="D141" s="12"/>
      <c r="E141" s="12"/>
      <c r="F141" s="12"/>
      <c r="G141" s="30"/>
      <c r="H141" s="407"/>
      <c r="I141" s="408"/>
      <c r="J141" s="408"/>
      <c r="K141" s="408"/>
      <c r="L141" s="408"/>
      <c r="M141" s="408"/>
      <c r="N141" s="408"/>
      <c r="O141" s="408"/>
      <c r="P141" s="408"/>
      <c r="Q141" s="408"/>
      <c r="R141" s="408"/>
      <c r="S141" s="408"/>
      <c r="T141" s="408"/>
      <c r="U141" s="408"/>
      <c r="V141" s="408"/>
      <c r="W141" s="408"/>
      <c r="X141" s="408"/>
      <c r="Y141" s="408"/>
      <c r="Z141" s="408"/>
      <c r="AA141" s="408"/>
      <c r="AB141" s="408"/>
      <c r="AC141" s="408"/>
      <c r="AD141" s="408"/>
      <c r="AE141" s="408"/>
      <c r="AF141" s="408"/>
      <c r="AG141" s="409"/>
      <c r="AH141" s="408"/>
      <c r="AI141" s="408"/>
      <c r="AJ141" s="410"/>
      <c r="AK141" s="409"/>
      <c r="AL141" s="411"/>
      <c r="AM141" s="412"/>
    </row>
    <row r="142">
      <c r="A142" s="101"/>
      <c r="B142" s="102"/>
      <c r="C142" s="326"/>
      <c r="D142" s="102"/>
      <c r="E142" s="337"/>
      <c r="F142" s="104"/>
      <c r="G142" s="111"/>
      <c r="H142" s="339"/>
      <c r="I142" s="340"/>
      <c r="J142" s="340"/>
      <c r="K142" s="340"/>
      <c r="L142" s="340"/>
      <c r="M142" s="340"/>
      <c r="N142" s="340"/>
      <c r="O142" s="340"/>
      <c r="P142" s="340"/>
      <c r="Q142" s="340"/>
      <c r="R142" s="340"/>
      <c r="S142" s="340"/>
      <c r="T142" s="340"/>
      <c r="U142" s="340"/>
      <c r="V142" s="340"/>
      <c r="W142" s="340"/>
      <c r="X142" s="340"/>
      <c r="Y142" s="340"/>
      <c r="Z142" s="340"/>
      <c r="AA142" s="340"/>
      <c r="AB142" s="340"/>
      <c r="AC142" s="340"/>
      <c r="AD142" s="340"/>
      <c r="AE142" s="340"/>
      <c r="AF142" s="340"/>
      <c r="AG142" s="342"/>
      <c r="AH142" s="340"/>
      <c r="AI142" s="340"/>
      <c r="AJ142" s="157"/>
      <c r="AK142" s="165"/>
      <c r="AL142" s="343"/>
      <c r="AM142" s="344"/>
    </row>
    <row r="143">
      <c r="A143" s="101"/>
      <c r="B143" s="102"/>
      <c r="C143" s="377" t="s">
        <v>219</v>
      </c>
      <c r="F143" s="104"/>
      <c r="G143" s="111"/>
      <c r="H143" s="339"/>
      <c r="I143" s="340"/>
      <c r="J143" s="340"/>
      <c r="K143" s="340"/>
      <c r="L143" s="340"/>
      <c r="M143" s="340"/>
      <c r="N143" s="340"/>
      <c r="O143" s="340"/>
      <c r="P143" s="340"/>
      <c r="Q143" s="340"/>
      <c r="R143" s="340"/>
      <c r="S143" s="340"/>
      <c r="T143" s="340"/>
      <c r="U143" s="340"/>
      <c r="V143" s="340"/>
      <c r="W143" s="340"/>
      <c r="X143" s="340"/>
      <c r="Y143" s="340"/>
      <c r="Z143" s="340"/>
      <c r="AA143" s="340"/>
      <c r="AB143" s="340"/>
      <c r="AC143" s="340"/>
      <c r="AD143" s="340"/>
      <c r="AE143" s="340"/>
      <c r="AF143" s="340"/>
      <c r="AG143" s="342"/>
      <c r="AH143" s="340"/>
      <c r="AI143" s="340"/>
      <c r="AJ143" s="157"/>
      <c r="AK143" s="165"/>
      <c r="AL143" s="343"/>
      <c r="AM143" s="344"/>
    </row>
    <row r="144">
      <c r="A144" s="101"/>
      <c r="B144" s="102"/>
      <c r="C144" s="130"/>
      <c r="D144" s="102"/>
      <c r="E144" s="440" t="s">
        <v>220</v>
      </c>
      <c r="F144" s="132" t="s">
        <v>112</v>
      </c>
      <c r="G144" s="242" t="s">
        <v>213</v>
      </c>
      <c r="H144" s="413">
        <v>0.24</v>
      </c>
      <c r="I144" s="156" t="s">
        <v>165</v>
      </c>
      <c r="J144" s="156" t="s">
        <v>165</v>
      </c>
      <c r="K144" s="156" t="s">
        <v>165</v>
      </c>
      <c r="L144" s="156" t="s">
        <v>165</v>
      </c>
      <c r="M144" s="156" t="s">
        <v>165</v>
      </c>
      <c r="N144" s="156" t="s">
        <v>165</v>
      </c>
      <c r="O144" s="156" t="s">
        <v>165</v>
      </c>
      <c r="P144" s="156" t="s">
        <v>165</v>
      </c>
      <c r="Q144" s="156" t="s">
        <v>165</v>
      </c>
      <c r="R144" s="156" t="s">
        <v>165</v>
      </c>
      <c r="S144" s="156" t="s">
        <v>165</v>
      </c>
      <c r="T144" s="156" t="s">
        <v>165</v>
      </c>
      <c r="U144" s="156" t="s">
        <v>165</v>
      </c>
      <c r="V144" s="156" t="s">
        <v>165</v>
      </c>
      <c r="W144" s="156" t="s">
        <v>165</v>
      </c>
      <c r="X144" s="156" t="s">
        <v>165</v>
      </c>
      <c r="Y144" s="156" t="s">
        <v>165</v>
      </c>
      <c r="Z144" s="156" t="s">
        <v>165</v>
      </c>
      <c r="AA144" s="156" t="s">
        <v>165</v>
      </c>
      <c r="AB144" s="156" t="s">
        <v>165</v>
      </c>
      <c r="AC144" s="156" t="s">
        <v>165</v>
      </c>
      <c r="AD144" s="156" t="s">
        <v>165</v>
      </c>
      <c r="AE144" s="156" t="s">
        <v>165</v>
      </c>
      <c r="AF144" s="156" t="s">
        <v>165</v>
      </c>
      <c r="AG144" s="449" t="s">
        <v>165</v>
      </c>
      <c r="AH144" s="156" t="s">
        <v>165</v>
      </c>
      <c r="AI144" s="156" t="s">
        <v>165</v>
      </c>
      <c r="AJ144" s="450" t="s">
        <v>165</v>
      </c>
      <c r="AK144" s="165"/>
      <c r="AL144" s="731" t="s">
        <v>462</v>
      </c>
      <c r="AM144" s="344"/>
    </row>
    <row r="145">
      <c r="A145" s="101"/>
      <c r="B145" s="102"/>
      <c r="C145" s="130"/>
      <c r="D145" s="102"/>
      <c r="E145" s="598" t="s">
        <v>224</v>
      </c>
      <c r="F145" s="145" t="s">
        <v>112</v>
      </c>
      <c r="G145" s="419" t="s">
        <v>213</v>
      </c>
      <c r="H145" s="732">
        <v>0.8729567</v>
      </c>
      <c r="I145" s="183" t="s">
        <v>165</v>
      </c>
      <c r="J145" s="183" t="s">
        <v>165</v>
      </c>
      <c r="K145" s="183" t="s">
        <v>165</v>
      </c>
      <c r="L145" s="183" t="s">
        <v>165</v>
      </c>
      <c r="M145" s="183" t="s">
        <v>165</v>
      </c>
      <c r="N145" s="183" t="s">
        <v>165</v>
      </c>
      <c r="O145" s="183" t="s">
        <v>165</v>
      </c>
      <c r="P145" s="183" t="s">
        <v>165</v>
      </c>
      <c r="Q145" s="183" t="s">
        <v>165</v>
      </c>
      <c r="R145" s="183" t="s">
        <v>165</v>
      </c>
      <c r="S145" s="183" t="s">
        <v>165</v>
      </c>
      <c r="T145" s="183" t="s">
        <v>165</v>
      </c>
      <c r="U145" s="183" t="s">
        <v>165</v>
      </c>
      <c r="V145" s="183" t="s">
        <v>165</v>
      </c>
      <c r="W145" s="183" t="s">
        <v>165</v>
      </c>
      <c r="X145" s="183" t="s">
        <v>165</v>
      </c>
      <c r="Y145" s="183" t="s">
        <v>165</v>
      </c>
      <c r="Z145" s="183" t="s">
        <v>165</v>
      </c>
      <c r="AA145" s="183" t="s">
        <v>165</v>
      </c>
      <c r="AB145" s="183" t="s">
        <v>165</v>
      </c>
      <c r="AC145" s="183" t="s">
        <v>165</v>
      </c>
      <c r="AD145" s="183" t="s">
        <v>165</v>
      </c>
      <c r="AE145" s="183" t="s">
        <v>165</v>
      </c>
      <c r="AF145" s="183" t="s">
        <v>165</v>
      </c>
      <c r="AG145" s="733" t="s">
        <v>165</v>
      </c>
      <c r="AH145" s="183" t="s">
        <v>165</v>
      </c>
      <c r="AI145" s="183" t="s">
        <v>165</v>
      </c>
      <c r="AJ145" s="475" t="s">
        <v>165</v>
      </c>
      <c r="AK145" s="369"/>
      <c r="AL145" s="734" t="s">
        <v>216</v>
      </c>
      <c r="AM145" s="737" t="s">
        <v>463</v>
      </c>
    </row>
    <row r="146">
      <c r="A146" s="101"/>
      <c r="B146" s="102"/>
      <c r="C146" s="130"/>
      <c r="D146" s="102"/>
      <c r="E146" s="598" t="s">
        <v>228</v>
      </c>
      <c r="F146" s="145" t="s">
        <v>112</v>
      </c>
      <c r="G146" s="419" t="s">
        <v>213</v>
      </c>
      <c r="H146" s="732">
        <v>-0.25</v>
      </c>
      <c r="I146" s="183" t="s">
        <v>165</v>
      </c>
      <c r="J146" s="183" t="s">
        <v>165</v>
      </c>
      <c r="K146" s="183" t="s">
        <v>165</v>
      </c>
      <c r="L146" s="183" t="s">
        <v>165</v>
      </c>
      <c r="M146" s="183" t="s">
        <v>165</v>
      </c>
      <c r="N146" s="183" t="s">
        <v>165</v>
      </c>
      <c r="O146" s="183" t="s">
        <v>165</v>
      </c>
      <c r="P146" s="183" t="s">
        <v>165</v>
      </c>
      <c r="Q146" s="183" t="s">
        <v>165</v>
      </c>
      <c r="R146" s="183" t="s">
        <v>165</v>
      </c>
      <c r="S146" s="183" t="s">
        <v>165</v>
      </c>
      <c r="T146" s="183" t="s">
        <v>165</v>
      </c>
      <c r="U146" s="183" t="s">
        <v>165</v>
      </c>
      <c r="V146" s="183" t="s">
        <v>165</v>
      </c>
      <c r="W146" s="183" t="s">
        <v>165</v>
      </c>
      <c r="X146" s="183" t="s">
        <v>165</v>
      </c>
      <c r="Y146" s="183" t="s">
        <v>165</v>
      </c>
      <c r="Z146" s="183" t="s">
        <v>165</v>
      </c>
      <c r="AA146" s="183" t="s">
        <v>165</v>
      </c>
      <c r="AB146" s="183" t="s">
        <v>165</v>
      </c>
      <c r="AC146" s="183" t="s">
        <v>165</v>
      </c>
      <c r="AD146" s="183" t="s">
        <v>165</v>
      </c>
      <c r="AE146" s="183" t="s">
        <v>165</v>
      </c>
      <c r="AF146" s="183" t="s">
        <v>165</v>
      </c>
      <c r="AG146" s="733" t="s">
        <v>165</v>
      </c>
      <c r="AH146" s="183" t="s">
        <v>165</v>
      </c>
      <c r="AI146" s="183" t="s">
        <v>165</v>
      </c>
      <c r="AJ146" s="475" t="s">
        <v>165</v>
      </c>
      <c r="AK146" s="369"/>
      <c r="AL146" s="734" t="s">
        <v>259</v>
      </c>
      <c r="AM146" s="740"/>
    </row>
    <row r="147">
      <c r="A147" s="101"/>
      <c r="B147" s="102"/>
      <c r="C147" s="130"/>
      <c r="D147" s="102"/>
      <c r="E147" s="403" t="s">
        <v>244</v>
      </c>
      <c r="F147" s="121" t="s">
        <v>112</v>
      </c>
      <c r="G147" s="248" t="s">
        <v>213</v>
      </c>
      <c r="H147" s="404" t="s">
        <v>165</v>
      </c>
      <c r="I147" s="383">
        <v>0.401</v>
      </c>
      <c r="J147" s="383">
        <v>0.518</v>
      </c>
      <c r="K147" s="383">
        <v>0.468</v>
      </c>
      <c r="L147" s="383">
        <v>0.541</v>
      </c>
      <c r="M147" s="383">
        <v>0.448</v>
      </c>
      <c r="N147" s="383">
        <v>0.608</v>
      </c>
      <c r="O147" s="383">
        <v>0.409</v>
      </c>
      <c r="P147" s="383">
        <v>0.589</v>
      </c>
      <c r="Q147" s="383">
        <v>0.5</v>
      </c>
      <c r="R147" s="383">
        <v>0.47</v>
      </c>
      <c r="S147" s="383">
        <v>0.47</v>
      </c>
      <c r="T147" s="383">
        <v>0.47</v>
      </c>
      <c r="U147" s="383">
        <v>0.47</v>
      </c>
      <c r="V147" s="383">
        <v>0.47</v>
      </c>
      <c r="W147" s="383">
        <v>0.47</v>
      </c>
      <c r="X147" s="383">
        <v>0.47</v>
      </c>
      <c r="Y147" s="383">
        <v>0.47</v>
      </c>
      <c r="Z147" s="383">
        <v>0.47</v>
      </c>
      <c r="AA147" s="383">
        <v>0.47</v>
      </c>
      <c r="AB147" s="383">
        <v>0.47</v>
      </c>
      <c r="AC147" s="383">
        <v>0.47</v>
      </c>
      <c r="AD147" s="383">
        <v>0.47</v>
      </c>
      <c r="AE147" s="383">
        <v>0.47</v>
      </c>
      <c r="AF147" s="383">
        <v>0.47</v>
      </c>
      <c r="AG147" s="384">
        <v>0.323</v>
      </c>
      <c r="AH147" s="383">
        <v>0.474</v>
      </c>
      <c r="AI147" s="383">
        <v>0.568</v>
      </c>
      <c r="AJ147" s="389">
        <v>0.538</v>
      </c>
      <c r="AK147" s="206"/>
      <c r="AL147" s="349" t="s">
        <v>216</v>
      </c>
      <c r="AM147" s="622" t="s">
        <v>145</v>
      </c>
    </row>
    <row r="148">
      <c r="A148" s="101"/>
      <c r="B148" s="102"/>
      <c r="C148" s="130"/>
      <c r="D148" s="102"/>
      <c r="E148" s="337"/>
      <c r="F148" s="104"/>
      <c r="G148" s="111"/>
      <c r="H148" s="339"/>
      <c r="I148" s="340"/>
      <c r="J148" s="340"/>
      <c r="K148" s="340"/>
      <c r="L148" s="340"/>
      <c r="M148" s="340"/>
      <c r="N148" s="340"/>
      <c r="O148" s="340"/>
      <c r="P148" s="340"/>
      <c r="Q148" s="340"/>
      <c r="R148" s="340"/>
      <c r="S148" s="340"/>
      <c r="T148" s="340"/>
      <c r="U148" s="340"/>
      <c r="V148" s="340"/>
      <c r="W148" s="340"/>
      <c r="X148" s="340"/>
      <c r="Y148" s="340"/>
      <c r="Z148" s="340"/>
      <c r="AA148" s="340"/>
      <c r="AB148" s="340"/>
      <c r="AC148" s="340"/>
      <c r="AD148" s="340"/>
      <c r="AE148" s="340"/>
      <c r="AF148" s="340"/>
      <c r="AG148" s="342"/>
      <c r="AH148" s="340"/>
      <c r="AI148" s="340"/>
      <c r="AJ148" s="157"/>
      <c r="AK148" s="165"/>
      <c r="AL148" s="343"/>
      <c r="AM148" s="344"/>
    </row>
    <row r="149">
      <c r="A149" s="101"/>
      <c r="B149" s="102"/>
      <c r="C149" s="113" t="s">
        <v>467</v>
      </c>
      <c r="F149" s="104"/>
      <c r="G149" s="111"/>
      <c r="H149" s="339"/>
      <c r="I149" s="744"/>
      <c r="J149" s="744"/>
      <c r="K149" s="744"/>
      <c r="L149" s="744"/>
      <c r="M149" s="744"/>
      <c r="N149" s="744"/>
      <c r="O149" s="744"/>
      <c r="P149" s="744"/>
      <c r="Q149" s="744"/>
      <c r="R149" s="744"/>
      <c r="S149" s="744"/>
      <c r="T149" s="744"/>
      <c r="U149" s="744"/>
      <c r="V149" s="744"/>
      <c r="W149" s="744"/>
      <c r="X149" s="744"/>
      <c r="Y149" s="744"/>
      <c r="Z149" s="744"/>
      <c r="AA149" s="744"/>
      <c r="AB149" s="744"/>
      <c r="AC149" s="744"/>
      <c r="AD149" s="744"/>
      <c r="AE149" s="744"/>
      <c r="AF149" s="744"/>
      <c r="AG149" s="745"/>
      <c r="AH149" s="744"/>
      <c r="AI149" s="744"/>
      <c r="AJ149" s="746"/>
      <c r="AK149" s="165"/>
      <c r="AL149" s="343"/>
      <c r="AM149" s="344"/>
    </row>
    <row r="150">
      <c r="A150" s="101"/>
      <c r="B150" s="102"/>
      <c r="C150" s="130"/>
      <c r="D150" s="102"/>
      <c r="E150" s="396" t="s">
        <v>255</v>
      </c>
      <c r="F150" s="114" t="s">
        <v>101</v>
      </c>
      <c r="G150" s="286" t="s">
        <v>213</v>
      </c>
      <c r="H150" s="749">
        <v>0.30647</v>
      </c>
      <c r="I150" s="421" t="s">
        <v>165</v>
      </c>
      <c r="J150" s="421" t="s">
        <v>165</v>
      </c>
      <c r="K150" s="421" t="s">
        <v>165</v>
      </c>
      <c r="L150" s="421" t="s">
        <v>165</v>
      </c>
      <c r="M150" s="421" t="s">
        <v>165</v>
      </c>
      <c r="N150" s="421" t="s">
        <v>165</v>
      </c>
      <c r="O150" s="421" t="s">
        <v>165</v>
      </c>
      <c r="P150" s="421" t="s">
        <v>165</v>
      </c>
      <c r="Q150" s="421" t="s">
        <v>165</v>
      </c>
      <c r="R150" s="421" t="s">
        <v>165</v>
      </c>
      <c r="S150" s="421" t="s">
        <v>165</v>
      </c>
      <c r="T150" s="421" t="s">
        <v>165</v>
      </c>
      <c r="U150" s="421" t="s">
        <v>165</v>
      </c>
      <c r="V150" s="421" t="s">
        <v>165</v>
      </c>
      <c r="W150" s="421" t="s">
        <v>165</v>
      </c>
      <c r="X150" s="421" t="s">
        <v>165</v>
      </c>
      <c r="Y150" s="421" t="s">
        <v>165</v>
      </c>
      <c r="Z150" s="421" t="s">
        <v>165</v>
      </c>
      <c r="AA150" s="421" t="s">
        <v>165</v>
      </c>
      <c r="AB150" s="421" t="s">
        <v>165</v>
      </c>
      <c r="AC150" s="421" t="s">
        <v>165</v>
      </c>
      <c r="AD150" s="421" t="s">
        <v>165</v>
      </c>
      <c r="AE150" s="421" t="s">
        <v>165</v>
      </c>
      <c r="AF150" s="421" t="s">
        <v>165</v>
      </c>
      <c r="AG150" s="424" t="s">
        <v>165</v>
      </c>
      <c r="AH150" s="421" t="s">
        <v>165</v>
      </c>
      <c r="AI150" s="421" t="s">
        <v>165</v>
      </c>
      <c r="AJ150" s="425" t="s">
        <v>165</v>
      </c>
      <c r="AK150" s="359"/>
      <c r="AL150" s="402" t="s">
        <v>469</v>
      </c>
      <c r="AM150" s="428"/>
    </row>
    <row r="151">
      <c r="A151" s="101"/>
      <c r="B151" s="102"/>
      <c r="C151" s="130"/>
      <c r="D151" s="102"/>
      <c r="E151" s="610" t="s">
        <v>258</v>
      </c>
      <c r="F151" s="176" t="s">
        <v>112</v>
      </c>
      <c r="G151" s="361" t="s">
        <v>213</v>
      </c>
      <c r="H151" s="752">
        <v>-0.2</v>
      </c>
      <c r="I151" s="574" t="s">
        <v>165</v>
      </c>
      <c r="J151" s="574" t="s">
        <v>165</v>
      </c>
      <c r="K151" s="574" t="s">
        <v>165</v>
      </c>
      <c r="L151" s="574" t="s">
        <v>165</v>
      </c>
      <c r="M151" s="574" t="s">
        <v>165</v>
      </c>
      <c r="N151" s="574" t="s">
        <v>165</v>
      </c>
      <c r="O151" s="574" t="s">
        <v>165</v>
      </c>
      <c r="P151" s="574" t="s">
        <v>165</v>
      </c>
      <c r="Q151" s="574" t="s">
        <v>165</v>
      </c>
      <c r="R151" s="574" t="s">
        <v>165</v>
      </c>
      <c r="S151" s="574" t="s">
        <v>165</v>
      </c>
      <c r="T151" s="574" t="s">
        <v>165</v>
      </c>
      <c r="U151" s="574" t="s">
        <v>165</v>
      </c>
      <c r="V151" s="574" t="s">
        <v>165</v>
      </c>
      <c r="W151" s="574" t="s">
        <v>165</v>
      </c>
      <c r="X151" s="574" t="s">
        <v>165</v>
      </c>
      <c r="Y151" s="574" t="s">
        <v>165</v>
      </c>
      <c r="Z151" s="574" t="s">
        <v>165</v>
      </c>
      <c r="AA151" s="574" t="s">
        <v>165</v>
      </c>
      <c r="AB151" s="574" t="s">
        <v>165</v>
      </c>
      <c r="AC151" s="574" t="s">
        <v>165</v>
      </c>
      <c r="AD151" s="574" t="s">
        <v>165</v>
      </c>
      <c r="AE151" s="574" t="s">
        <v>165</v>
      </c>
      <c r="AF151" s="574" t="s">
        <v>165</v>
      </c>
      <c r="AG151" s="753" t="s">
        <v>165</v>
      </c>
      <c r="AH151" s="574" t="s">
        <v>165</v>
      </c>
      <c r="AI151" s="574" t="s">
        <v>165</v>
      </c>
      <c r="AJ151" s="755" t="s">
        <v>165</v>
      </c>
      <c r="AK151" s="391"/>
      <c r="AL151" s="757" t="s">
        <v>259</v>
      </c>
      <c r="AM151" s="758"/>
    </row>
    <row r="152">
      <c r="A152" s="101"/>
      <c r="B152" s="102"/>
      <c r="C152" s="130"/>
      <c r="D152" s="102"/>
      <c r="E152" s="337"/>
      <c r="F152" s="104"/>
      <c r="G152" s="111"/>
      <c r="H152" s="339"/>
      <c r="I152" s="340"/>
      <c r="J152" s="340"/>
      <c r="K152" s="340"/>
      <c r="L152" s="340"/>
      <c r="M152" s="340"/>
      <c r="N152" s="340"/>
      <c r="O152" s="340"/>
      <c r="P152" s="340"/>
      <c r="Q152" s="340"/>
      <c r="R152" s="340"/>
      <c r="S152" s="340"/>
      <c r="T152" s="340"/>
      <c r="U152" s="340"/>
      <c r="V152" s="340"/>
      <c r="W152" s="340"/>
      <c r="X152" s="340"/>
      <c r="Y152" s="340"/>
      <c r="Z152" s="340"/>
      <c r="AA152" s="340"/>
      <c r="AB152" s="340"/>
      <c r="AC152" s="340"/>
      <c r="AD152" s="340"/>
      <c r="AE152" s="340"/>
      <c r="AF152" s="340"/>
      <c r="AG152" s="342"/>
      <c r="AH152" s="340"/>
      <c r="AI152" s="340"/>
      <c r="AJ152" s="157"/>
      <c r="AK152" s="165"/>
      <c r="AL152" s="343"/>
      <c r="AM152" s="344"/>
    </row>
    <row r="153">
      <c r="A153" s="99" t="s">
        <v>278</v>
      </c>
      <c r="B153" s="12"/>
      <c r="C153" s="12"/>
      <c r="D153" s="12"/>
      <c r="E153" s="12"/>
      <c r="F153" s="12"/>
      <c r="G153" s="30"/>
      <c r="H153" s="330"/>
      <c r="I153" s="331"/>
      <c r="J153" s="331"/>
      <c r="K153" s="331"/>
      <c r="L153" s="331"/>
      <c r="M153" s="331"/>
      <c r="N153" s="331"/>
      <c r="O153" s="331"/>
      <c r="P153" s="331"/>
      <c r="Q153" s="331"/>
      <c r="R153" s="331"/>
      <c r="S153" s="331"/>
      <c r="T153" s="331"/>
      <c r="U153" s="331"/>
      <c r="V153" s="331"/>
      <c r="W153" s="331"/>
      <c r="X153" s="331"/>
      <c r="Y153" s="331"/>
      <c r="Z153" s="331"/>
      <c r="AA153" s="331"/>
      <c r="AB153" s="331"/>
      <c r="AC153" s="331"/>
      <c r="AD153" s="331"/>
      <c r="AE153" s="331"/>
      <c r="AF153" s="331"/>
      <c r="AG153" s="332"/>
      <c r="AH153" s="331"/>
      <c r="AI153" s="331"/>
      <c r="AJ153" s="333"/>
      <c r="AK153" s="332"/>
      <c r="AL153" s="764"/>
      <c r="AM153" s="336"/>
    </row>
    <row r="154">
      <c r="A154" s="101"/>
      <c r="B154" s="102"/>
      <c r="C154" s="102"/>
      <c r="D154" s="102"/>
      <c r="E154" s="337"/>
      <c r="F154" s="104"/>
      <c r="G154" s="111"/>
      <c r="H154" s="339"/>
      <c r="I154" s="340"/>
      <c r="J154" s="340"/>
      <c r="K154" s="340"/>
      <c r="L154" s="340"/>
      <c r="M154" s="340"/>
      <c r="N154" s="340"/>
      <c r="O154" s="340"/>
      <c r="P154" s="340"/>
      <c r="Q154" s="340"/>
      <c r="R154" s="340"/>
      <c r="S154" s="340"/>
      <c r="T154" s="340"/>
      <c r="U154" s="340"/>
      <c r="V154" s="340"/>
      <c r="W154" s="340"/>
      <c r="X154" s="340"/>
      <c r="Y154" s="340"/>
      <c r="Z154" s="340"/>
      <c r="AA154" s="340"/>
      <c r="AB154" s="340"/>
      <c r="AC154" s="340"/>
      <c r="AD154" s="340"/>
      <c r="AE154" s="340"/>
      <c r="AF154" s="340"/>
      <c r="AG154" s="342"/>
      <c r="AH154" s="340"/>
      <c r="AI154" s="340"/>
      <c r="AJ154" s="157"/>
      <c r="AK154" s="165"/>
      <c r="AL154" s="343"/>
      <c r="AM154" s="344"/>
    </row>
    <row r="155">
      <c r="A155" s="101"/>
      <c r="B155" s="102"/>
      <c r="C155" s="130" t="s">
        <v>278</v>
      </c>
      <c r="F155" s="104"/>
      <c r="G155" s="111"/>
      <c r="H155" s="339"/>
      <c r="I155" s="340"/>
      <c r="J155" s="340"/>
      <c r="K155" s="340"/>
      <c r="L155" s="340"/>
      <c r="M155" s="340"/>
      <c r="N155" s="340"/>
      <c r="O155" s="340"/>
      <c r="P155" s="340"/>
      <c r="Q155" s="340"/>
      <c r="R155" s="340"/>
      <c r="S155" s="340"/>
      <c r="T155" s="340"/>
      <c r="U155" s="340"/>
      <c r="V155" s="340"/>
      <c r="W155" s="340"/>
      <c r="X155" s="340"/>
      <c r="Y155" s="340"/>
      <c r="Z155" s="340"/>
      <c r="AA155" s="340"/>
      <c r="AB155" s="340"/>
      <c r="AC155" s="340"/>
      <c r="AD155" s="340"/>
      <c r="AE155" s="340"/>
      <c r="AF155" s="340"/>
      <c r="AG155" s="342"/>
      <c r="AH155" s="340"/>
      <c r="AI155" s="340"/>
      <c r="AJ155" s="157"/>
      <c r="AK155" s="165"/>
      <c r="AL155" s="343"/>
      <c r="AM155" s="344"/>
    </row>
    <row r="156">
      <c r="A156" s="101"/>
      <c r="B156" s="102"/>
      <c r="C156" s="102"/>
      <c r="D156" s="102"/>
      <c r="E156" s="396" t="s">
        <v>262</v>
      </c>
      <c r="F156" s="114" t="s">
        <v>116</v>
      </c>
      <c r="G156" s="286" t="s">
        <v>213</v>
      </c>
      <c r="H156" s="767">
        <v>118.73259</v>
      </c>
      <c r="I156" s="162" t="s">
        <v>165</v>
      </c>
      <c r="J156" s="162" t="s">
        <v>165</v>
      </c>
      <c r="K156" s="162" t="s">
        <v>165</v>
      </c>
      <c r="L156" s="162" t="s">
        <v>165</v>
      </c>
      <c r="M156" s="162" t="s">
        <v>165</v>
      </c>
      <c r="N156" s="162" t="s">
        <v>165</v>
      </c>
      <c r="O156" s="162" t="s">
        <v>165</v>
      </c>
      <c r="P156" s="162" t="s">
        <v>165</v>
      </c>
      <c r="Q156" s="162" t="s">
        <v>165</v>
      </c>
      <c r="R156" s="162" t="s">
        <v>165</v>
      </c>
      <c r="S156" s="162" t="s">
        <v>165</v>
      </c>
      <c r="T156" s="162" t="s">
        <v>165</v>
      </c>
      <c r="U156" s="162" t="s">
        <v>165</v>
      </c>
      <c r="V156" s="162" t="s">
        <v>165</v>
      </c>
      <c r="W156" s="162" t="s">
        <v>165</v>
      </c>
      <c r="X156" s="162" t="s">
        <v>165</v>
      </c>
      <c r="Y156" s="162" t="s">
        <v>165</v>
      </c>
      <c r="Z156" s="162" t="s">
        <v>165</v>
      </c>
      <c r="AA156" s="162" t="s">
        <v>165</v>
      </c>
      <c r="AB156" s="162" t="s">
        <v>165</v>
      </c>
      <c r="AC156" s="162" t="s">
        <v>165</v>
      </c>
      <c r="AD156" s="162" t="s">
        <v>165</v>
      </c>
      <c r="AE156" s="162" t="s">
        <v>165</v>
      </c>
      <c r="AF156" s="162" t="s">
        <v>165</v>
      </c>
      <c r="AG156" s="773" t="s">
        <v>165</v>
      </c>
      <c r="AH156" s="162" t="s">
        <v>165</v>
      </c>
      <c r="AI156" s="162" t="s">
        <v>165</v>
      </c>
      <c r="AJ156" s="774" t="s">
        <v>165</v>
      </c>
      <c r="AK156" s="775"/>
      <c r="AL156" s="402" t="s">
        <v>498</v>
      </c>
      <c r="AM156" s="781" t="s">
        <v>150</v>
      </c>
    </row>
    <row r="157">
      <c r="A157" s="101"/>
      <c r="B157" s="102"/>
      <c r="C157" s="102"/>
      <c r="D157" s="102"/>
      <c r="E157" s="598" t="s">
        <v>503</v>
      </c>
      <c r="F157" s="145" t="s">
        <v>116</v>
      </c>
      <c r="G157" s="419" t="s">
        <v>213</v>
      </c>
      <c r="H157" s="783">
        <v>1.0</v>
      </c>
      <c r="I157" s="162" t="s">
        <v>165</v>
      </c>
      <c r="J157" s="162" t="s">
        <v>165</v>
      </c>
      <c r="K157" s="162" t="s">
        <v>165</v>
      </c>
      <c r="L157" s="162" t="s">
        <v>165</v>
      </c>
      <c r="M157" s="162" t="s">
        <v>165</v>
      </c>
      <c r="N157" s="162" t="s">
        <v>165</v>
      </c>
      <c r="O157" s="162" t="s">
        <v>165</v>
      </c>
      <c r="P157" s="162" t="s">
        <v>165</v>
      </c>
      <c r="Q157" s="162" t="s">
        <v>165</v>
      </c>
      <c r="R157" s="162" t="s">
        <v>165</v>
      </c>
      <c r="S157" s="162" t="s">
        <v>165</v>
      </c>
      <c r="T157" s="162" t="s">
        <v>165</v>
      </c>
      <c r="U157" s="162" t="s">
        <v>165</v>
      </c>
      <c r="V157" s="162" t="s">
        <v>165</v>
      </c>
      <c r="W157" s="162" t="s">
        <v>165</v>
      </c>
      <c r="X157" s="162" t="s">
        <v>165</v>
      </c>
      <c r="Y157" s="162" t="s">
        <v>165</v>
      </c>
      <c r="Z157" s="162" t="s">
        <v>165</v>
      </c>
      <c r="AA157" s="162" t="s">
        <v>165</v>
      </c>
      <c r="AB157" s="162" t="s">
        <v>165</v>
      </c>
      <c r="AC157" s="162" t="s">
        <v>165</v>
      </c>
      <c r="AD157" s="162" t="s">
        <v>165</v>
      </c>
      <c r="AE157" s="162" t="s">
        <v>165</v>
      </c>
      <c r="AF157" s="162" t="s">
        <v>165</v>
      </c>
      <c r="AG157" s="773" t="s">
        <v>165</v>
      </c>
      <c r="AH157" s="162" t="s">
        <v>165</v>
      </c>
      <c r="AI157" s="162" t="s">
        <v>165</v>
      </c>
      <c r="AJ157" s="774" t="s">
        <v>165</v>
      </c>
      <c r="AK157" s="775"/>
      <c r="AL157" s="402" t="s">
        <v>498</v>
      </c>
      <c r="AM157" s="781" t="s">
        <v>150</v>
      </c>
    </row>
    <row r="158">
      <c r="A158" s="101"/>
      <c r="B158" s="102"/>
      <c r="C158" s="102"/>
      <c r="D158" s="102"/>
      <c r="E158" s="610" t="s">
        <v>506</v>
      </c>
      <c r="F158" s="176" t="s">
        <v>116</v>
      </c>
      <c r="G158" s="361" t="s">
        <v>213</v>
      </c>
      <c r="H158" s="785">
        <f>H157/ln(2)</f>
        <v>1.442695041</v>
      </c>
      <c r="I158" s="230" t="s">
        <v>165</v>
      </c>
      <c r="J158" s="230" t="s">
        <v>165</v>
      </c>
      <c r="K158" s="230" t="s">
        <v>165</v>
      </c>
      <c r="L158" s="230" t="s">
        <v>165</v>
      </c>
      <c r="M158" s="230" t="s">
        <v>165</v>
      </c>
      <c r="N158" s="230" t="s">
        <v>165</v>
      </c>
      <c r="O158" s="230" t="s">
        <v>165</v>
      </c>
      <c r="P158" s="230" t="s">
        <v>165</v>
      </c>
      <c r="Q158" s="230" t="s">
        <v>165</v>
      </c>
      <c r="R158" s="230" t="s">
        <v>165</v>
      </c>
      <c r="S158" s="230" t="s">
        <v>165</v>
      </c>
      <c r="T158" s="230" t="s">
        <v>165</v>
      </c>
      <c r="U158" s="230" t="s">
        <v>165</v>
      </c>
      <c r="V158" s="230" t="s">
        <v>165</v>
      </c>
      <c r="W158" s="230" t="s">
        <v>165</v>
      </c>
      <c r="X158" s="230" t="s">
        <v>165</v>
      </c>
      <c r="Y158" s="230" t="s">
        <v>165</v>
      </c>
      <c r="Z158" s="230" t="s">
        <v>165</v>
      </c>
      <c r="AA158" s="230" t="s">
        <v>165</v>
      </c>
      <c r="AB158" s="230" t="s">
        <v>165</v>
      </c>
      <c r="AC158" s="230" t="s">
        <v>165</v>
      </c>
      <c r="AD158" s="230" t="s">
        <v>165</v>
      </c>
      <c r="AE158" s="230" t="s">
        <v>165</v>
      </c>
      <c r="AF158" s="230" t="s">
        <v>165</v>
      </c>
      <c r="AG158" s="791" t="s">
        <v>165</v>
      </c>
      <c r="AH158" s="230" t="s">
        <v>165</v>
      </c>
      <c r="AI158" s="230" t="s">
        <v>165</v>
      </c>
      <c r="AJ158" s="792" t="s">
        <v>165</v>
      </c>
      <c r="AK158" s="391"/>
      <c r="AL158" s="349" t="s">
        <v>498</v>
      </c>
      <c r="AM158" s="793" t="s">
        <v>150</v>
      </c>
    </row>
    <row r="159">
      <c r="A159" s="101"/>
      <c r="B159" s="102"/>
      <c r="C159" s="102"/>
      <c r="D159" s="102"/>
      <c r="E159" s="440"/>
      <c r="F159" s="132"/>
      <c r="G159" s="242"/>
      <c r="H159" s="795"/>
      <c r="I159" s="796"/>
      <c r="J159" s="796"/>
      <c r="K159" s="796"/>
      <c r="L159" s="796"/>
      <c r="M159" s="796"/>
      <c r="N159" s="796"/>
      <c r="O159" s="796"/>
      <c r="P159" s="796"/>
      <c r="Q159" s="796"/>
      <c r="R159" s="796"/>
      <c r="S159" s="796"/>
      <c r="T159" s="796"/>
      <c r="U159" s="796"/>
      <c r="V159" s="796"/>
      <c r="W159" s="796"/>
      <c r="X159" s="796"/>
      <c r="Y159" s="796"/>
      <c r="Z159" s="796"/>
      <c r="AA159" s="796"/>
      <c r="AB159" s="796"/>
      <c r="AC159" s="796"/>
      <c r="AD159" s="796"/>
      <c r="AE159" s="796"/>
      <c r="AF159" s="796"/>
      <c r="AG159" s="797"/>
      <c r="AH159" s="796"/>
      <c r="AI159" s="796"/>
      <c r="AJ159" s="799"/>
      <c r="AK159" s="165"/>
      <c r="AL159" s="417"/>
      <c r="AM159" s="800"/>
    </row>
    <row r="160">
      <c r="A160" s="99" t="s">
        <v>296</v>
      </c>
      <c r="B160" s="12"/>
      <c r="C160" s="12"/>
      <c r="D160" s="12"/>
      <c r="E160" s="12"/>
      <c r="F160" s="12"/>
      <c r="G160" s="30"/>
      <c r="H160" s="330"/>
      <c r="I160" s="331"/>
      <c r="J160" s="331"/>
      <c r="K160" s="331"/>
      <c r="L160" s="331"/>
      <c r="M160" s="331"/>
      <c r="N160" s="331"/>
      <c r="O160" s="331"/>
      <c r="P160" s="331"/>
      <c r="Q160" s="331"/>
      <c r="R160" s="331"/>
      <c r="S160" s="331"/>
      <c r="T160" s="331"/>
      <c r="U160" s="331"/>
      <c r="V160" s="331"/>
      <c r="W160" s="331"/>
      <c r="X160" s="331"/>
      <c r="Y160" s="331"/>
      <c r="Z160" s="331"/>
      <c r="AA160" s="331"/>
      <c r="AB160" s="331"/>
      <c r="AC160" s="331"/>
      <c r="AD160" s="331"/>
      <c r="AE160" s="331"/>
      <c r="AF160" s="331"/>
      <c r="AG160" s="332"/>
      <c r="AH160" s="331"/>
      <c r="AI160" s="331"/>
      <c r="AJ160" s="333"/>
      <c r="AK160" s="332"/>
      <c r="AL160" s="764"/>
      <c r="AM160" s="336"/>
    </row>
    <row r="161">
      <c r="A161" s="101"/>
      <c r="B161" s="102"/>
      <c r="C161" s="454"/>
      <c r="D161" s="102"/>
      <c r="E161" s="440"/>
      <c r="F161" s="132"/>
      <c r="G161" s="242"/>
      <c r="H161" s="795"/>
      <c r="I161" s="796"/>
      <c r="J161" s="796"/>
      <c r="K161" s="796"/>
      <c r="L161" s="796"/>
      <c r="M161" s="796"/>
      <c r="N161" s="796"/>
      <c r="O161" s="796"/>
      <c r="P161" s="796"/>
      <c r="Q161" s="796"/>
      <c r="R161" s="796"/>
      <c r="S161" s="796"/>
      <c r="T161" s="796"/>
      <c r="U161" s="796"/>
      <c r="V161" s="796"/>
      <c r="W161" s="796"/>
      <c r="X161" s="796"/>
      <c r="Y161" s="796"/>
      <c r="Z161" s="796"/>
      <c r="AA161" s="796"/>
      <c r="AB161" s="796"/>
      <c r="AC161" s="796"/>
      <c r="AD161" s="796"/>
      <c r="AE161" s="796"/>
      <c r="AF161" s="796"/>
      <c r="AG161" s="797"/>
      <c r="AH161" s="796"/>
      <c r="AI161" s="796"/>
      <c r="AJ161" s="799"/>
      <c r="AK161" s="165"/>
      <c r="AL161" s="417"/>
      <c r="AM161" s="800"/>
    </row>
    <row r="162">
      <c r="A162" s="101"/>
      <c r="B162" s="102"/>
      <c r="C162" s="801" t="s">
        <v>515</v>
      </c>
      <c r="D162" s="61"/>
      <c r="E162" s="61"/>
      <c r="F162" s="132"/>
      <c r="G162" s="242"/>
      <c r="H162" s="795"/>
      <c r="I162" s="796"/>
      <c r="J162" s="796"/>
      <c r="K162" s="796"/>
      <c r="L162" s="796"/>
      <c r="M162" s="796"/>
      <c r="N162" s="796"/>
      <c r="O162" s="796"/>
      <c r="P162" s="796"/>
      <c r="Q162" s="796"/>
      <c r="R162" s="796"/>
      <c r="S162" s="796"/>
      <c r="T162" s="796"/>
      <c r="U162" s="796"/>
      <c r="V162" s="796"/>
      <c r="W162" s="796"/>
      <c r="X162" s="796"/>
      <c r="Y162" s="796"/>
      <c r="Z162" s="796"/>
      <c r="AA162" s="796"/>
      <c r="AB162" s="796"/>
      <c r="AC162" s="796"/>
      <c r="AD162" s="796"/>
      <c r="AE162" s="796"/>
      <c r="AF162" s="796"/>
      <c r="AG162" s="797"/>
      <c r="AH162" s="796"/>
      <c r="AI162" s="796"/>
      <c r="AJ162" s="799"/>
      <c r="AK162" s="165"/>
      <c r="AL162" s="417"/>
      <c r="AM162" s="800"/>
    </row>
    <row r="163">
      <c r="A163" s="101"/>
      <c r="B163" s="102"/>
      <c r="C163" s="198"/>
      <c r="D163" s="198"/>
      <c r="E163" s="802" t="s">
        <v>339</v>
      </c>
      <c r="F163" s="121" t="s">
        <v>116</v>
      </c>
      <c r="G163" s="248" t="s">
        <v>213</v>
      </c>
      <c r="H163" s="803">
        <v>0.00333</v>
      </c>
      <c r="I163" s="804" t="s">
        <v>165</v>
      </c>
      <c r="J163" s="804" t="s">
        <v>165</v>
      </c>
      <c r="K163" s="804" t="s">
        <v>165</v>
      </c>
      <c r="L163" s="804" t="s">
        <v>165</v>
      </c>
      <c r="M163" s="804" t="s">
        <v>165</v>
      </c>
      <c r="N163" s="804" t="s">
        <v>165</v>
      </c>
      <c r="O163" s="804" t="s">
        <v>165</v>
      </c>
      <c r="P163" s="804" t="s">
        <v>165</v>
      </c>
      <c r="Q163" s="804" t="s">
        <v>165</v>
      </c>
      <c r="R163" s="804" t="s">
        <v>165</v>
      </c>
      <c r="S163" s="804" t="s">
        <v>165</v>
      </c>
      <c r="T163" s="804" t="s">
        <v>165</v>
      </c>
      <c r="U163" s="804" t="s">
        <v>165</v>
      </c>
      <c r="V163" s="804" t="s">
        <v>165</v>
      </c>
      <c r="W163" s="804" t="s">
        <v>165</v>
      </c>
      <c r="X163" s="804" t="s">
        <v>165</v>
      </c>
      <c r="Y163" s="804" t="s">
        <v>165</v>
      </c>
      <c r="Z163" s="804" t="s">
        <v>165</v>
      </c>
      <c r="AA163" s="804" t="s">
        <v>165</v>
      </c>
      <c r="AB163" s="804" t="s">
        <v>165</v>
      </c>
      <c r="AC163" s="804" t="s">
        <v>165</v>
      </c>
      <c r="AD163" s="804" t="s">
        <v>165</v>
      </c>
      <c r="AE163" s="804" t="s">
        <v>165</v>
      </c>
      <c r="AF163" s="804" t="s">
        <v>165</v>
      </c>
      <c r="AG163" s="805" t="s">
        <v>165</v>
      </c>
      <c r="AH163" s="804" t="s">
        <v>165</v>
      </c>
      <c r="AI163" s="804" t="s">
        <v>165</v>
      </c>
      <c r="AJ163" s="806" t="s">
        <v>165</v>
      </c>
      <c r="AK163" s="206"/>
      <c r="AL163" s="349" t="s">
        <v>216</v>
      </c>
      <c r="AM163" s="32" t="s">
        <v>153</v>
      </c>
    </row>
    <row r="164">
      <c r="A164" s="101"/>
      <c r="B164" s="102"/>
      <c r="C164" s="102"/>
      <c r="D164" s="102"/>
      <c r="E164" s="337"/>
      <c r="F164" s="104"/>
      <c r="G164" s="111"/>
      <c r="H164" s="339"/>
      <c r="I164" s="340"/>
      <c r="J164" s="340"/>
      <c r="K164" s="340"/>
      <c r="L164" s="340"/>
      <c r="M164" s="340"/>
      <c r="N164" s="340"/>
      <c r="O164" s="340"/>
      <c r="P164" s="340"/>
      <c r="Q164" s="340"/>
      <c r="R164" s="340"/>
      <c r="S164" s="340"/>
      <c r="T164" s="340"/>
      <c r="U164" s="340"/>
      <c r="V164" s="340"/>
      <c r="W164" s="340"/>
      <c r="X164" s="340"/>
      <c r="Y164" s="340"/>
      <c r="Z164" s="340"/>
      <c r="AA164" s="340"/>
      <c r="AB164" s="340"/>
      <c r="AC164" s="340"/>
      <c r="AD164" s="340"/>
      <c r="AE164" s="340"/>
      <c r="AF164" s="340"/>
      <c r="AG164" s="342"/>
      <c r="AH164" s="340"/>
      <c r="AI164" s="340"/>
      <c r="AJ164" s="157"/>
      <c r="AK164" s="165"/>
      <c r="AL164" s="343"/>
      <c r="AM164" s="344"/>
    </row>
    <row r="165">
      <c r="A165" s="99" t="s">
        <v>365</v>
      </c>
      <c r="B165" s="12"/>
      <c r="C165" s="12"/>
      <c r="D165" s="12"/>
      <c r="E165" s="12"/>
      <c r="F165" s="12"/>
      <c r="G165" s="30"/>
      <c r="H165" s="330"/>
      <c r="I165" s="331"/>
      <c r="J165" s="331"/>
      <c r="K165" s="331"/>
      <c r="L165" s="331"/>
      <c r="M165" s="331"/>
      <c r="N165" s="331"/>
      <c r="O165" s="331"/>
      <c r="P165" s="331"/>
      <c r="Q165" s="331"/>
      <c r="R165" s="331"/>
      <c r="S165" s="331"/>
      <c r="T165" s="331"/>
      <c r="U165" s="331"/>
      <c r="V165" s="331"/>
      <c r="W165" s="331"/>
      <c r="X165" s="331"/>
      <c r="Y165" s="331"/>
      <c r="Z165" s="331"/>
      <c r="AA165" s="331"/>
      <c r="AB165" s="331"/>
      <c r="AC165" s="331"/>
      <c r="AD165" s="331"/>
      <c r="AE165" s="331"/>
      <c r="AF165" s="331"/>
      <c r="AG165" s="332"/>
      <c r="AH165" s="331"/>
      <c r="AI165" s="331"/>
      <c r="AJ165" s="333"/>
      <c r="AK165" s="332"/>
      <c r="AL165" s="764"/>
      <c r="AM165" s="336"/>
    </row>
    <row r="166">
      <c r="A166" s="101"/>
      <c r="B166" s="102"/>
      <c r="C166" s="102"/>
      <c r="D166" s="102"/>
      <c r="E166" s="337"/>
      <c r="F166" s="104"/>
      <c r="G166" s="111"/>
      <c r="H166" s="339"/>
      <c r="I166" s="340"/>
      <c r="J166" s="340"/>
      <c r="K166" s="340"/>
      <c r="L166" s="340"/>
      <c r="M166" s="340"/>
      <c r="N166" s="340"/>
      <c r="O166" s="340"/>
      <c r="P166" s="340"/>
      <c r="Q166" s="340"/>
      <c r="R166" s="340"/>
      <c r="S166" s="340"/>
      <c r="T166" s="340"/>
      <c r="U166" s="340"/>
      <c r="V166" s="340"/>
      <c r="W166" s="340"/>
      <c r="X166" s="340"/>
      <c r="Y166" s="340"/>
      <c r="Z166" s="340"/>
      <c r="AA166" s="340"/>
      <c r="AB166" s="340"/>
      <c r="AC166" s="340"/>
      <c r="AD166" s="340"/>
      <c r="AE166" s="340"/>
      <c r="AF166" s="340"/>
      <c r="AG166" s="342"/>
      <c r="AH166" s="340"/>
      <c r="AI166" s="340"/>
      <c r="AJ166" s="157"/>
      <c r="AK166" s="165"/>
      <c r="AL166" s="343"/>
      <c r="AM166" s="344"/>
    </row>
    <row r="167">
      <c r="A167" s="101"/>
      <c r="B167" s="102"/>
      <c r="C167" s="130" t="s">
        <v>369</v>
      </c>
      <c r="F167" s="104"/>
      <c r="G167" s="111"/>
      <c r="H167" s="339"/>
      <c r="I167" s="340"/>
      <c r="J167" s="340"/>
      <c r="K167" s="340"/>
      <c r="L167" s="340"/>
      <c r="M167" s="340"/>
      <c r="N167" s="340"/>
      <c r="O167" s="340"/>
      <c r="P167" s="340"/>
      <c r="Q167" s="340"/>
      <c r="R167" s="340"/>
      <c r="S167" s="340"/>
      <c r="T167" s="340"/>
      <c r="U167" s="340"/>
      <c r="V167" s="340"/>
      <c r="W167" s="340"/>
      <c r="X167" s="340"/>
      <c r="Y167" s="340"/>
      <c r="Z167" s="340"/>
      <c r="AA167" s="340"/>
      <c r="AB167" s="340"/>
      <c r="AC167" s="340"/>
      <c r="AD167" s="340"/>
      <c r="AE167" s="340"/>
      <c r="AF167" s="340"/>
      <c r="AG167" s="342"/>
      <c r="AH167" s="340"/>
      <c r="AI167" s="340"/>
      <c r="AJ167" s="157"/>
      <c r="AK167" s="165"/>
      <c r="AL167" s="343"/>
      <c r="AM167" s="344"/>
    </row>
    <row r="168">
      <c r="A168" s="101"/>
      <c r="B168" s="102"/>
      <c r="C168" s="102"/>
      <c r="D168" s="681" t="s">
        <v>370</v>
      </c>
      <c r="E168" s="86"/>
      <c r="F168" s="682"/>
      <c r="G168" s="586"/>
      <c r="H168" s="813"/>
      <c r="I168" s="355"/>
      <c r="J168" s="355"/>
      <c r="K168" s="355"/>
      <c r="L168" s="355"/>
      <c r="M168" s="355"/>
      <c r="N168" s="355"/>
      <c r="O168" s="355"/>
      <c r="P168" s="355"/>
      <c r="Q168" s="355"/>
      <c r="R168" s="355"/>
      <c r="S168" s="355"/>
      <c r="T168" s="355"/>
      <c r="U168" s="355"/>
      <c r="V168" s="355"/>
      <c r="W168" s="355"/>
      <c r="X168" s="355"/>
      <c r="Y168" s="355"/>
      <c r="Z168" s="355"/>
      <c r="AA168" s="355"/>
      <c r="AB168" s="355"/>
      <c r="AC168" s="355"/>
      <c r="AD168" s="355"/>
      <c r="AE168" s="355"/>
      <c r="AF168" s="355"/>
      <c r="AG168" s="357"/>
      <c r="AH168" s="355"/>
      <c r="AI168" s="355"/>
      <c r="AJ168" s="358"/>
      <c r="AK168" s="359"/>
      <c r="AL168" s="814"/>
      <c r="AM168" s="428"/>
    </row>
    <row r="169">
      <c r="A169" s="101"/>
      <c r="B169" s="102"/>
      <c r="C169" s="102"/>
      <c r="D169" s="102"/>
      <c r="E169" s="396" t="s">
        <v>372</v>
      </c>
      <c r="F169" s="114" t="s">
        <v>112</v>
      </c>
      <c r="G169" s="286" t="s">
        <v>213</v>
      </c>
      <c r="H169" s="813">
        <v>0.0</v>
      </c>
      <c r="I169" s="162" t="s">
        <v>165</v>
      </c>
      <c r="J169" s="162" t="s">
        <v>165</v>
      </c>
      <c r="K169" s="162" t="s">
        <v>165</v>
      </c>
      <c r="L169" s="162" t="s">
        <v>165</v>
      </c>
      <c r="M169" s="162" t="s">
        <v>165</v>
      </c>
      <c r="N169" s="162" t="s">
        <v>165</v>
      </c>
      <c r="O169" s="162" t="s">
        <v>165</v>
      </c>
      <c r="P169" s="162" t="s">
        <v>165</v>
      </c>
      <c r="Q169" s="162" t="s">
        <v>165</v>
      </c>
      <c r="R169" s="162" t="s">
        <v>165</v>
      </c>
      <c r="S169" s="162" t="s">
        <v>165</v>
      </c>
      <c r="T169" s="162" t="s">
        <v>165</v>
      </c>
      <c r="U169" s="162" t="s">
        <v>165</v>
      </c>
      <c r="V169" s="162" t="s">
        <v>165</v>
      </c>
      <c r="W169" s="162" t="s">
        <v>165</v>
      </c>
      <c r="X169" s="162" t="s">
        <v>165</v>
      </c>
      <c r="Y169" s="162" t="s">
        <v>165</v>
      </c>
      <c r="Z169" s="162" t="s">
        <v>165</v>
      </c>
      <c r="AA169" s="162" t="s">
        <v>165</v>
      </c>
      <c r="AB169" s="162" t="s">
        <v>165</v>
      </c>
      <c r="AC169" s="162" t="s">
        <v>165</v>
      </c>
      <c r="AD169" s="162" t="s">
        <v>165</v>
      </c>
      <c r="AE169" s="162" t="s">
        <v>165</v>
      </c>
      <c r="AF169" s="162" t="s">
        <v>165</v>
      </c>
      <c r="AG169" s="773" t="s">
        <v>165</v>
      </c>
      <c r="AH169" s="162" t="s">
        <v>165</v>
      </c>
      <c r="AI169" s="162" t="s">
        <v>165</v>
      </c>
      <c r="AJ169" s="774" t="s">
        <v>165</v>
      </c>
      <c r="AK169" s="359"/>
      <c r="AL169" s="402" t="s">
        <v>259</v>
      </c>
      <c r="AM169" s="815"/>
    </row>
    <row r="170">
      <c r="A170" s="101"/>
      <c r="B170" s="102"/>
      <c r="C170" s="102"/>
      <c r="D170" s="102"/>
      <c r="E170" s="598" t="s">
        <v>376</v>
      </c>
      <c r="F170" s="145" t="s">
        <v>112</v>
      </c>
      <c r="G170" s="286" t="s">
        <v>213</v>
      </c>
      <c r="H170" s="732">
        <v>0.0</v>
      </c>
      <c r="I170" s="366" t="s">
        <v>165</v>
      </c>
      <c r="J170" s="366" t="s">
        <v>165</v>
      </c>
      <c r="K170" s="366" t="s">
        <v>165</v>
      </c>
      <c r="L170" s="366" t="s">
        <v>165</v>
      </c>
      <c r="M170" s="366" t="s">
        <v>165</v>
      </c>
      <c r="N170" s="366" t="s">
        <v>165</v>
      </c>
      <c r="O170" s="366" t="s">
        <v>165</v>
      </c>
      <c r="P170" s="366" t="s">
        <v>165</v>
      </c>
      <c r="Q170" s="366" t="s">
        <v>165</v>
      </c>
      <c r="R170" s="366" t="s">
        <v>165</v>
      </c>
      <c r="S170" s="366" t="s">
        <v>165</v>
      </c>
      <c r="T170" s="366" t="s">
        <v>165</v>
      </c>
      <c r="U170" s="366" t="s">
        <v>165</v>
      </c>
      <c r="V170" s="366" t="s">
        <v>165</v>
      </c>
      <c r="W170" s="366" t="s">
        <v>165</v>
      </c>
      <c r="X170" s="366" t="s">
        <v>165</v>
      </c>
      <c r="Y170" s="366" t="s">
        <v>165</v>
      </c>
      <c r="Z170" s="366" t="s">
        <v>165</v>
      </c>
      <c r="AA170" s="366" t="s">
        <v>165</v>
      </c>
      <c r="AB170" s="366" t="s">
        <v>165</v>
      </c>
      <c r="AC170" s="366" t="s">
        <v>165</v>
      </c>
      <c r="AD170" s="366" t="s">
        <v>165</v>
      </c>
      <c r="AE170" s="366" t="s">
        <v>165</v>
      </c>
      <c r="AF170" s="366" t="s">
        <v>165</v>
      </c>
      <c r="AG170" s="733" t="s">
        <v>165</v>
      </c>
      <c r="AH170" s="183" t="s">
        <v>165</v>
      </c>
      <c r="AI170" s="183" t="s">
        <v>165</v>
      </c>
      <c r="AJ170" s="475" t="s">
        <v>165</v>
      </c>
      <c r="AK170" s="369"/>
      <c r="AL170" s="402" t="s">
        <v>259</v>
      </c>
      <c r="AM170" s="817"/>
    </row>
    <row r="171">
      <c r="A171" s="101"/>
      <c r="B171" s="102"/>
      <c r="C171" s="102"/>
      <c r="D171" s="102"/>
      <c r="E171" s="598" t="s">
        <v>379</v>
      </c>
      <c r="F171" s="145" t="s">
        <v>112</v>
      </c>
      <c r="G171" s="286" t="s">
        <v>213</v>
      </c>
      <c r="H171" s="732">
        <v>0.0</v>
      </c>
      <c r="I171" s="366" t="s">
        <v>165</v>
      </c>
      <c r="J171" s="366" t="s">
        <v>165</v>
      </c>
      <c r="K171" s="366" t="s">
        <v>165</v>
      </c>
      <c r="L171" s="366" t="s">
        <v>165</v>
      </c>
      <c r="M171" s="366" t="s">
        <v>165</v>
      </c>
      <c r="N171" s="366" t="s">
        <v>165</v>
      </c>
      <c r="O171" s="366" t="s">
        <v>165</v>
      </c>
      <c r="P171" s="366" t="s">
        <v>165</v>
      </c>
      <c r="Q171" s="366" t="s">
        <v>165</v>
      </c>
      <c r="R171" s="366" t="s">
        <v>165</v>
      </c>
      <c r="S171" s="366" t="s">
        <v>165</v>
      </c>
      <c r="T171" s="366" t="s">
        <v>165</v>
      </c>
      <c r="U171" s="366" t="s">
        <v>165</v>
      </c>
      <c r="V171" s="366" t="s">
        <v>165</v>
      </c>
      <c r="W171" s="366" t="s">
        <v>165</v>
      </c>
      <c r="X171" s="366" t="s">
        <v>165</v>
      </c>
      <c r="Y171" s="366" t="s">
        <v>165</v>
      </c>
      <c r="Z171" s="366" t="s">
        <v>165</v>
      </c>
      <c r="AA171" s="366" t="s">
        <v>165</v>
      </c>
      <c r="AB171" s="366" t="s">
        <v>165</v>
      </c>
      <c r="AC171" s="366" t="s">
        <v>165</v>
      </c>
      <c r="AD171" s="366" t="s">
        <v>165</v>
      </c>
      <c r="AE171" s="366" t="s">
        <v>165</v>
      </c>
      <c r="AF171" s="366" t="s">
        <v>165</v>
      </c>
      <c r="AG171" s="733" t="s">
        <v>165</v>
      </c>
      <c r="AH171" s="183" t="s">
        <v>165</v>
      </c>
      <c r="AI171" s="183" t="s">
        <v>165</v>
      </c>
      <c r="AJ171" s="475" t="s">
        <v>165</v>
      </c>
      <c r="AK171" s="369"/>
      <c r="AL171" s="402" t="s">
        <v>259</v>
      </c>
      <c r="AM171" s="817"/>
    </row>
    <row r="172">
      <c r="A172" s="101"/>
      <c r="B172" s="102"/>
      <c r="C172" s="102"/>
      <c r="D172" s="681" t="s">
        <v>383</v>
      </c>
      <c r="E172" s="86"/>
      <c r="F172" s="114"/>
      <c r="G172" s="586"/>
      <c r="H172" s="823"/>
      <c r="I172" s="825"/>
      <c r="J172" s="825"/>
      <c r="K172" s="825"/>
      <c r="L172" s="825"/>
      <c r="M172" s="825"/>
      <c r="N172" s="825"/>
      <c r="O172" s="825"/>
      <c r="P172" s="825"/>
      <c r="Q172" s="825"/>
      <c r="R172" s="825"/>
      <c r="S172" s="825"/>
      <c r="T172" s="825"/>
      <c r="U172" s="825"/>
      <c r="V172" s="825"/>
      <c r="W172" s="825"/>
      <c r="X172" s="825"/>
      <c r="Y172" s="825"/>
      <c r="Z172" s="825"/>
      <c r="AA172" s="825"/>
      <c r="AB172" s="825"/>
      <c r="AC172" s="825"/>
      <c r="AD172" s="825"/>
      <c r="AE172" s="825"/>
      <c r="AF172" s="825"/>
      <c r="AG172" s="826"/>
      <c r="AH172" s="825"/>
      <c r="AI172" s="825"/>
      <c r="AJ172" s="827"/>
      <c r="AK172" s="369"/>
      <c r="AL172" s="828"/>
      <c r="AM172" s="829"/>
    </row>
    <row r="173">
      <c r="A173" s="101"/>
      <c r="B173" s="102"/>
      <c r="C173" s="102"/>
      <c r="D173" s="102"/>
      <c r="E173" s="396" t="s">
        <v>385</v>
      </c>
      <c r="F173" s="114" t="s">
        <v>112</v>
      </c>
      <c r="G173" s="286" t="s">
        <v>213</v>
      </c>
      <c r="H173" s="365" t="s">
        <v>165</v>
      </c>
      <c r="I173" s="366">
        <v>-0.15</v>
      </c>
      <c r="J173" s="366">
        <v>-0.15</v>
      </c>
      <c r="K173" s="366">
        <v>-0.15</v>
      </c>
      <c r="L173" s="366">
        <v>-0.15</v>
      </c>
      <c r="M173" s="366">
        <v>-0.15</v>
      </c>
      <c r="N173" s="366">
        <v>-0.15</v>
      </c>
      <c r="O173" s="366">
        <v>-0.15</v>
      </c>
      <c r="P173" s="366">
        <v>-0.15</v>
      </c>
      <c r="Q173" s="366">
        <v>-0.15</v>
      </c>
      <c r="R173" s="366">
        <v>-0.15</v>
      </c>
      <c r="S173" s="366">
        <v>-0.15</v>
      </c>
      <c r="T173" s="366">
        <v>-0.15</v>
      </c>
      <c r="U173" s="366">
        <v>-0.15</v>
      </c>
      <c r="V173" s="366">
        <v>-0.15</v>
      </c>
      <c r="W173" s="366">
        <v>-0.15</v>
      </c>
      <c r="X173" s="366">
        <v>-0.15</v>
      </c>
      <c r="Y173" s="366">
        <v>-0.15</v>
      </c>
      <c r="Z173" s="366">
        <v>-0.15</v>
      </c>
      <c r="AA173" s="366">
        <v>-0.15</v>
      </c>
      <c r="AB173" s="366">
        <v>-0.15</v>
      </c>
      <c r="AC173" s="366">
        <v>-0.15</v>
      </c>
      <c r="AD173" s="366">
        <v>-0.15</v>
      </c>
      <c r="AE173" s="366">
        <v>-0.15</v>
      </c>
      <c r="AF173" s="366">
        <v>-0.15</v>
      </c>
      <c r="AG173" s="367">
        <v>-0.15</v>
      </c>
      <c r="AH173" s="366">
        <v>-0.15</v>
      </c>
      <c r="AI173" s="366">
        <v>-0.15</v>
      </c>
      <c r="AJ173" s="368">
        <v>-0.15</v>
      </c>
      <c r="AK173" s="369"/>
      <c r="AL173" s="402" t="s">
        <v>259</v>
      </c>
      <c r="AM173" s="817"/>
    </row>
    <row r="174">
      <c r="A174" s="101"/>
      <c r="B174" s="102"/>
      <c r="C174" s="102"/>
      <c r="D174" s="102"/>
      <c r="E174" s="598" t="s">
        <v>390</v>
      </c>
      <c r="F174" s="145" t="s">
        <v>112</v>
      </c>
      <c r="G174" s="286" t="s">
        <v>213</v>
      </c>
      <c r="H174" s="365" t="s">
        <v>165</v>
      </c>
      <c r="I174" s="366">
        <v>-0.02</v>
      </c>
      <c r="J174" s="366">
        <v>-0.02</v>
      </c>
      <c r="K174" s="366">
        <v>-0.02</v>
      </c>
      <c r="L174" s="366">
        <v>-0.02</v>
      </c>
      <c r="M174" s="366">
        <v>-0.02</v>
      </c>
      <c r="N174" s="366">
        <v>-0.02</v>
      </c>
      <c r="O174" s="366">
        <v>-0.02</v>
      </c>
      <c r="P174" s="366">
        <v>-0.02</v>
      </c>
      <c r="Q174" s="366">
        <v>-0.02</v>
      </c>
      <c r="R174" s="366">
        <v>-0.02</v>
      </c>
      <c r="S174" s="366">
        <v>-0.02</v>
      </c>
      <c r="T174" s="366">
        <v>-0.02</v>
      </c>
      <c r="U174" s="366">
        <v>-0.02</v>
      </c>
      <c r="V174" s="366">
        <v>-0.02</v>
      </c>
      <c r="W174" s="366">
        <v>-0.02</v>
      </c>
      <c r="X174" s="366">
        <v>-0.02</v>
      </c>
      <c r="Y174" s="366">
        <v>-0.02</v>
      </c>
      <c r="Z174" s="366">
        <v>-0.02</v>
      </c>
      <c r="AA174" s="366">
        <v>-0.02</v>
      </c>
      <c r="AB174" s="366">
        <v>-0.02</v>
      </c>
      <c r="AC174" s="366">
        <v>-0.02</v>
      </c>
      <c r="AD174" s="366">
        <v>-0.02</v>
      </c>
      <c r="AE174" s="366">
        <v>-0.02</v>
      </c>
      <c r="AF174" s="366">
        <v>-0.02</v>
      </c>
      <c r="AG174" s="367">
        <v>-0.02</v>
      </c>
      <c r="AH174" s="366">
        <v>-0.02</v>
      </c>
      <c r="AI174" s="366">
        <v>-0.02</v>
      </c>
      <c r="AJ174" s="368">
        <v>-0.02</v>
      </c>
      <c r="AK174" s="369"/>
      <c r="AL174" s="402" t="s">
        <v>259</v>
      </c>
      <c r="AM174" s="817"/>
    </row>
    <row r="175">
      <c r="A175" s="101"/>
      <c r="B175" s="102"/>
      <c r="C175" s="102"/>
      <c r="D175" s="681" t="s">
        <v>397</v>
      </c>
      <c r="E175" s="86"/>
      <c r="F175" s="114"/>
      <c r="G175" s="586"/>
      <c r="H175" s="823"/>
      <c r="I175" s="825"/>
      <c r="J175" s="825"/>
      <c r="K175" s="825"/>
      <c r="L175" s="825"/>
      <c r="M175" s="825"/>
      <c r="N175" s="825"/>
      <c r="O175" s="825"/>
      <c r="P175" s="825"/>
      <c r="Q175" s="825"/>
      <c r="R175" s="825"/>
      <c r="S175" s="825"/>
      <c r="T175" s="825"/>
      <c r="U175" s="825"/>
      <c r="V175" s="825"/>
      <c r="W175" s="825"/>
      <c r="X175" s="825"/>
      <c r="Y175" s="825"/>
      <c r="Z175" s="825"/>
      <c r="AA175" s="825"/>
      <c r="AB175" s="825"/>
      <c r="AC175" s="825"/>
      <c r="AD175" s="825"/>
      <c r="AE175" s="825"/>
      <c r="AF175" s="825"/>
      <c r="AG175" s="826"/>
      <c r="AH175" s="825"/>
      <c r="AI175" s="825"/>
      <c r="AJ175" s="827"/>
      <c r="AK175" s="369"/>
      <c r="AL175" s="402"/>
      <c r="AM175" s="829"/>
    </row>
    <row r="176">
      <c r="A176" s="101"/>
      <c r="B176" s="102"/>
      <c r="C176" s="102"/>
      <c r="D176" s="102"/>
      <c r="E176" s="396" t="s">
        <v>399</v>
      </c>
      <c r="F176" s="114" t="s">
        <v>112</v>
      </c>
      <c r="G176" s="286" t="s">
        <v>213</v>
      </c>
      <c r="H176" s="365" t="s">
        <v>165</v>
      </c>
      <c r="I176" s="366">
        <v>0.0</v>
      </c>
      <c r="J176" s="366">
        <v>0.0</v>
      </c>
      <c r="K176" s="366">
        <v>0.0</v>
      </c>
      <c r="L176" s="366">
        <v>0.0</v>
      </c>
      <c r="M176" s="366">
        <v>0.0</v>
      </c>
      <c r="N176" s="366">
        <v>0.0</v>
      </c>
      <c r="O176" s="366">
        <v>0.0</v>
      </c>
      <c r="P176" s="366">
        <v>0.0</v>
      </c>
      <c r="Q176" s="366">
        <v>0.0</v>
      </c>
      <c r="R176" s="366">
        <v>0.0</v>
      </c>
      <c r="S176" s="366">
        <v>0.0</v>
      </c>
      <c r="T176" s="366">
        <v>0.0</v>
      </c>
      <c r="U176" s="366">
        <v>0.0</v>
      </c>
      <c r="V176" s="366">
        <v>0.0</v>
      </c>
      <c r="W176" s="366">
        <v>0.0</v>
      </c>
      <c r="X176" s="366">
        <v>0.0</v>
      </c>
      <c r="Y176" s="366">
        <v>0.0</v>
      </c>
      <c r="Z176" s="366">
        <v>0.0</v>
      </c>
      <c r="AA176" s="366">
        <v>0.0</v>
      </c>
      <c r="AB176" s="366">
        <v>0.0</v>
      </c>
      <c r="AC176" s="366">
        <v>0.0</v>
      </c>
      <c r="AD176" s="366">
        <v>0.0</v>
      </c>
      <c r="AE176" s="366">
        <v>0.0</v>
      </c>
      <c r="AF176" s="366">
        <v>0.0</v>
      </c>
      <c r="AG176" s="367">
        <v>-0.05</v>
      </c>
      <c r="AH176" s="366">
        <v>-0.05</v>
      </c>
      <c r="AI176" s="366">
        <v>-0.05</v>
      </c>
      <c r="AJ176" s="368">
        <v>-0.05</v>
      </c>
      <c r="AK176" s="369"/>
      <c r="AL176" s="402" t="s">
        <v>259</v>
      </c>
      <c r="AM176" s="817"/>
    </row>
    <row r="177">
      <c r="A177" s="101"/>
      <c r="B177" s="102"/>
      <c r="C177" s="102"/>
      <c r="D177" s="102"/>
      <c r="E177" s="598" t="s">
        <v>404</v>
      </c>
      <c r="F177" s="145" t="s">
        <v>112</v>
      </c>
      <c r="G177" s="286" t="s">
        <v>213</v>
      </c>
      <c r="H177" s="365" t="s">
        <v>165</v>
      </c>
      <c r="I177" s="366">
        <v>0.0</v>
      </c>
      <c r="J177" s="366">
        <v>0.0</v>
      </c>
      <c r="K177" s="366">
        <v>0.0</v>
      </c>
      <c r="L177" s="366">
        <v>0.0</v>
      </c>
      <c r="M177" s="366">
        <v>0.0</v>
      </c>
      <c r="N177" s="366">
        <v>0.0</v>
      </c>
      <c r="O177" s="366">
        <v>0.0</v>
      </c>
      <c r="P177" s="366">
        <v>0.0</v>
      </c>
      <c r="Q177" s="366">
        <v>0.0</v>
      </c>
      <c r="R177" s="366">
        <v>0.0</v>
      </c>
      <c r="S177" s="366">
        <v>0.0</v>
      </c>
      <c r="T177" s="366">
        <v>0.0</v>
      </c>
      <c r="U177" s="366">
        <v>0.0</v>
      </c>
      <c r="V177" s="366">
        <v>0.0</v>
      </c>
      <c r="W177" s="366">
        <v>0.0</v>
      </c>
      <c r="X177" s="366">
        <v>0.0</v>
      </c>
      <c r="Y177" s="366">
        <v>0.0</v>
      </c>
      <c r="Z177" s="366">
        <v>0.0</v>
      </c>
      <c r="AA177" s="366">
        <v>0.0</v>
      </c>
      <c r="AB177" s="366">
        <v>0.0</v>
      </c>
      <c r="AC177" s="366">
        <v>0.0</v>
      </c>
      <c r="AD177" s="366">
        <v>0.0</v>
      </c>
      <c r="AE177" s="366">
        <v>0.0</v>
      </c>
      <c r="AF177" s="366">
        <v>0.0</v>
      </c>
      <c r="AG177" s="367">
        <v>0.0</v>
      </c>
      <c r="AH177" s="366">
        <v>0.0</v>
      </c>
      <c r="AI177" s="366">
        <v>0.0</v>
      </c>
      <c r="AJ177" s="368">
        <v>0.0</v>
      </c>
      <c r="AK177" s="369"/>
      <c r="AL177" s="402" t="s">
        <v>259</v>
      </c>
      <c r="AM177" s="817"/>
    </row>
    <row r="178">
      <c r="A178" s="101"/>
      <c r="B178" s="102"/>
      <c r="C178" s="102"/>
      <c r="D178" s="102"/>
      <c r="E178" s="610" t="s">
        <v>406</v>
      </c>
      <c r="F178" s="176" t="s">
        <v>112</v>
      </c>
      <c r="G178" s="361" t="s">
        <v>213</v>
      </c>
      <c r="H178" s="382" t="s">
        <v>165</v>
      </c>
      <c r="I178" s="383">
        <v>-0.05</v>
      </c>
      <c r="J178" s="383">
        <v>-0.05</v>
      </c>
      <c r="K178" s="383">
        <v>-0.05</v>
      </c>
      <c r="L178" s="383">
        <v>-0.05</v>
      </c>
      <c r="M178" s="383">
        <v>-0.05</v>
      </c>
      <c r="N178" s="383">
        <v>-0.05</v>
      </c>
      <c r="O178" s="383">
        <v>-0.05</v>
      </c>
      <c r="P178" s="383">
        <v>-0.05</v>
      </c>
      <c r="Q178" s="383">
        <v>-0.05</v>
      </c>
      <c r="R178" s="383">
        <v>-0.05</v>
      </c>
      <c r="S178" s="383">
        <v>-0.05</v>
      </c>
      <c r="T178" s="383">
        <v>-0.05</v>
      </c>
      <c r="U178" s="383">
        <v>-0.05</v>
      </c>
      <c r="V178" s="383">
        <v>-0.05</v>
      </c>
      <c r="W178" s="383">
        <v>-0.05</v>
      </c>
      <c r="X178" s="383">
        <v>-0.05</v>
      </c>
      <c r="Y178" s="383">
        <v>-0.05</v>
      </c>
      <c r="Z178" s="383">
        <v>-0.05</v>
      </c>
      <c r="AA178" s="383">
        <v>-0.05</v>
      </c>
      <c r="AB178" s="383">
        <v>-0.05</v>
      </c>
      <c r="AC178" s="383">
        <v>-0.05</v>
      </c>
      <c r="AD178" s="383">
        <v>-0.05</v>
      </c>
      <c r="AE178" s="383">
        <v>-0.05</v>
      </c>
      <c r="AF178" s="383">
        <v>-0.05</v>
      </c>
      <c r="AG178" s="384">
        <v>-0.02</v>
      </c>
      <c r="AH178" s="383">
        <v>-0.02</v>
      </c>
      <c r="AI178" s="383">
        <v>-0.02</v>
      </c>
      <c r="AJ178" s="389">
        <v>-0.02</v>
      </c>
      <c r="AK178" s="391"/>
      <c r="AL178" s="757" t="s">
        <v>259</v>
      </c>
      <c r="AM178" s="831"/>
    </row>
    <row r="179">
      <c r="A179" s="101"/>
      <c r="B179" s="102"/>
      <c r="C179" s="109"/>
      <c r="D179" s="102"/>
      <c r="E179" s="337"/>
      <c r="F179" s="104"/>
      <c r="G179" s="111"/>
      <c r="H179" s="339"/>
      <c r="I179" s="340"/>
      <c r="J179" s="340"/>
      <c r="K179" s="340"/>
      <c r="L179" s="340"/>
      <c r="M179" s="340"/>
      <c r="N179" s="340"/>
      <c r="O179" s="340"/>
      <c r="P179" s="340"/>
      <c r="Q179" s="340"/>
      <c r="R179" s="340"/>
      <c r="S179" s="340"/>
      <c r="T179" s="340"/>
      <c r="U179" s="340"/>
      <c r="V179" s="340"/>
      <c r="W179" s="340"/>
      <c r="X179" s="340"/>
      <c r="Y179" s="340"/>
      <c r="Z179" s="340"/>
      <c r="AA179" s="340"/>
      <c r="AB179" s="340"/>
      <c r="AC179" s="340"/>
      <c r="AD179" s="340"/>
      <c r="AE179" s="340"/>
      <c r="AF179" s="340"/>
      <c r="AG179" s="342"/>
      <c r="AH179" s="340"/>
      <c r="AI179" s="340"/>
      <c r="AJ179" s="157"/>
      <c r="AK179" s="165"/>
      <c r="AL179" s="343"/>
      <c r="AM179" s="344"/>
    </row>
    <row r="180">
      <c r="A180" s="101"/>
      <c r="B180" s="102"/>
      <c r="C180" s="109" t="s">
        <v>415</v>
      </c>
      <c r="F180" s="104"/>
      <c r="G180" s="111"/>
      <c r="H180" s="339"/>
      <c r="I180" s="832"/>
      <c r="J180" s="340"/>
      <c r="K180" s="340"/>
      <c r="L180" s="340"/>
      <c r="M180" s="340"/>
      <c r="N180" s="340"/>
      <c r="O180" s="340"/>
      <c r="P180" s="340"/>
      <c r="Q180" s="340"/>
      <c r="R180" s="340"/>
      <c r="S180" s="340"/>
      <c r="T180" s="340"/>
      <c r="U180" s="340"/>
      <c r="V180" s="340"/>
      <c r="W180" s="340"/>
      <c r="X180" s="340"/>
      <c r="Y180" s="340"/>
      <c r="Z180" s="340"/>
      <c r="AA180" s="340"/>
      <c r="AB180" s="340"/>
      <c r="AC180" s="340"/>
      <c r="AD180" s="340"/>
      <c r="AE180" s="340"/>
      <c r="AF180" s="340"/>
      <c r="AG180" s="342"/>
      <c r="AH180" s="340"/>
      <c r="AI180" s="340"/>
      <c r="AJ180" s="157"/>
      <c r="AK180" s="165"/>
      <c r="AL180" s="343"/>
      <c r="AM180" s="344"/>
    </row>
    <row r="181">
      <c r="A181" s="101"/>
      <c r="B181" s="102"/>
      <c r="C181" s="102"/>
      <c r="D181" s="701"/>
      <c r="E181" s="396" t="s">
        <v>417</v>
      </c>
      <c r="F181" s="114" t="s">
        <v>112</v>
      </c>
      <c r="G181" s="286" t="s">
        <v>213</v>
      </c>
      <c r="H181" s="813">
        <v>0.06</v>
      </c>
      <c r="I181" s="355" t="s">
        <v>165</v>
      </c>
      <c r="J181" s="355" t="s">
        <v>165</v>
      </c>
      <c r="K181" s="355" t="s">
        <v>165</v>
      </c>
      <c r="L181" s="355" t="s">
        <v>165</v>
      </c>
      <c r="M181" s="355" t="s">
        <v>165</v>
      </c>
      <c r="N181" s="355" t="s">
        <v>165</v>
      </c>
      <c r="O181" s="355" t="s">
        <v>165</v>
      </c>
      <c r="P181" s="355" t="s">
        <v>165</v>
      </c>
      <c r="Q181" s="355" t="s">
        <v>165</v>
      </c>
      <c r="R181" s="355" t="s">
        <v>165</v>
      </c>
      <c r="S181" s="355" t="s">
        <v>165</v>
      </c>
      <c r="T181" s="355" t="s">
        <v>165</v>
      </c>
      <c r="U181" s="355" t="s">
        <v>165</v>
      </c>
      <c r="V181" s="355" t="s">
        <v>165</v>
      </c>
      <c r="W181" s="355" t="s">
        <v>165</v>
      </c>
      <c r="X181" s="355" t="s">
        <v>165</v>
      </c>
      <c r="Y181" s="355" t="s">
        <v>165</v>
      </c>
      <c r="Z181" s="355" t="s">
        <v>165</v>
      </c>
      <c r="AA181" s="355" t="s">
        <v>165</v>
      </c>
      <c r="AB181" s="355" t="s">
        <v>165</v>
      </c>
      <c r="AC181" s="355" t="s">
        <v>165</v>
      </c>
      <c r="AD181" s="355" t="s">
        <v>165</v>
      </c>
      <c r="AE181" s="355" t="s">
        <v>165</v>
      </c>
      <c r="AF181" s="355" t="s">
        <v>165</v>
      </c>
      <c r="AG181" s="357" t="s">
        <v>165</v>
      </c>
      <c r="AH181" s="355" t="s">
        <v>165</v>
      </c>
      <c r="AI181" s="355" t="s">
        <v>165</v>
      </c>
      <c r="AJ181" s="358" t="s">
        <v>165</v>
      </c>
      <c r="AK181" s="359"/>
      <c r="AL181" s="402" t="s">
        <v>259</v>
      </c>
      <c r="AM181" s="833" t="s">
        <v>151</v>
      </c>
    </row>
    <row r="182">
      <c r="A182" s="101"/>
      <c r="B182" s="102"/>
      <c r="C182" s="102"/>
      <c r="D182" s="102"/>
      <c r="E182" s="396" t="s">
        <v>420</v>
      </c>
      <c r="F182" s="114" t="s">
        <v>112</v>
      </c>
      <c r="G182" s="286" t="s">
        <v>213</v>
      </c>
      <c r="H182" s="813">
        <v>0.09</v>
      </c>
      <c r="I182" s="355" t="s">
        <v>165</v>
      </c>
      <c r="J182" s="355" t="s">
        <v>165</v>
      </c>
      <c r="K182" s="355" t="s">
        <v>165</v>
      </c>
      <c r="L182" s="355" t="s">
        <v>165</v>
      </c>
      <c r="M182" s="355" t="s">
        <v>165</v>
      </c>
      <c r="N182" s="355" t="s">
        <v>165</v>
      </c>
      <c r="O182" s="355" t="s">
        <v>165</v>
      </c>
      <c r="P182" s="355" t="s">
        <v>165</v>
      </c>
      <c r="Q182" s="355" t="s">
        <v>165</v>
      </c>
      <c r="R182" s="355" t="s">
        <v>165</v>
      </c>
      <c r="S182" s="355" t="s">
        <v>165</v>
      </c>
      <c r="T182" s="355" t="s">
        <v>165</v>
      </c>
      <c r="U182" s="355" t="s">
        <v>165</v>
      </c>
      <c r="V182" s="355" t="s">
        <v>165</v>
      </c>
      <c r="W182" s="355" t="s">
        <v>165</v>
      </c>
      <c r="X182" s="355" t="s">
        <v>165</v>
      </c>
      <c r="Y182" s="355" t="s">
        <v>165</v>
      </c>
      <c r="Z182" s="355" t="s">
        <v>165</v>
      </c>
      <c r="AA182" s="355" t="s">
        <v>165</v>
      </c>
      <c r="AB182" s="355" t="s">
        <v>165</v>
      </c>
      <c r="AC182" s="355" t="s">
        <v>165</v>
      </c>
      <c r="AD182" s="355" t="s">
        <v>165</v>
      </c>
      <c r="AE182" s="355" t="s">
        <v>165</v>
      </c>
      <c r="AF182" s="355" t="s">
        <v>165</v>
      </c>
      <c r="AG182" s="357" t="s">
        <v>165</v>
      </c>
      <c r="AH182" s="355" t="s">
        <v>165</v>
      </c>
      <c r="AI182" s="355" t="s">
        <v>165</v>
      </c>
      <c r="AJ182" s="358" t="s">
        <v>165</v>
      </c>
      <c r="AK182" s="359"/>
      <c r="AL182" s="402" t="s">
        <v>259</v>
      </c>
      <c r="AM182" s="833" t="s">
        <v>151</v>
      </c>
    </row>
    <row r="183">
      <c r="A183" s="101"/>
      <c r="B183" s="102"/>
      <c r="C183" s="102"/>
      <c r="D183" s="102"/>
      <c r="E183" s="396" t="s">
        <v>423</v>
      </c>
      <c r="F183" s="114" t="s">
        <v>112</v>
      </c>
      <c r="G183" s="286" t="s">
        <v>213</v>
      </c>
      <c r="H183" s="813">
        <v>0.03</v>
      </c>
      <c r="I183" s="355" t="s">
        <v>165</v>
      </c>
      <c r="J183" s="355" t="s">
        <v>165</v>
      </c>
      <c r="K183" s="355" t="s">
        <v>165</v>
      </c>
      <c r="L183" s="355" t="s">
        <v>165</v>
      </c>
      <c r="M183" s="355" t="s">
        <v>165</v>
      </c>
      <c r="N183" s="355" t="s">
        <v>165</v>
      </c>
      <c r="O183" s="355" t="s">
        <v>165</v>
      </c>
      <c r="P183" s="355" t="s">
        <v>165</v>
      </c>
      <c r="Q183" s="355" t="s">
        <v>165</v>
      </c>
      <c r="R183" s="355" t="s">
        <v>165</v>
      </c>
      <c r="S183" s="355" t="s">
        <v>165</v>
      </c>
      <c r="T183" s="355" t="s">
        <v>165</v>
      </c>
      <c r="U183" s="355" t="s">
        <v>165</v>
      </c>
      <c r="V183" s="355" t="s">
        <v>165</v>
      </c>
      <c r="W183" s="355" t="s">
        <v>165</v>
      </c>
      <c r="X183" s="355" t="s">
        <v>165</v>
      </c>
      <c r="Y183" s="355" t="s">
        <v>165</v>
      </c>
      <c r="Z183" s="355" t="s">
        <v>165</v>
      </c>
      <c r="AA183" s="355" t="s">
        <v>165</v>
      </c>
      <c r="AB183" s="355" t="s">
        <v>165</v>
      </c>
      <c r="AC183" s="355" t="s">
        <v>165</v>
      </c>
      <c r="AD183" s="355" t="s">
        <v>165</v>
      </c>
      <c r="AE183" s="355" t="s">
        <v>165</v>
      </c>
      <c r="AF183" s="355" t="s">
        <v>165</v>
      </c>
      <c r="AG183" s="357" t="s">
        <v>165</v>
      </c>
      <c r="AH183" s="355" t="s">
        <v>165</v>
      </c>
      <c r="AI183" s="355" t="s">
        <v>165</v>
      </c>
      <c r="AJ183" s="358" t="s">
        <v>165</v>
      </c>
      <c r="AK183" s="359"/>
      <c r="AL183" s="402" t="s">
        <v>259</v>
      </c>
      <c r="AM183" s="833" t="s">
        <v>151</v>
      </c>
    </row>
    <row r="184">
      <c r="A184" s="101"/>
      <c r="B184" s="102"/>
      <c r="C184" s="102"/>
      <c r="D184" s="102"/>
      <c r="E184" s="396" t="s">
        <v>427</v>
      </c>
      <c r="F184" s="114" t="s">
        <v>112</v>
      </c>
      <c r="G184" s="286" t="s">
        <v>213</v>
      </c>
      <c r="H184" s="813">
        <v>0.09</v>
      </c>
      <c r="I184" s="355" t="s">
        <v>165</v>
      </c>
      <c r="J184" s="355" t="s">
        <v>165</v>
      </c>
      <c r="K184" s="355" t="s">
        <v>165</v>
      </c>
      <c r="L184" s="355" t="s">
        <v>165</v>
      </c>
      <c r="M184" s="355" t="s">
        <v>165</v>
      </c>
      <c r="N184" s="355" t="s">
        <v>165</v>
      </c>
      <c r="O184" s="355" t="s">
        <v>165</v>
      </c>
      <c r="P184" s="355" t="s">
        <v>165</v>
      </c>
      <c r="Q184" s="355" t="s">
        <v>165</v>
      </c>
      <c r="R184" s="355" t="s">
        <v>165</v>
      </c>
      <c r="S184" s="355" t="s">
        <v>165</v>
      </c>
      <c r="T184" s="355" t="s">
        <v>165</v>
      </c>
      <c r="U184" s="355" t="s">
        <v>165</v>
      </c>
      <c r="V184" s="355" t="s">
        <v>165</v>
      </c>
      <c r="W184" s="355" t="s">
        <v>165</v>
      </c>
      <c r="X184" s="355" t="s">
        <v>165</v>
      </c>
      <c r="Y184" s="355" t="s">
        <v>165</v>
      </c>
      <c r="Z184" s="355" t="s">
        <v>165</v>
      </c>
      <c r="AA184" s="355" t="s">
        <v>165</v>
      </c>
      <c r="AB184" s="355" t="s">
        <v>165</v>
      </c>
      <c r="AC184" s="355" t="s">
        <v>165</v>
      </c>
      <c r="AD184" s="355" t="s">
        <v>165</v>
      </c>
      <c r="AE184" s="355" t="s">
        <v>165</v>
      </c>
      <c r="AF184" s="355" t="s">
        <v>165</v>
      </c>
      <c r="AG184" s="357" t="s">
        <v>165</v>
      </c>
      <c r="AH184" s="355" t="s">
        <v>165</v>
      </c>
      <c r="AI184" s="355" t="s">
        <v>165</v>
      </c>
      <c r="AJ184" s="358" t="s">
        <v>165</v>
      </c>
      <c r="AK184" s="359"/>
      <c r="AL184" s="402" t="s">
        <v>259</v>
      </c>
      <c r="AM184" s="833" t="s">
        <v>151</v>
      </c>
    </row>
    <row r="185">
      <c r="A185" s="101"/>
      <c r="B185" s="102"/>
      <c r="C185" s="102"/>
      <c r="D185" s="102"/>
      <c r="E185" s="396" t="s">
        <v>429</v>
      </c>
      <c r="F185" s="114" t="s">
        <v>112</v>
      </c>
      <c r="G185" s="286" t="s">
        <v>213</v>
      </c>
      <c r="H185" s="813">
        <v>0.18</v>
      </c>
      <c r="I185" s="355" t="s">
        <v>165</v>
      </c>
      <c r="J185" s="355" t="s">
        <v>165</v>
      </c>
      <c r="K185" s="355" t="s">
        <v>165</v>
      </c>
      <c r="L185" s="355" t="s">
        <v>165</v>
      </c>
      <c r="M185" s="355" t="s">
        <v>165</v>
      </c>
      <c r="N185" s="355" t="s">
        <v>165</v>
      </c>
      <c r="O185" s="355" t="s">
        <v>165</v>
      </c>
      <c r="P185" s="355" t="s">
        <v>165</v>
      </c>
      <c r="Q185" s="355" t="s">
        <v>165</v>
      </c>
      <c r="R185" s="355" t="s">
        <v>165</v>
      </c>
      <c r="S185" s="355" t="s">
        <v>165</v>
      </c>
      <c r="T185" s="355" t="s">
        <v>165</v>
      </c>
      <c r="U185" s="355" t="s">
        <v>165</v>
      </c>
      <c r="V185" s="355" t="s">
        <v>165</v>
      </c>
      <c r="W185" s="355" t="s">
        <v>165</v>
      </c>
      <c r="X185" s="355" t="s">
        <v>165</v>
      </c>
      <c r="Y185" s="355" t="s">
        <v>165</v>
      </c>
      <c r="Z185" s="355" t="s">
        <v>165</v>
      </c>
      <c r="AA185" s="355" t="s">
        <v>165</v>
      </c>
      <c r="AB185" s="355" t="s">
        <v>165</v>
      </c>
      <c r="AC185" s="355" t="s">
        <v>165</v>
      </c>
      <c r="AD185" s="355" t="s">
        <v>165</v>
      </c>
      <c r="AE185" s="355" t="s">
        <v>165</v>
      </c>
      <c r="AF185" s="355" t="s">
        <v>165</v>
      </c>
      <c r="AG185" s="357" t="s">
        <v>165</v>
      </c>
      <c r="AH185" s="355" t="s">
        <v>165</v>
      </c>
      <c r="AI185" s="355" t="s">
        <v>165</v>
      </c>
      <c r="AJ185" s="358" t="s">
        <v>165</v>
      </c>
      <c r="AK185" s="359"/>
      <c r="AL185" s="402" t="s">
        <v>259</v>
      </c>
      <c r="AM185" s="833" t="s">
        <v>151</v>
      </c>
    </row>
    <row r="186">
      <c r="A186" s="101"/>
      <c r="B186" s="102"/>
      <c r="C186" s="102"/>
      <c r="D186" s="102"/>
      <c r="E186" s="396" t="s">
        <v>434</v>
      </c>
      <c r="F186" s="114" t="s">
        <v>112</v>
      </c>
      <c r="G186" s="286" t="s">
        <v>213</v>
      </c>
      <c r="H186" s="813">
        <v>0.2</v>
      </c>
      <c r="I186" s="355" t="s">
        <v>165</v>
      </c>
      <c r="J186" s="355" t="s">
        <v>165</v>
      </c>
      <c r="K186" s="355" t="s">
        <v>165</v>
      </c>
      <c r="L186" s="355" t="s">
        <v>165</v>
      </c>
      <c r="M186" s="355" t="s">
        <v>165</v>
      </c>
      <c r="N186" s="355" t="s">
        <v>165</v>
      </c>
      <c r="O186" s="355" t="s">
        <v>165</v>
      </c>
      <c r="P186" s="355" t="s">
        <v>165</v>
      </c>
      <c r="Q186" s="355" t="s">
        <v>165</v>
      </c>
      <c r="R186" s="355" t="s">
        <v>165</v>
      </c>
      <c r="S186" s="355" t="s">
        <v>165</v>
      </c>
      <c r="T186" s="355" t="s">
        <v>165</v>
      </c>
      <c r="U186" s="355" t="s">
        <v>165</v>
      </c>
      <c r="V186" s="355" t="s">
        <v>165</v>
      </c>
      <c r="W186" s="355" t="s">
        <v>165</v>
      </c>
      <c r="X186" s="355" t="s">
        <v>165</v>
      </c>
      <c r="Y186" s="355" t="s">
        <v>165</v>
      </c>
      <c r="Z186" s="355" t="s">
        <v>165</v>
      </c>
      <c r="AA186" s="355" t="s">
        <v>165</v>
      </c>
      <c r="AB186" s="355" t="s">
        <v>165</v>
      </c>
      <c r="AC186" s="355" t="s">
        <v>165</v>
      </c>
      <c r="AD186" s="355" t="s">
        <v>165</v>
      </c>
      <c r="AE186" s="355" t="s">
        <v>165</v>
      </c>
      <c r="AF186" s="355" t="s">
        <v>165</v>
      </c>
      <c r="AG186" s="357" t="s">
        <v>165</v>
      </c>
      <c r="AH186" s="355" t="s">
        <v>165</v>
      </c>
      <c r="AI186" s="355" t="s">
        <v>165</v>
      </c>
      <c r="AJ186" s="358" t="s">
        <v>165</v>
      </c>
      <c r="AK186" s="359"/>
      <c r="AL186" s="402" t="s">
        <v>259</v>
      </c>
      <c r="AM186" s="833" t="s">
        <v>151</v>
      </c>
    </row>
    <row r="187">
      <c r="A187" s="101"/>
      <c r="B187" s="102"/>
      <c r="C187" s="102"/>
      <c r="D187" s="102"/>
      <c r="E187" s="396" t="s">
        <v>439</v>
      </c>
      <c r="F187" s="114" t="s">
        <v>112</v>
      </c>
      <c r="G187" s="286" t="s">
        <v>213</v>
      </c>
      <c r="H187" s="813">
        <v>0.015</v>
      </c>
      <c r="I187" s="355" t="s">
        <v>165</v>
      </c>
      <c r="J187" s="355" t="s">
        <v>165</v>
      </c>
      <c r="K187" s="355" t="s">
        <v>165</v>
      </c>
      <c r="L187" s="355" t="s">
        <v>165</v>
      </c>
      <c r="M187" s="355" t="s">
        <v>165</v>
      </c>
      <c r="N187" s="355" t="s">
        <v>165</v>
      </c>
      <c r="O187" s="355" t="s">
        <v>165</v>
      </c>
      <c r="P187" s="355" t="s">
        <v>165</v>
      </c>
      <c r="Q187" s="355" t="s">
        <v>165</v>
      </c>
      <c r="R187" s="355" t="s">
        <v>165</v>
      </c>
      <c r="S187" s="355" t="s">
        <v>165</v>
      </c>
      <c r="T187" s="355" t="s">
        <v>165</v>
      </c>
      <c r="U187" s="355" t="s">
        <v>165</v>
      </c>
      <c r="V187" s="355" t="s">
        <v>165</v>
      </c>
      <c r="W187" s="355" t="s">
        <v>165</v>
      </c>
      <c r="X187" s="355" t="s">
        <v>165</v>
      </c>
      <c r="Y187" s="355" t="s">
        <v>165</v>
      </c>
      <c r="Z187" s="355" t="s">
        <v>165</v>
      </c>
      <c r="AA187" s="355" t="s">
        <v>165</v>
      </c>
      <c r="AB187" s="355" t="s">
        <v>165</v>
      </c>
      <c r="AC187" s="355" t="s">
        <v>165</v>
      </c>
      <c r="AD187" s="355" t="s">
        <v>165</v>
      </c>
      <c r="AE187" s="355" t="s">
        <v>165</v>
      </c>
      <c r="AF187" s="355" t="s">
        <v>165</v>
      </c>
      <c r="AG187" s="357" t="s">
        <v>165</v>
      </c>
      <c r="AH187" s="355" t="s">
        <v>165</v>
      </c>
      <c r="AI187" s="355" t="s">
        <v>165</v>
      </c>
      <c r="AJ187" s="358" t="s">
        <v>165</v>
      </c>
      <c r="AK187" s="359"/>
      <c r="AL187" s="402" t="s">
        <v>259</v>
      </c>
      <c r="AM187" s="833" t="s">
        <v>151</v>
      </c>
    </row>
    <row r="188">
      <c r="A188" s="101"/>
      <c r="B188" s="102"/>
      <c r="C188" s="102"/>
      <c r="D188" s="102"/>
      <c r="E188" s="403" t="s">
        <v>444</v>
      </c>
      <c r="F188" s="121" t="s">
        <v>112</v>
      </c>
      <c r="G188" s="248" t="s">
        <v>213</v>
      </c>
      <c r="H188" s="404" t="s">
        <v>165</v>
      </c>
      <c r="I188" s="460">
        <v>0.0</v>
      </c>
      <c r="J188" s="460">
        <v>0.0</v>
      </c>
      <c r="K188" s="460">
        <v>0.0</v>
      </c>
      <c r="L188" s="460">
        <v>0.0</v>
      </c>
      <c r="M188" s="460">
        <v>0.0</v>
      </c>
      <c r="N188" s="460">
        <v>0.0</v>
      </c>
      <c r="O188" s="460">
        <v>0.0</v>
      </c>
      <c r="P188" s="460">
        <v>0.0</v>
      </c>
      <c r="Q188" s="460">
        <v>0.0</v>
      </c>
      <c r="R188" s="460">
        <v>0.0</v>
      </c>
      <c r="S188" s="460">
        <v>0.0</v>
      </c>
      <c r="T188" s="460">
        <v>0.0</v>
      </c>
      <c r="U188" s="460">
        <v>0.0</v>
      </c>
      <c r="V188" s="460">
        <v>0.0</v>
      </c>
      <c r="W188" s="460">
        <v>0.0</v>
      </c>
      <c r="X188" s="460">
        <v>0.0</v>
      </c>
      <c r="Y188" s="460">
        <v>0.0</v>
      </c>
      <c r="Z188" s="460">
        <v>0.0</v>
      </c>
      <c r="AA188" s="460">
        <v>0.0</v>
      </c>
      <c r="AB188" s="460">
        <v>0.0</v>
      </c>
      <c r="AC188" s="460">
        <v>0.0</v>
      </c>
      <c r="AD188" s="460">
        <v>0.0</v>
      </c>
      <c r="AE188" s="460">
        <v>0.0</v>
      </c>
      <c r="AF188" s="460">
        <v>0.0</v>
      </c>
      <c r="AG188" s="463">
        <v>0.0</v>
      </c>
      <c r="AH188" s="460">
        <v>0.0</v>
      </c>
      <c r="AI188" s="460">
        <v>0.0</v>
      </c>
      <c r="AJ188" s="465">
        <v>0.0</v>
      </c>
      <c r="AK188" s="206"/>
      <c r="AL188" s="349" t="s">
        <v>259</v>
      </c>
      <c r="AM188" s="473" t="s">
        <v>151</v>
      </c>
    </row>
    <row r="189">
      <c r="A189" s="834"/>
      <c r="E189" s="835"/>
      <c r="H189" s="836"/>
      <c r="AG189" s="834"/>
      <c r="AJ189" s="714"/>
      <c r="AK189" s="834"/>
      <c r="AM189" s="714"/>
    </row>
    <row r="190">
      <c r="A190" s="99" t="s">
        <v>451</v>
      </c>
      <c r="B190" s="12"/>
      <c r="C190" s="12"/>
      <c r="D190" s="12"/>
      <c r="E190" s="12"/>
      <c r="F190" s="12"/>
      <c r="G190" s="30"/>
      <c r="H190" s="330"/>
      <c r="I190" s="331"/>
      <c r="J190" s="331"/>
      <c r="K190" s="331"/>
      <c r="L190" s="331"/>
      <c r="M190" s="331"/>
      <c r="N190" s="331"/>
      <c r="O190" s="331"/>
      <c r="P190" s="331"/>
      <c r="Q190" s="331"/>
      <c r="R190" s="331"/>
      <c r="S190" s="331"/>
      <c r="T190" s="331"/>
      <c r="U190" s="331"/>
      <c r="V190" s="331"/>
      <c r="W190" s="331"/>
      <c r="X190" s="331"/>
      <c r="Y190" s="331"/>
      <c r="Z190" s="331"/>
      <c r="AA190" s="331"/>
      <c r="AB190" s="331"/>
      <c r="AC190" s="331"/>
      <c r="AD190" s="331"/>
      <c r="AE190" s="331"/>
      <c r="AF190" s="331"/>
      <c r="AG190" s="332"/>
      <c r="AH190" s="331"/>
      <c r="AI190" s="331"/>
      <c r="AJ190" s="333"/>
      <c r="AK190" s="332"/>
      <c r="AL190" s="764"/>
      <c r="AM190" s="336"/>
    </row>
    <row r="191">
      <c r="A191" s="101"/>
      <c r="B191" s="102"/>
      <c r="C191" s="102"/>
      <c r="D191" s="102"/>
      <c r="E191" s="337"/>
      <c r="F191" s="104"/>
      <c r="G191" s="111"/>
      <c r="H191" s="339"/>
      <c r="I191" s="340"/>
      <c r="J191" s="340"/>
      <c r="K191" s="340"/>
      <c r="L191" s="340"/>
      <c r="M191" s="340"/>
      <c r="N191" s="340"/>
      <c r="O191" s="340"/>
      <c r="P191" s="340"/>
      <c r="Q191" s="340"/>
      <c r="R191" s="340"/>
      <c r="S191" s="340"/>
      <c r="T191" s="340"/>
      <c r="U191" s="340"/>
      <c r="V191" s="340"/>
      <c r="W191" s="340"/>
      <c r="X191" s="340"/>
      <c r="Y191" s="340"/>
      <c r="Z191" s="340"/>
      <c r="AA191" s="340"/>
      <c r="AB191" s="340"/>
      <c r="AC191" s="340"/>
      <c r="AD191" s="340"/>
      <c r="AE191" s="340"/>
      <c r="AF191" s="340"/>
      <c r="AG191" s="342"/>
      <c r="AH191" s="340"/>
      <c r="AI191" s="340"/>
      <c r="AJ191" s="157"/>
      <c r="AK191" s="165"/>
      <c r="AL191" s="343"/>
      <c r="AM191" s="344"/>
    </row>
    <row r="192">
      <c r="A192" s="101"/>
      <c r="B192" s="102"/>
      <c r="C192" s="130" t="s">
        <v>238</v>
      </c>
      <c r="F192" s="104"/>
      <c r="G192" s="111"/>
      <c r="H192" s="339"/>
      <c r="I192" s="340"/>
      <c r="J192" s="340"/>
      <c r="K192" s="340"/>
      <c r="L192" s="340"/>
      <c r="M192" s="340"/>
      <c r="N192" s="340"/>
      <c r="O192" s="340"/>
      <c r="P192" s="340"/>
      <c r="Q192" s="340"/>
      <c r="R192" s="340"/>
      <c r="S192" s="340"/>
      <c r="T192" s="340"/>
      <c r="U192" s="340"/>
      <c r="V192" s="340"/>
      <c r="W192" s="340"/>
      <c r="X192" s="340"/>
      <c r="Y192" s="340"/>
      <c r="Z192" s="340"/>
      <c r="AA192" s="340"/>
      <c r="AB192" s="340"/>
      <c r="AC192" s="340"/>
      <c r="AD192" s="340"/>
      <c r="AE192" s="340"/>
      <c r="AF192" s="340"/>
      <c r="AG192" s="342"/>
      <c r="AH192" s="340"/>
      <c r="AI192" s="340"/>
      <c r="AJ192" s="157"/>
      <c r="AK192" s="165"/>
      <c r="AL192" s="343"/>
      <c r="AM192" s="344"/>
    </row>
    <row r="193">
      <c r="A193" s="101"/>
      <c r="B193" s="102"/>
      <c r="C193" s="102"/>
      <c r="D193" s="102"/>
      <c r="E193" s="396" t="s">
        <v>240</v>
      </c>
      <c r="F193" s="114" t="s">
        <v>112</v>
      </c>
      <c r="G193" s="286" t="s">
        <v>213</v>
      </c>
      <c r="H193" s="354" t="s">
        <v>165</v>
      </c>
      <c r="I193" s="355">
        <v>0.1</v>
      </c>
      <c r="J193" s="355">
        <v>0.05</v>
      </c>
      <c r="K193" s="355">
        <v>0.1</v>
      </c>
      <c r="L193" s="355">
        <v>0.1</v>
      </c>
      <c r="M193" s="355">
        <v>0.1</v>
      </c>
      <c r="N193" s="355">
        <v>0.1</v>
      </c>
      <c r="O193" s="355">
        <v>0.05</v>
      </c>
      <c r="P193" s="355">
        <v>0.1</v>
      </c>
      <c r="Q193" s="355">
        <v>0.1</v>
      </c>
      <c r="R193" s="355">
        <v>0.1</v>
      </c>
      <c r="S193" s="355">
        <v>0.1</v>
      </c>
      <c r="T193" s="355">
        <v>0.1</v>
      </c>
      <c r="U193" s="355">
        <v>0.1</v>
      </c>
      <c r="V193" s="355">
        <v>0.1</v>
      </c>
      <c r="W193" s="355">
        <v>0.1</v>
      </c>
      <c r="X193" s="355">
        <v>0.1</v>
      </c>
      <c r="Y193" s="355">
        <v>0.1</v>
      </c>
      <c r="Z193" s="355">
        <v>0.1</v>
      </c>
      <c r="AA193" s="355">
        <v>0.1</v>
      </c>
      <c r="AB193" s="355">
        <v>0.1</v>
      </c>
      <c r="AC193" s="355">
        <v>0.1</v>
      </c>
      <c r="AD193" s="355">
        <v>0.1</v>
      </c>
      <c r="AE193" s="355">
        <v>0.1</v>
      </c>
      <c r="AF193" s="355">
        <v>0.1</v>
      </c>
      <c r="AG193" s="357">
        <v>0.1</v>
      </c>
      <c r="AH193" s="355">
        <v>0.1</v>
      </c>
      <c r="AI193" s="355">
        <v>0.1</v>
      </c>
      <c r="AJ193" s="358">
        <v>0.1</v>
      </c>
      <c r="AK193" s="359"/>
      <c r="AL193" s="402" t="s">
        <v>259</v>
      </c>
      <c r="AM193" s="428"/>
    </row>
    <row r="194">
      <c r="A194" s="101"/>
      <c r="B194" s="102"/>
      <c r="C194" s="102"/>
      <c r="D194" s="102"/>
      <c r="E194" s="598" t="s">
        <v>243</v>
      </c>
      <c r="F194" s="145" t="s">
        <v>112</v>
      </c>
      <c r="G194" s="419" t="s">
        <v>213</v>
      </c>
      <c r="H194" s="365" t="s">
        <v>165</v>
      </c>
      <c r="I194" s="366">
        <v>0.2</v>
      </c>
      <c r="J194" s="366">
        <v>0.33</v>
      </c>
      <c r="K194" s="366">
        <v>0.35</v>
      </c>
      <c r="L194" s="366">
        <v>0.1</v>
      </c>
      <c r="M194" s="366">
        <v>0.35</v>
      </c>
      <c r="N194" s="366">
        <v>0.25</v>
      </c>
      <c r="O194" s="366">
        <v>0.2</v>
      </c>
      <c r="P194" s="366">
        <v>0.25</v>
      </c>
      <c r="Q194" s="366">
        <v>0.2</v>
      </c>
      <c r="R194" s="366">
        <v>0.15</v>
      </c>
      <c r="S194" s="366">
        <v>0.15</v>
      </c>
      <c r="T194" s="366">
        <v>0.15</v>
      </c>
      <c r="U194" s="366">
        <v>0.15</v>
      </c>
      <c r="V194" s="366">
        <v>0.15</v>
      </c>
      <c r="W194" s="366">
        <v>0.15</v>
      </c>
      <c r="X194" s="366">
        <v>0.15</v>
      </c>
      <c r="Y194" s="366">
        <v>0.15</v>
      </c>
      <c r="Z194" s="366">
        <v>0.15</v>
      </c>
      <c r="AA194" s="366">
        <v>0.15</v>
      </c>
      <c r="AB194" s="366">
        <v>0.15</v>
      </c>
      <c r="AC194" s="366">
        <v>0.15</v>
      </c>
      <c r="AD194" s="366">
        <v>0.15</v>
      </c>
      <c r="AE194" s="366">
        <v>0.15</v>
      </c>
      <c r="AF194" s="366">
        <v>0.15</v>
      </c>
      <c r="AG194" s="367">
        <v>0.3</v>
      </c>
      <c r="AH194" s="366">
        <v>0.4</v>
      </c>
      <c r="AI194" s="366">
        <v>0.3</v>
      </c>
      <c r="AJ194" s="368">
        <v>0.3</v>
      </c>
      <c r="AK194" s="369"/>
      <c r="AL194" s="734" t="s">
        <v>259</v>
      </c>
      <c r="AM194" s="829"/>
    </row>
    <row r="195">
      <c r="A195" s="101"/>
      <c r="B195" s="102"/>
      <c r="C195" s="102"/>
      <c r="D195" s="102"/>
      <c r="E195" s="610" t="s">
        <v>247</v>
      </c>
      <c r="F195" s="176" t="s">
        <v>112</v>
      </c>
      <c r="G195" s="361" t="s">
        <v>213</v>
      </c>
      <c r="H195" s="382" t="s">
        <v>165</v>
      </c>
      <c r="I195" s="383">
        <f t="shared" ref="I195:AF195" si="8">1-SUM(I193:I194)</f>
        <v>0.7</v>
      </c>
      <c r="J195" s="383">
        <f t="shared" si="8"/>
        <v>0.62</v>
      </c>
      <c r="K195" s="383">
        <f t="shared" si="8"/>
        <v>0.55</v>
      </c>
      <c r="L195" s="383">
        <f t="shared" si="8"/>
        <v>0.8</v>
      </c>
      <c r="M195" s="383">
        <f t="shared" si="8"/>
        <v>0.55</v>
      </c>
      <c r="N195" s="383">
        <f t="shared" si="8"/>
        <v>0.65</v>
      </c>
      <c r="O195" s="383">
        <f t="shared" si="8"/>
        <v>0.75</v>
      </c>
      <c r="P195" s="383">
        <f t="shared" si="8"/>
        <v>0.65</v>
      </c>
      <c r="Q195" s="383">
        <f t="shared" si="8"/>
        <v>0.7</v>
      </c>
      <c r="R195" s="383">
        <f t="shared" si="8"/>
        <v>0.75</v>
      </c>
      <c r="S195" s="383">
        <f t="shared" si="8"/>
        <v>0.75</v>
      </c>
      <c r="T195" s="383">
        <f t="shared" si="8"/>
        <v>0.75</v>
      </c>
      <c r="U195" s="383">
        <f t="shared" si="8"/>
        <v>0.75</v>
      </c>
      <c r="V195" s="383">
        <f t="shared" si="8"/>
        <v>0.75</v>
      </c>
      <c r="W195" s="383">
        <f t="shared" si="8"/>
        <v>0.75</v>
      </c>
      <c r="X195" s="383">
        <f t="shared" si="8"/>
        <v>0.75</v>
      </c>
      <c r="Y195" s="383">
        <f t="shared" si="8"/>
        <v>0.75</v>
      </c>
      <c r="Z195" s="383">
        <f t="shared" si="8"/>
        <v>0.75</v>
      </c>
      <c r="AA195" s="383">
        <f t="shared" si="8"/>
        <v>0.75</v>
      </c>
      <c r="AB195" s="383">
        <f t="shared" si="8"/>
        <v>0.75</v>
      </c>
      <c r="AC195" s="383">
        <f t="shared" si="8"/>
        <v>0.75</v>
      </c>
      <c r="AD195" s="383">
        <f t="shared" si="8"/>
        <v>0.75</v>
      </c>
      <c r="AE195" s="383">
        <f t="shared" si="8"/>
        <v>0.75</v>
      </c>
      <c r="AF195" s="383">
        <f t="shared" si="8"/>
        <v>0.75</v>
      </c>
      <c r="AG195" s="384">
        <v>0.6</v>
      </c>
      <c r="AH195" s="383">
        <v>0.5</v>
      </c>
      <c r="AI195" s="383">
        <v>0.6</v>
      </c>
      <c r="AJ195" s="389">
        <v>0.6</v>
      </c>
      <c r="AK195" s="391"/>
      <c r="AL195" s="757" t="s">
        <v>259</v>
      </c>
      <c r="AM195" s="758"/>
    </row>
    <row r="196">
      <c r="A196" s="101"/>
      <c r="B196" s="102"/>
      <c r="C196" s="102"/>
      <c r="D196" s="102"/>
      <c r="E196" s="337"/>
      <c r="F196" s="104"/>
      <c r="G196" s="111"/>
      <c r="H196" s="339"/>
      <c r="I196" s="340"/>
      <c r="J196" s="340"/>
      <c r="K196" s="340"/>
      <c r="L196" s="340"/>
      <c r="M196" s="340"/>
      <c r="N196" s="340"/>
      <c r="O196" s="340"/>
      <c r="P196" s="340"/>
      <c r="Q196" s="340"/>
      <c r="R196" s="340"/>
      <c r="S196" s="340"/>
      <c r="T196" s="340"/>
      <c r="U196" s="340"/>
      <c r="V196" s="340"/>
      <c r="W196" s="340"/>
      <c r="X196" s="340"/>
      <c r="Y196" s="340"/>
      <c r="Z196" s="340"/>
      <c r="AA196" s="340"/>
      <c r="AB196" s="340"/>
      <c r="AC196" s="340"/>
      <c r="AD196" s="340"/>
      <c r="AE196" s="340"/>
      <c r="AF196" s="340"/>
      <c r="AG196" s="342"/>
      <c r="AH196" s="340"/>
      <c r="AI196" s="340"/>
      <c r="AJ196" s="157"/>
      <c r="AK196" s="165"/>
      <c r="AL196" s="343"/>
      <c r="AM196" s="344"/>
    </row>
    <row r="197">
      <c r="A197" s="101"/>
      <c r="B197" s="102"/>
      <c r="C197" s="123" t="s">
        <v>256</v>
      </c>
      <c r="F197" s="22"/>
      <c r="G197" s="78"/>
      <c r="H197" s="339"/>
      <c r="I197" s="340"/>
      <c r="J197" s="340"/>
      <c r="K197" s="340"/>
      <c r="L197" s="340"/>
      <c r="M197" s="340"/>
      <c r="N197" s="340"/>
      <c r="O197" s="340"/>
      <c r="P197" s="340"/>
      <c r="Q197" s="340"/>
      <c r="R197" s="340"/>
      <c r="S197" s="340"/>
      <c r="T197" s="340"/>
      <c r="U197" s="340"/>
      <c r="V197" s="340"/>
      <c r="W197" s="340"/>
      <c r="X197" s="340"/>
      <c r="Y197" s="340"/>
      <c r="Z197" s="340"/>
      <c r="AA197" s="340"/>
      <c r="AB197" s="340"/>
      <c r="AC197" s="340"/>
      <c r="AD197" s="340"/>
      <c r="AE197" s="340"/>
      <c r="AF197" s="340"/>
      <c r="AG197" s="342"/>
      <c r="AH197" s="340"/>
      <c r="AI197" s="340"/>
      <c r="AJ197" s="157"/>
      <c r="AK197" s="165"/>
      <c r="AL197" s="343"/>
      <c r="AM197" s="344"/>
    </row>
    <row r="198">
      <c r="A198" s="101"/>
      <c r="B198" s="102"/>
      <c r="C198" s="22"/>
      <c r="D198" s="22"/>
      <c r="E198" s="353" t="s">
        <v>240</v>
      </c>
      <c r="F198" s="456" t="s">
        <v>112</v>
      </c>
      <c r="G198" s="163" t="s">
        <v>213</v>
      </c>
      <c r="H198" s="813">
        <v>1.0</v>
      </c>
      <c r="I198" s="162" t="s">
        <v>165</v>
      </c>
      <c r="J198" s="162" t="s">
        <v>165</v>
      </c>
      <c r="K198" s="162" t="s">
        <v>165</v>
      </c>
      <c r="L198" s="162" t="s">
        <v>165</v>
      </c>
      <c r="M198" s="162" t="s">
        <v>165</v>
      </c>
      <c r="N198" s="162" t="s">
        <v>165</v>
      </c>
      <c r="O198" s="162" t="s">
        <v>165</v>
      </c>
      <c r="P198" s="162" t="s">
        <v>165</v>
      </c>
      <c r="Q198" s="162" t="s">
        <v>165</v>
      </c>
      <c r="R198" s="162" t="s">
        <v>165</v>
      </c>
      <c r="S198" s="162" t="s">
        <v>165</v>
      </c>
      <c r="T198" s="162" t="s">
        <v>165</v>
      </c>
      <c r="U198" s="162" t="s">
        <v>165</v>
      </c>
      <c r="V198" s="162" t="s">
        <v>165</v>
      </c>
      <c r="W198" s="162" t="s">
        <v>165</v>
      </c>
      <c r="X198" s="162" t="s">
        <v>165</v>
      </c>
      <c r="Y198" s="162" t="s">
        <v>165</v>
      </c>
      <c r="Z198" s="162" t="s">
        <v>165</v>
      </c>
      <c r="AA198" s="162" t="s">
        <v>165</v>
      </c>
      <c r="AB198" s="162" t="s">
        <v>165</v>
      </c>
      <c r="AC198" s="162" t="s">
        <v>165</v>
      </c>
      <c r="AD198" s="162" t="s">
        <v>165</v>
      </c>
      <c r="AE198" s="162" t="s">
        <v>165</v>
      </c>
      <c r="AF198" s="162" t="s">
        <v>165</v>
      </c>
      <c r="AG198" s="773" t="s">
        <v>165</v>
      </c>
      <c r="AH198" s="162" t="s">
        <v>165</v>
      </c>
      <c r="AI198" s="162" t="s">
        <v>165</v>
      </c>
      <c r="AJ198" s="774" t="s">
        <v>165</v>
      </c>
      <c r="AK198" s="359"/>
      <c r="AL198" s="360" t="s">
        <v>216</v>
      </c>
      <c r="AM198" s="428"/>
    </row>
    <row r="199">
      <c r="A199" s="101"/>
      <c r="B199" s="102"/>
      <c r="C199" s="22"/>
      <c r="D199" s="22"/>
      <c r="E199" s="364" t="s">
        <v>243</v>
      </c>
      <c r="F199" s="462" t="s">
        <v>112</v>
      </c>
      <c r="G199" s="184" t="s">
        <v>213</v>
      </c>
      <c r="H199" s="732">
        <v>1.0</v>
      </c>
      <c r="I199" s="183" t="s">
        <v>165</v>
      </c>
      <c r="J199" s="183" t="s">
        <v>165</v>
      </c>
      <c r="K199" s="183" t="s">
        <v>165</v>
      </c>
      <c r="L199" s="183" t="s">
        <v>165</v>
      </c>
      <c r="M199" s="183" t="s">
        <v>165</v>
      </c>
      <c r="N199" s="183" t="s">
        <v>165</v>
      </c>
      <c r="O199" s="183" t="s">
        <v>165</v>
      </c>
      <c r="P199" s="183" t="s">
        <v>165</v>
      </c>
      <c r="Q199" s="183" t="s">
        <v>165</v>
      </c>
      <c r="R199" s="183" t="s">
        <v>165</v>
      </c>
      <c r="S199" s="183" t="s">
        <v>165</v>
      </c>
      <c r="T199" s="183" t="s">
        <v>165</v>
      </c>
      <c r="U199" s="183" t="s">
        <v>165</v>
      </c>
      <c r="V199" s="183" t="s">
        <v>165</v>
      </c>
      <c r="W199" s="183" t="s">
        <v>165</v>
      </c>
      <c r="X199" s="183" t="s">
        <v>165</v>
      </c>
      <c r="Y199" s="183" t="s">
        <v>165</v>
      </c>
      <c r="Z199" s="183" t="s">
        <v>165</v>
      </c>
      <c r="AA199" s="183" t="s">
        <v>165</v>
      </c>
      <c r="AB199" s="183" t="s">
        <v>165</v>
      </c>
      <c r="AC199" s="183" t="s">
        <v>165</v>
      </c>
      <c r="AD199" s="183" t="s">
        <v>165</v>
      </c>
      <c r="AE199" s="183" t="s">
        <v>165</v>
      </c>
      <c r="AF199" s="183" t="s">
        <v>165</v>
      </c>
      <c r="AG199" s="733" t="s">
        <v>165</v>
      </c>
      <c r="AH199" s="183" t="s">
        <v>165</v>
      </c>
      <c r="AI199" s="183" t="s">
        <v>165</v>
      </c>
      <c r="AJ199" s="475" t="s">
        <v>165</v>
      </c>
      <c r="AK199" s="369"/>
      <c r="AL199" s="370" t="s">
        <v>216</v>
      </c>
      <c r="AM199" s="829"/>
    </row>
    <row r="200">
      <c r="A200" s="101"/>
      <c r="B200" s="102"/>
      <c r="C200" s="22"/>
      <c r="D200" s="22"/>
      <c r="E200" s="837" t="s">
        <v>253</v>
      </c>
      <c r="F200" s="491" t="s">
        <v>112</v>
      </c>
      <c r="G200" s="231" t="s">
        <v>213</v>
      </c>
      <c r="H200" s="752">
        <v>0.0</v>
      </c>
      <c r="I200" s="230" t="s">
        <v>165</v>
      </c>
      <c r="J200" s="230" t="s">
        <v>165</v>
      </c>
      <c r="K200" s="230" t="s">
        <v>165</v>
      </c>
      <c r="L200" s="230" t="s">
        <v>165</v>
      </c>
      <c r="M200" s="230" t="s">
        <v>165</v>
      </c>
      <c r="N200" s="230" t="s">
        <v>165</v>
      </c>
      <c r="O200" s="230" t="s">
        <v>165</v>
      </c>
      <c r="P200" s="230" t="s">
        <v>165</v>
      </c>
      <c r="Q200" s="230" t="s">
        <v>165</v>
      </c>
      <c r="R200" s="230" t="s">
        <v>165</v>
      </c>
      <c r="S200" s="230" t="s">
        <v>165</v>
      </c>
      <c r="T200" s="230" t="s">
        <v>165</v>
      </c>
      <c r="U200" s="230" t="s">
        <v>165</v>
      </c>
      <c r="V200" s="230" t="s">
        <v>165</v>
      </c>
      <c r="W200" s="230" t="s">
        <v>165</v>
      </c>
      <c r="X200" s="230" t="s">
        <v>165</v>
      </c>
      <c r="Y200" s="230" t="s">
        <v>165</v>
      </c>
      <c r="Z200" s="230" t="s">
        <v>165</v>
      </c>
      <c r="AA200" s="230" t="s">
        <v>165</v>
      </c>
      <c r="AB200" s="230" t="s">
        <v>165</v>
      </c>
      <c r="AC200" s="230" t="s">
        <v>165</v>
      </c>
      <c r="AD200" s="230" t="s">
        <v>165</v>
      </c>
      <c r="AE200" s="230" t="s">
        <v>165</v>
      </c>
      <c r="AF200" s="230" t="s">
        <v>165</v>
      </c>
      <c r="AG200" s="791" t="s">
        <v>165</v>
      </c>
      <c r="AH200" s="230" t="s">
        <v>165</v>
      </c>
      <c r="AI200" s="230" t="s">
        <v>165</v>
      </c>
      <c r="AJ200" s="792" t="s">
        <v>165</v>
      </c>
      <c r="AK200" s="391"/>
      <c r="AL200" s="757" t="s">
        <v>216</v>
      </c>
      <c r="AM200" s="758"/>
    </row>
    <row r="201">
      <c r="A201" s="101"/>
      <c r="B201" s="102"/>
      <c r="C201" s="102"/>
      <c r="D201" s="102"/>
      <c r="E201" s="337"/>
      <c r="F201" s="104"/>
      <c r="G201" s="111"/>
      <c r="H201" s="339"/>
      <c r="I201" s="340"/>
      <c r="J201" s="340"/>
      <c r="K201" s="340"/>
      <c r="L201" s="340"/>
      <c r="M201" s="340"/>
      <c r="N201" s="340"/>
      <c r="O201" s="340"/>
      <c r="P201" s="340"/>
      <c r="Q201" s="340"/>
      <c r="R201" s="340"/>
      <c r="S201" s="340"/>
      <c r="T201" s="340"/>
      <c r="U201" s="340"/>
      <c r="V201" s="340"/>
      <c r="W201" s="340"/>
      <c r="X201" s="340"/>
      <c r="Y201" s="340"/>
      <c r="Z201" s="340"/>
      <c r="AA201" s="340"/>
      <c r="AB201" s="340"/>
      <c r="AC201" s="340"/>
      <c r="AD201" s="340"/>
      <c r="AE201" s="340"/>
      <c r="AF201" s="340"/>
      <c r="AG201" s="342"/>
      <c r="AH201" s="340"/>
      <c r="AI201" s="340"/>
      <c r="AJ201" s="157"/>
      <c r="AK201" s="165"/>
      <c r="AL201" s="343"/>
      <c r="AM201" s="344"/>
    </row>
    <row r="202">
      <c r="A202" s="101"/>
      <c r="B202" s="102"/>
      <c r="C202" s="130" t="s">
        <v>331</v>
      </c>
      <c r="F202" s="132"/>
      <c r="G202" s="111"/>
      <c r="H202" s="339"/>
      <c r="I202" s="340"/>
      <c r="J202" s="340"/>
      <c r="K202" s="340"/>
      <c r="L202" s="340"/>
      <c r="M202" s="340"/>
      <c r="N202" s="340"/>
      <c r="O202" s="340"/>
      <c r="P202" s="340"/>
      <c r="Q202" s="340"/>
      <c r="R202" s="340"/>
      <c r="S202" s="340"/>
      <c r="T202" s="340"/>
      <c r="U202" s="340"/>
      <c r="V202" s="340"/>
      <c r="W202" s="340"/>
      <c r="X202" s="340"/>
      <c r="Y202" s="340"/>
      <c r="Z202" s="340"/>
      <c r="AA202" s="340"/>
      <c r="AB202" s="340"/>
      <c r="AC202" s="340"/>
      <c r="AD202" s="340"/>
      <c r="AE202" s="340"/>
      <c r="AF202" s="340"/>
      <c r="AG202" s="342"/>
      <c r="AH202" s="340"/>
      <c r="AI202" s="340"/>
      <c r="AJ202" s="157"/>
      <c r="AK202" s="165"/>
      <c r="AL202" s="343"/>
      <c r="AM202" s="344"/>
    </row>
    <row r="203">
      <c r="A203" s="101"/>
      <c r="B203" s="102"/>
      <c r="C203" s="102"/>
      <c r="D203" s="102"/>
      <c r="E203" s="396" t="s">
        <v>332</v>
      </c>
      <c r="F203" s="114" t="s">
        <v>116</v>
      </c>
      <c r="G203" s="286" t="s">
        <v>213</v>
      </c>
      <c r="H203" s="838">
        <v>0.005057</v>
      </c>
      <c r="I203" s="456" t="s">
        <v>165</v>
      </c>
      <c r="J203" s="456" t="s">
        <v>165</v>
      </c>
      <c r="K203" s="456" t="s">
        <v>165</v>
      </c>
      <c r="L203" s="456" t="s">
        <v>165</v>
      </c>
      <c r="M203" s="456" t="s">
        <v>165</v>
      </c>
      <c r="N203" s="456" t="s">
        <v>165</v>
      </c>
      <c r="O203" s="456" t="s">
        <v>165</v>
      </c>
      <c r="P203" s="456" t="s">
        <v>165</v>
      </c>
      <c r="Q203" s="456" t="s">
        <v>165</v>
      </c>
      <c r="R203" s="456" t="s">
        <v>165</v>
      </c>
      <c r="S203" s="456" t="s">
        <v>165</v>
      </c>
      <c r="T203" s="456" t="s">
        <v>165</v>
      </c>
      <c r="U203" s="456" t="s">
        <v>165</v>
      </c>
      <c r="V203" s="456" t="s">
        <v>165</v>
      </c>
      <c r="W203" s="456" t="s">
        <v>165</v>
      </c>
      <c r="X203" s="456" t="s">
        <v>165</v>
      </c>
      <c r="Y203" s="456" t="s">
        <v>165</v>
      </c>
      <c r="Z203" s="456" t="s">
        <v>165</v>
      </c>
      <c r="AA203" s="456" t="s">
        <v>165</v>
      </c>
      <c r="AB203" s="456" t="s">
        <v>165</v>
      </c>
      <c r="AC203" s="456" t="s">
        <v>165</v>
      </c>
      <c r="AD203" s="456" t="s">
        <v>165</v>
      </c>
      <c r="AE203" s="456" t="s">
        <v>165</v>
      </c>
      <c r="AF203" s="456" t="s">
        <v>165</v>
      </c>
      <c r="AG203" s="839" t="s">
        <v>165</v>
      </c>
      <c r="AH203" s="456" t="s">
        <v>165</v>
      </c>
      <c r="AI203" s="456" t="s">
        <v>165</v>
      </c>
      <c r="AJ203" s="163" t="s">
        <v>165</v>
      </c>
      <c r="AK203" s="359"/>
      <c r="AL203" s="402" t="s">
        <v>216</v>
      </c>
      <c r="AM203" s="840" t="s">
        <v>154</v>
      </c>
    </row>
    <row r="204">
      <c r="A204" s="101"/>
      <c r="B204" s="102"/>
      <c r="C204" s="102"/>
      <c r="D204" s="102"/>
      <c r="E204" s="396" t="s">
        <v>336</v>
      </c>
      <c r="F204" s="114" t="s">
        <v>116</v>
      </c>
      <c r="G204" s="286" t="s">
        <v>213</v>
      </c>
      <c r="H204" s="838">
        <v>0.0056391</v>
      </c>
      <c r="I204" s="456" t="s">
        <v>165</v>
      </c>
      <c r="J204" s="456" t="s">
        <v>165</v>
      </c>
      <c r="K204" s="456" t="s">
        <v>165</v>
      </c>
      <c r="L204" s="456" t="s">
        <v>165</v>
      </c>
      <c r="M204" s="456" t="s">
        <v>165</v>
      </c>
      <c r="N204" s="456" t="s">
        <v>165</v>
      </c>
      <c r="O204" s="456" t="s">
        <v>165</v>
      </c>
      <c r="P204" s="456" t="s">
        <v>165</v>
      </c>
      <c r="Q204" s="456" t="s">
        <v>165</v>
      </c>
      <c r="R204" s="456" t="s">
        <v>165</v>
      </c>
      <c r="S204" s="456" t="s">
        <v>165</v>
      </c>
      <c r="T204" s="456" t="s">
        <v>165</v>
      </c>
      <c r="U204" s="456" t="s">
        <v>165</v>
      </c>
      <c r="V204" s="456" t="s">
        <v>165</v>
      </c>
      <c r="W204" s="456" t="s">
        <v>165</v>
      </c>
      <c r="X204" s="456" t="s">
        <v>165</v>
      </c>
      <c r="Y204" s="456" t="s">
        <v>165</v>
      </c>
      <c r="Z204" s="456" t="s">
        <v>165</v>
      </c>
      <c r="AA204" s="456" t="s">
        <v>165</v>
      </c>
      <c r="AB204" s="456" t="s">
        <v>165</v>
      </c>
      <c r="AC204" s="456" t="s">
        <v>165</v>
      </c>
      <c r="AD204" s="456" t="s">
        <v>165</v>
      </c>
      <c r="AE204" s="456" t="s">
        <v>165</v>
      </c>
      <c r="AF204" s="456" t="s">
        <v>165</v>
      </c>
      <c r="AG204" s="839" t="s">
        <v>165</v>
      </c>
      <c r="AH204" s="456" t="s">
        <v>165</v>
      </c>
      <c r="AI204" s="456" t="s">
        <v>165</v>
      </c>
      <c r="AJ204" s="163" t="s">
        <v>165</v>
      </c>
      <c r="AK204" s="359"/>
      <c r="AL204" s="402" t="s">
        <v>216</v>
      </c>
      <c r="AM204" s="840" t="s">
        <v>154</v>
      </c>
    </row>
    <row r="205">
      <c r="A205" s="101"/>
      <c r="B205" s="102"/>
      <c r="C205" s="102"/>
      <c r="D205" s="102"/>
      <c r="E205" s="403" t="s">
        <v>338</v>
      </c>
      <c r="F205" s="121" t="s">
        <v>116</v>
      </c>
      <c r="G205" s="248" t="s">
        <v>213</v>
      </c>
      <c r="H205" s="803" t="s">
        <v>165</v>
      </c>
      <c r="I205" s="841">
        <v>0.01231</v>
      </c>
      <c r="J205" s="841">
        <v>0.01231</v>
      </c>
      <c r="K205" s="841">
        <v>0.01231</v>
      </c>
      <c r="L205" s="841">
        <v>0.01231</v>
      </c>
      <c r="M205" s="841">
        <v>0.01231</v>
      </c>
      <c r="N205" s="841">
        <f>$H204</f>
        <v>0.0056391</v>
      </c>
      <c r="O205" s="841">
        <v>0.01231</v>
      </c>
      <c r="P205" s="841">
        <f t="shared" ref="P205:AF205" si="9">$H204</f>
        <v>0.0056391</v>
      </c>
      <c r="Q205" s="841">
        <f t="shared" si="9"/>
        <v>0.0056391</v>
      </c>
      <c r="R205" s="841">
        <f t="shared" si="9"/>
        <v>0.0056391</v>
      </c>
      <c r="S205" s="841">
        <f t="shared" si="9"/>
        <v>0.0056391</v>
      </c>
      <c r="T205" s="841">
        <f t="shared" si="9"/>
        <v>0.0056391</v>
      </c>
      <c r="U205" s="841">
        <f t="shared" si="9"/>
        <v>0.0056391</v>
      </c>
      <c r="V205" s="841">
        <f t="shared" si="9"/>
        <v>0.0056391</v>
      </c>
      <c r="W205" s="841">
        <f t="shared" si="9"/>
        <v>0.0056391</v>
      </c>
      <c r="X205" s="841">
        <f t="shared" si="9"/>
        <v>0.0056391</v>
      </c>
      <c r="Y205" s="841">
        <f t="shared" si="9"/>
        <v>0.0056391</v>
      </c>
      <c r="Z205" s="841">
        <f t="shared" si="9"/>
        <v>0.0056391</v>
      </c>
      <c r="AA205" s="841">
        <f t="shared" si="9"/>
        <v>0.0056391</v>
      </c>
      <c r="AB205" s="841">
        <f t="shared" si="9"/>
        <v>0.0056391</v>
      </c>
      <c r="AC205" s="841">
        <f t="shared" si="9"/>
        <v>0.0056391</v>
      </c>
      <c r="AD205" s="841">
        <f t="shared" si="9"/>
        <v>0.0056391</v>
      </c>
      <c r="AE205" s="841">
        <f t="shared" si="9"/>
        <v>0.0056391</v>
      </c>
      <c r="AF205" s="841">
        <f t="shared" si="9"/>
        <v>0.0056391</v>
      </c>
      <c r="AG205" s="842">
        <v>0.01231</v>
      </c>
      <c r="AH205" s="841">
        <v>0.01231</v>
      </c>
      <c r="AI205" s="841">
        <v>0.01231</v>
      </c>
      <c r="AJ205" s="843">
        <v>0.0056391</v>
      </c>
      <c r="AK205" s="206"/>
      <c r="AL205" s="349" t="s">
        <v>216</v>
      </c>
      <c r="AM205" s="844" t="s">
        <v>154</v>
      </c>
    </row>
    <row r="206">
      <c r="A206" s="845"/>
      <c r="B206" s="846"/>
      <c r="C206" s="846"/>
      <c r="D206" s="846"/>
      <c r="E206" s="847"/>
      <c r="F206" s="848"/>
      <c r="G206" s="849"/>
      <c r="H206" s="850"/>
      <c r="I206" s="851"/>
      <c r="J206" s="851"/>
      <c r="K206" s="851"/>
      <c r="L206" s="851"/>
      <c r="M206" s="851"/>
      <c r="N206" s="851"/>
      <c r="O206" s="851"/>
      <c r="P206" s="851"/>
      <c r="Q206" s="851"/>
      <c r="R206" s="851"/>
      <c r="S206" s="851"/>
      <c r="T206" s="851"/>
      <c r="U206" s="851"/>
      <c r="V206" s="851"/>
      <c r="W206" s="851"/>
      <c r="X206" s="851"/>
      <c r="Y206" s="851"/>
      <c r="Z206" s="851"/>
      <c r="AA206" s="851"/>
      <c r="AB206" s="851"/>
      <c r="AC206" s="851"/>
      <c r="AD206" s="851"/>
      <c r="AE206" s="851"/>
      <c r="AF206" s="852"/>
      <c r="AG206" s="853"/>
      <c r="AH206" s="851"/>
      <c r="AI206" s="851"/>
      <c r="AJ206" s="852"/>
      <c r="AK206" s="206"/>
      <c r="AL206" s="854"/>
      <c r="AM206" s="438"/>
    </row>
  </sheetData>
  <mergeCells count="53">
    <mergeCell ref="I1:P1"/>
    <mergeCell ref="Q1:X1"/>
    <mergeCell ref="Y1:AF1"/>
    <mergeCell ref="AG1:AJ1"/>
    <mergeCell ref="A3:E3"/>
    <mergeCell ref="A5:G5"/>
    <mergeCell ref="C7:E7"/>
    <mergeCell ref="C10:E10"/>
    <mergeCell ref="C17:E17"/>
    <mergeCell ref="A21:G21"/>
    <mergeCell ref="C23:E23"/>
    <mergeCell ref="C29:E29"/>
    <mergeCell ref="C32:E32"/>
    <mergeCell ref="C36:F36"/>
    <mergeCell ref="A39:G39"/>
    <mergeCell ref="C41:E41"/>
    <mergeCell ref="C45:E45"/>
    <mergeCell ref="C52:E52"/>
    <mergeCell ref="C56:E56"/>
    <mergeCell ref="C59:E59"/>
    <mergeCell ref="C64:E64"/>
    <mergeCell ref="C69:E69"/>
    <mergeCell ref="C74:E74"/>
    <mergeCell ref="C77:E77"/>
    <mergeCell ref="C83:E83"/>
    <mergeCell ref="C88:E88"/>
    <mergeCell ref="C92:E92"/>
    <mergeCell ref="C95:E95"/>
    <mergeCell ref="C101:E101"/>
    <mergeCell ref="C107:E107"/>
    <mergeCell ref="C113:E113"/>
    <mergeCell ref="C119:E119"/>
    <mergeCell ref="C125:E125"/>
    <mergeCell ref="C129:E129"/>
    <mergeCell ref="C133:E133"/>
    <mergeCell ref="A136:G136"/>
    <mergeCell ref="C138:E138"/>
    <mergeCell ref="A141:G141"/>
    <mergeCell ref="C143:E143"/>
    <mergeCell ref="C149:E149"/>
    <mergeCell ref="A153:G153"/>
    <mergeCell ref="C155:E155"/>
    <mergeCell ref="A190:G190"/>
    <mergeCell ref="C192:E192"/>
    <mergeCell ref="C197:E197"/>
    <mergeCell ref="C202:E202"/>
    <mergeCell ref="A160:G160"/>
    <mergeCell ref="A165:G165"/>
    <mergeCell ref="C167:E167"/>
    <mergeCell ref="D168:E168"/>
    <mergeCell ref="D172:E172"/>
    <mergeCell ref="D175:E175"/>
    <mergeCell ref="C180:E180"/>
  </mergeCells>
  <hyperlinks>
    <hyperlink r:id="rId2" ref="AM11"/>
    <hyperlink r:id="rId3" ref="AM12"/>
    <hyperlink r:id="rId4" ref="AM13"/>
    <hyperlink r:id="rId5" ref="AM14"/>
    <hyperlink r:id="rId6" ref="AM15"/>
    <hyperlink r:id="rId7" ref="AM18"/>
    <hyperlink r:id="rId8" ref="AL30"/>
    <hyperlink r:id="rId9" ref="AM37"/>
    <hyperlink r:id="rId10" ref="AL42"/>
    <hyperlink r:id="rId11" ref="AL43"/>
    <hyperlink r:id="rId12" ref="AL46"/>
    <hyperlink r:id="rId13" ref="AL47"/>
    <hyperlink r:id="rId14" ref="AL48"/>
    <hyperlink r:id="rId15" ref="AL49"/>
    <hyperlink r:id="rId16" ref="AL50"/>
    <hyperlink r:id="rId17" ref="AL53"/>
    <hyperlink r:id="rId18" ref="AL54"/>
    <hyperlink r:id="rId19" ref="AL57"/>
    <hyperlink r:id="rId20" ref="AL65"/>
    <hyperlink r:id="rId21" ref="AL66"/>
    <hyperlink r:id="rId22" ref="AL70"/>
    <hyperlink r:id="rId23" ref="AL71"/>
    <hyperlink r:id="rId24" ref="AL72"/>
    <hyperlink r:id="rId25" ref="AL75"/>
    <hyperlink r:id="rId26" ref="AM84"/>
    <hyperlink r:id="rId27" ref="AM85"/>
    <hyperlink r:id="rId28" ref="AM89"/>
    <hyperlink r:id="rId29" location="gid=1901792181&amp;range=M21" ref="AM93"/>
    <hyperlink r:id="rId30" ref="AM126"/>
    <hyperlink r:id="rId31" ref="AM127"/>
    <hyperlink r:id="rId32" ref="AM130"/>
    <hyperlink r:id="rId33" ref="AM131"/>
    <hyperlink r:id="rId34" ref="AL144"/>
    <hyperlink r:id="rId35" ref="AM145"/>
    <hyperlink r:id="rId36" ref="AM147"/>
    <hyperlink r:id="rId37" location="gid=1087538420" ref="AM156"/>
    <hyperlink r:id="rId38" location="gid=1087538420" ref="AM157"/>
    <hyperlink r:id="rId39" location="gid=1087538420" ref="AM158"/>
    <hyperlink r:id="rId40" location="gid=1110574950" ref="AM163"/>
    <hyperlink r:id="rId41" location="gid=629869424" ref="AM181"/>
    <hyperlink r:id="rId42" location="gid=629869424" ref="AM182"/>
    <hyperlink r:id="rId43" location="gid=629869424" ref="AM183"/>
    <hyperlink r:id="rId44" location="gid=629869424" ref="AM184"/>
    <hyperlink r:id="rId45" location="gid=629869424" ref="AM185"/>
    <hyperlink r:id="rId46" location="gid=629869424" ref="AM186"/>
    <hyperlink r:id="rId47" location="gid=629869424" ref="AM187"/>
    <hyperlink r:id="rId48" location="gid=629869424" ref="AM188"/>
    <hyperlink r:id="rId49" ref="AM203"/>
    <hyperlink r:id="rId50" ref="AM204"/>
    <hyperlink r:id="rId51" ref="AM205"/>
  </hyperlinks>
  <drawing r:id="rId52"/>
  <legacyDrawing r:id="rId5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8.38"/>
    <col customWidth="1" min="3" max="3" width="19.25"/>
    <col customWidth="1" min="4" max="4" width="5.75"/>
    <col customWidth="1" min="5" max="5" width="10.13"/>
    <col customWidth="1" min="6" max="6" width="26.5"/>
    <col customWidth="1" min="7" max="7" width="8.25"/>
    <col customWidth="1" min="8" max="8" width="6.13"/>
    <col customWidth="1" min="9" max="11" width="7.75"/>
    <col customWidth="1" min="12" max="12" width="2.63"/>
    <col customWidth="1" min="13" max="13" width="8.38"/>
    <col customWidth="1" min="14" max="14" width="19.25"/>
    <col customWidth="1" min="15" max="15" width="5.75"/>
    <col customWidth="1" min="16" max="16" width="10.13"/>
    <col customWidth="1" min="17" max="17" width="26.5"/>
    <col customWidth="1" min="18" max="18" width="6.75"/>
    <col customWidth="1" min="19" max="19" width="6.13"/>
    <col customWidth="1" min="20" max="22" width="7.75"/>
    <col customWidth="1" min="23" max="23" width="2.63"/>
    <col customWidth="1" min="24" max="24" width="26.0"/>
    <col customWidth="1" min="25" max="25" width="6.38"/>
    <col customWidth="1" min="26" max="26" width="24.13"/>
    <col customWidth="1" min="27" max="27" width="10.88"/>
    <col customWidth="1" min="28" max="28" width="8.0"/>
    <col customWidth="1" min="29" max="29" width="7.63"/>
    <col customWidth="1" min="30" max="30" width="11.63"/>
    <col customWidth="1" min="31" max="34" width="7.25"/>
    <col customWidth="1" min="35" max="35" width="9.25"/>
    <col customWidth="1" min="36" max="36" width="2.63"/>
    <col customWidth="1" min="37" max="37" width="26.0"/>
    <col customWidth="1" min="38" max="38" width="6.38"/>
    <col customWidth="1" min="39" max="39" width="24.13"/>
    <col customWidth="1" min="40" max="40" width="10.88"/>
    <col customWidth="1" min="41" max="41" width="8.0"/>
    <col customWidth="1" min="42" max="42" width="7.63"/>
    <col customWidth="1" min="43" max="43" width="11.63"/>
    <col customWidth="1" min="44" max="47" width="7.25"/>
    <col customWidth="1" min="48" max="48" width="9.25"/>
    <col customWidth="1" min="49" max="49" width="2.63"/>
  </cols>
  <sheetData>
    <row r="1">
      <c r="A1" s="735"/>
      <c r="B1" s="736"/>
      <c r="C1" s="736"/>
      <c r="D1" s="736"/>
      <c r="E1" s="736"/>
      <c r="F1" s="736"/>
      <c r="G1" s="736"/>
      <c r="H1" s="738"/>
      <c r="I1" s="738"/>
      <c r="J1" s="738"/>
      <c r="K1" s="738"/>
      <c r="L1" s="739"/>
      <c r="M1" s="736"/>
      <c r="N1" s="736"/>
      <c r="O1" s="736"/>
      <c r="P1" s="736"/>
      <c r="Q1" s="736"/>
      <c r="R1" s="736"/>
      <c r="S1" s="738"/>
      <c r="T1" s="738"/>
      <c r="U1" s="738"/>
      <c r="V1" s="738"/>
      <c r="W1" s="739"/>
      <c r="X1" s="736"/>
      <c r="Y1" s="736"/>
      <c r="Z1" s="736"/>
      <c r="AA1" s="736"/>
      <c r="AB1" s="736"/>
      <c r="AC1" s="736"/>
      <c r="AD1" s="738"/>
      <c r="AE1" s="741"/>
      <c r="AF1" s="738"/>
      <c r="AG1" s="738"/>
      <c r="AH1" s="738"/>
      <c r="AI1" s="738"/>
      <c r="AJ1" s="739"/>
      <c r="AK1" s="736"/>
      <c r="AL1" s="736"/>
      <c r="AM1" s="736"/>
      <c r="AN1" s="736"/>
      <c r="AO1" s="736"/>
      <c r="AP1" s="736"/>
      <c r="AQ1" s="738"/>
      <c r="AR1" s="741"/>
      <c r="AS1" s="738"/>
      <c r="AT1" s="738"/>
      <c r="AU1" s="738"/>
      <c r="AV1" s="738"/>
      <c r="AW1" s="742"/>
    </row>
    <row r="2">
      <c r="A2" s="743"/>
      <c r="B2" s="748" t="s">
        <v>465</v>
      </c>
      <c r="C2" s="47"/>
      <c r="D2" s="47"/>
      <c r="E2" s="47"/>
      <c r="F2" s="47"/>
      <c r="G2" s="47"/>
      <c r="H2" s="47"/>
      <c r="I2" s="47"/>
      <c r="J2" s="47"/>
      <c r="K2" s="750"/>
      <c r="L2" s="751"/>
      <c r="M2" s="748" t="s">
        <v>468</v>
      </c>
      <c r="N2" s="47"/>
      <c r="O2" s="47"/>
      <c r="P2" s="47"/>
      <c r="Q2" s="47"/>
      <c r="R2" s="47"/>
      <c r="S2" s="47"/>
      <c r="T2" s="47"/>
      <c r="U2" s="47"/>
      <c r="V2" s="750"/>
      <c r="W2" s="751"/>
      <c r="X2" s="754" t="s">
        <v>470</v>
      </c>
      <c r="Y2" s="756"/>
      <c r="Z2" s="756"/>
      <c r="AA2" s="756"/>
      <c r="AB2" s="756"/>
      <c r="AC2" s="756"/>
      <c r="AD2" s="756"/>
      <c r="AE2" s="756"/>
      <c r="AF2" s="756"/>
      <c r="AG2" s="756"/>
      <c r="AH2" s="756"/>
      <c r="AI2" s="759"/>
      <c r="AJ2" s="751"/>
      <c r="AK2" s="754" t="s">
        <v>471</v>
      </c>
      <c r="AL2" s="756"/>
      <c r="AM2" s="756"/>
      <c r="AN2" s="756"/>
      <c r="AO2" s="756"/>
      <c r="AP2" s="756"/>
      <c r="AQ2" s="756"/>
      <c r="AR2" s="756"/>
      <c r="AS2" s="756"/>
      <c r="AT2" s="756"/>
      <c r="AU2" s="756"/>
      <c r="AV2" s="759"/>
      <c r="AW2" s="760"/>
    </row>
    <row r="3">
      <c r="A3" s="761"/>
      <c r="B3" s="762" t="s">
        <v>472</v>
      </c>
      <c r="C3" s="763" t="s">
        <v>473</v>
      </c>
      <c r="D3" s="763" t="s">
        <v>474</v>
      </c>
      <c r="E3" s="763" t="s">
        <v>475</v>
      </c>
      <c r="F3" s="763" t="s">
        <v>476</v>
      </c>
      <c r="G3" s="763" t="s">
        <v>477</v>
      </c>
      <c r="H3" s="763" t="s">
        <v>266</v>
      </c>
      <c r="I3" s="765" t="s">
        <v>478</v>
      </c>
      <c r="J3" s="765" t="s">
        <v>479</v>
      </c>
      <c r="K3" s="766" t="s">
        <v>480</v>
      </c>
      <c r="M3" s="762" t="s">
        <v>472</v>
      </c>
      <c r="N3" s="763" t="s">
        <v>473</v>
      </c>
      <c r="O3" s="763" t="s">
        <v>474</v>
      </c>
      <c r="P3" s="763" t="s">
        <v>475</v>
      </c>
      <c r="Q3" s="763" t="s">
        <v>476</v>
      </c>
      <c r="R3" s="763" t="s">
        <v>477</v>
      </c>
      <c r="S3" s="763" t="s">
        <v>266</v>
      </c>
      <c r="T3" s="765" t="s">
        <v>478</v>
      </c>
      <c r="U3" s="765" t="s">
        <v>479</v>
      </c>
      <c r="V3" s="766" t="s">
        <v>480</v>
      </c>
      <c r="X3" s="762" t="s">
        <v>481</v>
      </c>
      <c r="Y3" s="763" t="s">
        <v>482</v>
      </c>
      <c r="Z3" s="763" t="s">
        <v>483</v>
      </c>
      <c r="AA3" s="763" t="s">
        <v>484</v>
      </c>
      <c r="AB3" s="763" t="s">
        <v>485</v>
      </c>
      <c r="AC3" s="763" t="s">
        <v>486</v>
      </c>
      <c r="AD3" s="765" t="s">
        <v>487</v>
      </c>
      <c r="AE3" s="768" t="s">
        <v>488</v>
      </c>
      <c r="AF3" s="765" t="s">
        <v>489</v>
      </c>
      <c r="AG3" s="765" t="s">
        <v>490</v>
      </c>
      <c r="AH3" s="765" t="s">
        <v>491</v>
      </c>
      <c r="AI3" s="766" t="s">
        <v>492</v>
      </c>
      <c r="AK3" s="762" t="s">
        <v>481</v>
      </c>
      <c r="AL3" s="763" t="s">
        <v>482</v>
      </c>
      <c r="AM3" s="763" t="s">
        <v>483</v>
      </c>
      <c r="AN3" s="763" t="s">
        <v>484</v>
      </c>
      <c r="AO3" s="763" t="s">
        <v>485</v>
      </c>
      <c r="AP3" s="763" t="s">
        <v>486</v>
      </c>
      <c r="AQ3" s="765" t="s">
        <v>487</v>
      </c>
      <c r="AR3" s="768" t="s">
        <v>488</v>
      </c>
      <c r="AS3" s="765" t="s">
        <v>489</v>
      </c>
      <c r="AT3" s="765" t="s">
        <v>490</v>
      </c>
      <c r="AU3" s="765" t="s">
        <v>491</v>
      </c>
      <c r="AV3" s="766" t="s">
        <v>492</v>
      </c>
      <c r="AW3" s="714"/>
    </row>
    <row r="4">
      <c r="A4" s="761"/>
      <c r="B4" s="769" t="s">
        <v>493</v>
      </c>
      <c r="C4" s="770" t="s">
        <v>17</v>
      </c>
      <c r="D4" s="770" t="s">
        <v>494</v>
      </c>
      <c r="E4" s="770" t="s">
        <v>495</v>
      </c>
      <c r="F4" s="770" t="s">
        <v>496</v>
      </c>
      <c r="G4" s="770" t="s">
        <v>103</v>
      </c>
      <c r="H4" s="770">
        <v>2019.0</v>
      </c>
      <c r="I4" s="771">
        <v>58764.73414</v>
      </c>
      <c r="J4" s="771">
        <v>70800.18355</v>
      </c>
      <c r="K4" s="772">
        <v>48125.42401</v>
      </c>
      <c r="M4" s="769" t="s">
        <v>493</v>
      </c>
      <c r="N4" s="770" t="s">
        <v>17</v>
      </c>
      <c r="O4" s="770" t="s">
        <v>494</v>
      </c>
      <c r="P4" s="770" t="s">
        <v>495</v>
      </c>
      <c r="Q4" s="770" t="s">
        <v>496</v>
      </c>
      <c r="R4" s="770" t="s">
        <v>497</v>
      </c>
      <c r="S4" s="770">
        <v>2019.0</v>
      </c>
      <c r="T4" s="771">
        <v>1141.694553</v>
      </c>
      <c r="U4" s="771">
        <v>1375.521988</v>
      </c>
      <c r="V4" s="772">
        <v>934.9916282</v>
      </c>
      <c r="X4" s="776" t="s">
        <v>496</v>
      </c>
      <c r="Y4" s="777" t="s">
        <v>494</v>
      </c>
      <c r="Z4" s="777" t="s">
        <v>499</v>
      </c>
      <c r="AA4" s="777" t="s">
        <v>500</v>
      </c>
      <c r="AB4" s="777" t="s">
        <v>493</v>
      </c>
      <c r="AC4" s="777" t="s">
        <v>103</v>
      </c>
      <c r="AD4" s="778" t="s">
        <v>501</v>
      </c>
      <c r="AE4" s="779" t="s">
        <v>502</v>
      </c>
      <c r="AF4" s="780">
        <v>2480.925769</v>
      </c>
      <c r="AG4" s="780">
        <v>2005.597127</v>
      </c>
      <c r="AH4" s="780">
        <v>3081.515823</v>
      </c>
      <c r="AI4" s="782" t="s">
        <v>233</v>
      </c>
      <c r="AK4" s="769" t="s">
        <v>496</v>
      </c>
      <c r="AL4" s="770" t="s">
        <v>494</v>
      </c>
      <c r="AM4" s="770" t="s">
        <v>499</v>
      </c>
      <c r="AN4" s="770" t="s">
        <v>500</v>
      </c>
      <c r="AO4" s="770" t="s">
        <v>493</v>
      </c>
      <c r="AP4" s="770" t="s">
        <v>504</v>
      </c>
      <c r="AQ4" s="770" t="s">
        <v>501</v>
      </c>
      <c r="AR4" s="784" t="s">
        <v>502</v>
      </c>
      <c r="AS4" s="771">
        <v>127891.6339</v>
      </c>
      <c r="AT4" s="771">
        <v>103388.4596</v>
      </c>
      <c r="AU4" s="771">
        <v>158852.0296</v>
      </c>
      <c r="AV4" s="772" t="s">
        <v>233</v>
      </c>
      <c r="AW4" s="714"/>
    </row>
    <row r="5">
      <c r="A5" s="761"/>
      <c r="B5" s="769" t="s">
        <v>493</v>
      </c>
      <c r="C5" s="770" t="s">
        <v>17</v>
      </c>
      <c r="D5" s="770" t="s">
        <v>494</v>
      </c>
      <c r="E5" s="770" t="s">
        <v>505</v>
      </c>
      <c r="F5" s="770" t="s">
        <v>496</v>
      </c>
      <c r="G5" s="770" t="s">
        <v>103</v>
      </c>
      <c r="H5" s="770">
        <v>2019.0</v>
      </c>
      <c r="I5" s="771">
        <v>20694.58644</v>
      </c>
      <c r="J5" s="771">
        <v>24075.09038</v>
      </c>
      <c r="K5" s="772">
        <v>17818.25009</v>
      </c>
      <c r="M5" s="769" t="s">
        <v>493</v>
      </c>
      <c r="N5" s="770" t="s">
        <v>17</v>
      </c>
      <c r="O5" s="770" t="s">
        <v>494</v>
      </c>
      <c r="P5" s="770" t="s">
        <v>505</v>
      </c>
      <c r="Q5" s="770" t="s">
        <v>496</v>
      </c>
      <c r="R5" s="770" t="s">
        <v>497</v>
      </c>
      <c r="S5" s="770">
        <v>2019.0</v>
      </c>
      <c r="T5" s="771">
        <v>98392.85254</v>
      </c>
      <c r="U5" s="771">
        <v>114465.5306</v>
      </c>
      <c r="V5" s="772">
        <v>84717.25001</v>
      </c>
      <c r="X5" s="776" t="s">
        <v>496</v>
      </c>
      <c r="Y5" s="777" t="s">
        <v>494</v>
      </c>
      <c r="Z5" s="777" t="s">
        <v>507</v>
      </c>
      <c r="AA5" s="777" t="s">
        <v>500</v>
      </c>
      <c r="AB5" s="777" t="s">
        <v>493</v>
      </c>
      <c r="AC5" s="777" t="s">
        <v>103</v>
      </c>
      <c r="AD5" s="778" t="s">
        <v>501</v>
      </c>
      <c r="AE5" s="779" t="s">
        <v>502</v>
      </c>
      <c r="AF5" s="780">
        <v>1715.43498</v>
      </c>
      <c r="AG5" s="780">
        <v>1386.67005</v>
      </c>
      <c r="AH5" s="780">
        <v>2135.645288</v>
      </c>
      <c r="AI5" s="782" t="s">
        <v>233</v>
      </c>
      <c r="AK5" s="769" t="s">
        <v>496</v>
      </c>
      <c r="AL5" s="770" t="s">
        <v>494</v>
      </c>
      <c r="AM5" s="770" t="s">
        <v>507</v>
      </c>
      <c r="AN5" s="770" t="s">
        <v>500</v>
      </c>
      <c r="AO5" s="770" t="s">
        <v>493</v>
      </c>
      <c r="AP5" s="770" t="s">
        <v>504</v>
      </c>
      <c r="AQ5" s="770" t="s">
        <v>501</v>
      </c>
      <c r="AR5" s="784" t="s">
        <v>502</v>
      </c>
      <c r="AS5" s="771">
        <v>1894.01985</v>
      </c>
      <c r="AT5" s="771">
        <v>1531.02894</v>
      </c>
      <c r="AU5" s="771">
        <v>2357.976032</v>
      </c>
      <c r="AV5" s="772" t="s">
        <v>233</v>
      </c>
      <c r="AW5" s="714"/>
    </row>
    <row r="6">
      <c r="A6" s="761"/>
      <c r="B6" s="769" t="s">
        <v>493</v>
      </c>
      <c r="C6" s="770" t="s">
        <v>17</v>
      </c>
      <c r="D6" s="770" t="s">
        <v>494</v>
      </c>
      <c r="E6" s="770" t="s">
        <v>508</v>
      </c>
      <c r="F6" s="770" t="s">
        <v>496</v>
      </c>
      <c r="G6" s="770" t="s">
        <v>103</v>
      </c>
      <c r="H6" s="770">
        <v>2019.0</v>
      </c>
      <c r="I6" s="771">
        <v>17133.41458</v>
      </c>
      <c r="J6" s="771">
        <v>21504.38206</v>
      </c>
      <c r="K6" s="772">
        <v>13281.48106</v>
      </c>
      <c r="M6" s="769" t="s">
        <v>493</v>
      </c>
      <c r="N6" s="770" t="s">
        <v>17</v>
      </c>
      <c r="O6" s="770" t="s">
        <v>494</v>
      </c>
      <c r="P6" s="770" t="s">
        <v>508</v>
      </c>
      <c r="Q6" s="770" t="s">
        <v>496</v>
      </c>
      <c r="R6" s="770" t="s">
        <v>497</v>
      </c>
      <c r="S6" s="770">
        <v>2019.0</v>
      </c>
      <c r="T6" s="771">
        <v>1752.738268</v>
      </c>
      <c r="U6" s="771">
        <v>2199.885679</v>
      </c>
      <c r="V6" s="772">
        <v>1358.687727</v>
      </c>
      <c r="X6" s="786" t="s">
        <v>496</v>
      </c>
      <c r="Y6" s="787" t="s">
        <v>494</v>
      </c>
      <c r="Z6" s="787" t="s">
        <v>509</v>
      </c>
      <c r="AA6" s="787" t="s">
        <v>500</v>
      </c>
      <c r="AB6" s="787" t="s">
        <v>493</v>
      </c>
      <c r="AC6" s="787" t="s">
        <v>103</v>
      </c>
      <c r="AD6" s="788" t="s">
        <v>501</v>
      </c>
      <c r="AE6" s="779" t="s">
        <v>502</v>
      </c>
      <c r="AF6" s="789">
        <v>463.8505735</v>
      </c>
      <c r="AG6" s="789">
        <v>370.4754905</v>
      </c>
      <c r="AH6" s="789">
        <v>581.4274669</v>
      </c>
      <c r="AI6" s="790" t="s">
        <v>233</v>
      </c>
      <c r="AK6" s="769" t="s">
        <v>496</v>
      </c>
      <c r="AL6" s="770" t="s">
        <v>494</v>
      </c>
      <c r="AM6" s="770" t="s">
        <v>509</v>
      </c>
      <c r="AN6" s="770" t="s">
        <v>500</v>
      </c>
      <c r="AO6" s="770" t="s">
        <v>493</v>
      </c>
      <c r="AP6" s="770" t="s">
        <v>504</v>
      </c>
      <c r="AQ6" s="770" t="s">
        <v>501</v>
      </c>
      <c r="AR6" s="784" t="s">
        <v>502</v>
      </c>
      <c r="AS6" s="771">
        <v>8093.958691</v>
      </c>
      <c r="AT6" s="771">
        <v>6464.610561</v>
      </c>
      <c r="AU6" s="771">
        <v>10145.61621</v>
      </c>
      <c r="AV6" s="772" t="s">
        <v>233</v>
      </c>
      <c r="AW6" s="714"/>
    </row>
    <row r="7">
      <c r="A7" s="761"/>
      <c r="B7" s="769" t="s">
        <v>493</v>
      </c>
      <c r="C7" s="770" t="s">
        <v>17</v>
      </c>
      <c r="D7" s="770" t="s">
        <v>494</v>
      </c>
      <c r="E7" s="770" t="s">
        <v>512</v>
      </c>
      <c r="F7" s="770" t="s">
        <v>496</v>
      </c>
      <c r="G7" s="770" t="s">
        <v>103</v>
      </c>
      <c r="H7" s="770">
        <v>2019.0</v>
      </c>
      <c r="I7" s="771">
        <v>3275.622234</v>
      </c>
      <c r="J7" s="771">
        <v>4947.149378</v>
      </c>
      <c r="K7" s="772">
        <v>2065.188716</v>
      </c>
      <c r="M7" s="769" t="s">
        <v>493</v>
      </c>
      <c r="N7" s="770" t="s">
        <v>17</v>
      </c>
      <c r="O7" s="770" t="s">
        <v>494</v>
      </c>
      <c r="P7" s="770" t="s">
        <v>512</v>
      </c>
      <c r="Q7" s="770" t="s">
        <v>496</v>
      </c>
      <c r="R7" s="770" t="s">
        <v>497</v>
      </c>
      <c r="S7" s="770">
        <v>2019.0</v>
      </c>
      <c r="T7" s="771">
        <v>5254.261258</v>
      </c>
      <c r="U7" s="771">
        <v>7935.474074</v>
      </c>
      <c r="V7" s="772">
        <v>3312.665591</v>
      </c>
      <c r="X7" s="786" t="s">
        <v>496</v>
      </c>
      <c r="Y7" s="787" t="s">
        <v>494</v>
      </c>
      <c r="Z7" s="787" t="s">
        <v>513</v>
      </c>
      <c r="AA7" s="787" t="s">
        <v>500</v>
      </c>
      <c r="AB7" s="787" t="s">
        <v>493</v>
      </c>
      <c r="AC7" s="787" t="s">
        <v>103</v>
      </c>
      <c r="AD7" s="788" t="s">
        <v>501</v>
      </c>
      <c r="AE7" s="779" t="s">
        <v>502</v>
      </c>
      <c r="AF7" s="789">
        <v>6363.997457</v>
      </c>
      <c r="AG7" s="789">
        <v>5129.185183</v>
      </c>
      <c r="AH7" s="789">
        <v>7933.386434</v>
      </c>
      <c r="AI7" s="790" t="s">
        <v>233</v>
      </c>
      <c r="AK7" s="769" t="s">
        <v>496</v>
      </c>
      <c r="AL7" s="770" t="s">
        <v>494</v>
      </c>
      <c r="AM7" s="770" t="s">
        <v>513</v>
      </c>
      <c r="AN7" s="770" t="s">
        <v>500</v>
      </c>
      <c r="AO7" s="770" t="s">
        <v>493</v>
      </c>
      <c r="AP7" s="770" t="s">
        <v>504</v>
      </c>
      <c r="AQ7" s="770" t="s">
        <v>501</v>
      </c>
      <c r="AR7" s="784" t="s">
        <v>502</v>
      </c>
      <c r="AS7" s="771">
        <v>1264.086948</v>
      </c>
      <c r="AT7" s="771">
        <v>1018.814996</v>
      </c>
      <c r="AU7" s="771">
        <v>1575.816193</v>
      </c>
      <c r="AV7" s="772" t="s">
        <v>233</v>
      </c>
      <c r="AW7" s="714"/>
    </row>
    <row r="8">
      <c r="A8" s="761"/>
      <c r="B8" s="769" t="s">
        <v>493</v>
      </c>
      <c r="C8" s="770" t="s">
        <v>17</v>
      </c>
      <c r="D8" s="770" t="s">
        <v>494</v>
      </c>
      <c r="E8" s="770" t="s">
        <v>495</v>
      </c>
      <c r="F8" s="770" t="s">
        <v>514</v>
      </c>
      <c r="G8" s="770" t="s">
        <v>103</v>
      </c>
      <c r="H8" s="770">
        <v>2019.0</v>
      </c>
      <c r="I8" s="771">
        <v>49719.73799</v>
      </c>
      <c r="J8" s="771">
        <v>59461.5937</v>
      </c>
      <c r="K8" s="772">
        <v>40301.12175</v>
      </c>
      <c r="M8" s="769" t="s">
        <v>493</v>
      </c>
      <c r="N8" s="770" t="s">
        <v>17</v>
      </c>
      <c r="O8" s="770" t="s">
        <v>494</v>
      </c>
      <c r="P8" s="770" t="s">
        <v>495</v>
      </c>
      <c r="Q8" s="770" t="s">
        <v>514</v>
      </c>
      <c r="R8" s="770" t="s">
        <v>497</v>
      </c>
      <c r="S8" s="770">
        <v>2019.0</v>
      </c>
      <c r="T8" s="771">
        <v>965.9663208</v>
      </c>
      <c r="U8" s="771">
        <v>1155.233298</v>
      </c>
      <c r="V8" s="772">
        <v>782.9793132</v>
      </c>
      <c r="X8" s="776" t="s">
        <v>514</v>
      </c>
      <c r="Y8" s="777" t="s">
        <v>494</v>
      </c>
      <c r="Z8" s="777" t="s">
        <v>499</v>
      </c>
      <c r="AA8" s="777" t="s">
        <v>500</v>
      </c>
      <c r="AB8" s="777" t="s">
        <v>493</v>
      </c>
      <c r="AC8" s="777" t="s">
        <v>103</v>
      </c>
      <c r="AD8" s="778" t="s">
        <v>501</v>
      </c>
      <c r="AE8" s="779" t="s">
        <v>502</v>
      </c>
      <c r="AF8" s="780">
        <v>2294.726197</v>
      </c>
      <c r="AG8" s="780">
        <v>1845.928313</v>
      </c>
      <c r="AH8" s="780">
        <v>2868.655776</v>
      </c>
      <c r="AI8" s="782" t="s">
        <v>233</v>
      </c>
      <c r="AK8" s="769" t="s">
        <v>514</v>
      </c>
      <c r="AL8" s="770" t="s">
        <v>494</v>
      </c>
      <c r="AM8" s="770" t="s">
        <v>499</v>
      </c>
      <c r="AN8" s="770" t="s">
        <v>500</v>
      </c>
      <c r="AO8" s="770" t="s">
        <v>493</v>
      </c>
      <c r="AP8" s="770" t="s">
        <v>504</v>
      </c>
      <c r="AQ8" s="770" t="s">
        <v>501</v>
      </c>
      <c r="AR8" s="784" t="s">
        <v>502</v>
      </c>
      <c r="AS8" s="771">
        <v>118293.0527</v>
      </c>
      <c r="AT8" s="771">
        <v>95157.53797</v>
      </c>
      <c r="AU8" s="771">
        <v>147879.1018</v>
      </c>
      <c r="AV8" s="772" t="s">
        <v>233</v>
      </c>
      <c r="AW8" s="714"/>
    </row>
    <row r="9">
      <c r="A9" s="761"/>
      <c r="B9" s="769" t="s">
        <v>493</v>
      </c>
      <c r="C9" s="770" t="s">
        <v>17</v>
      </c>
      <c r="D9" s="770" t="s">
        <v>494</v>
      </c>
      <c r="E9" s="770" t="s">
        <v>505</v>
      </c>
      <c r="F9" s="770" t="s">
        <v>514</v>
      </c>
      <c r="G9" s="770" t="s">
        <v>103</v>
      </c>
      <c r="H9" s="770">
        <v>2019.0</v>
      </c>
      <c r="I9" s="771">
        <v>18925.60143</v>
      </c>
      <c r="J9" s="771">
        <v>21939.36975</v>
      </c>
      <c r="K9" s="772">
        <v>16099.39372</v>
      </c>
      <c r="M9" s="769" t="s">
        <v>493</v>
      </c>
      <c r="N9" s="770" t="s">
        <v>17</v>
      </c>
      <c r="O9" s="770" t="s">
        <v>494</v>
      </c>
      <c r="P9" s="770" t="s">
        <v>505</v>
      </c>
      <c r="Q9" s="770" t="s">
        <v>514</v>
      </c>
      <c r="R9" s="770" t="s">
        <v>497</v>
      </c>
      <c r="S9" s="770">
        <v>2019.0</v>
      </c>
      <c r="T9" s="771">
        <v>89982.17561</v>
      </c>
      <c r="U9" s="771">
        <v>104311.2013</v>
      </c>
      <c r="V9" s="772">
        <v>76544.91074</v>
      </c>
      <c r="X9" s="776" t="s">
        <v>514</v>
      </c>
      <c r="Y9" s="777" t="s">
        <v>494</v>
      </c>
      <c r="Z9" s="777" t="s">
        <v>507</v>
      </c>
      <c r="AA9" s="777" t="s">
        <v>500</v>
      </c>
      <c r="AB9" s="777" t="s">
        <v>493</v>
      </c>
      <c r="AC9" s="777" t="s">
        <v>103</v>
      </c>
      <c r="AD9" s="778" t="s">
        <v>501</v>
      </c>
      <c r="AE9" s="779" t="s">
        <v>502</v>
      </c>
      <c r="AF9" s="780">
        <v>1531.946829</v>
      </c>
      <c r="AG9" s="780">
        <v>1209.762584</v>
      </c>
      <c r="AH9" s="780">
        <v>1933.867206</v>
      </c>
      <c r="AI9" s="782" t="s">
        <v>233</v>
      </c>
      <c r="AK9" s="769" t="s">
        <v>514</v>
      </c>
      <c r="AL9" s="770" t="s">
        <v>494</v>
      </c>
      <c r="AM9" s="770" t="s">
        <v>507</v>
      </c>
      <c r="AN9" s="770" t="s">
        <v>500</v>
      </c>
      <c r="AO9" s="770" t="s">
        <v>493</v>
      </c>
      <c r="AP9" s="770" t="s">
        <v>504</v>
      </c>
      <c r="AQ9" s="770" t="s">
        <v>501</v>
      </c>
      <c r="AR9" s="784" t="s">
        <v>502</v>
      </c>
      <c r="AS9" s="771">
        <v>1691.429717</v>
      </c>
      <c r="AT9" s="771">
        <v>1335.704573</v>
      </c>
      <c r="AU9" s="771">
        <v>2135.191901</v>
      </c>
      <c r="AV9" s="772" t="s">
        <v>233</v>
      </c>
      <c r="AW9" s="714"/>
    </row>
    <row r="10">
      <c r="A10" s="761"/>
      <c r="B10" s="769" t="s">
        <v>493</v>
      </c>
      <c r="C10" s="770" t="s">
        <v>17</v>
      </c>
      <c r="D10" s="770" t="s">
        <v>494</v>
      </c>
      <c r="E10" s="770" t="s">
        <v>508</v>
      </c>
      <c r="F10" s="770" t="s">
        <v>514</v>
      </c>
      <c r="G10" s="770" t="s">
        <v>103</v>
      </c>
      <c r="H10" s="770">
        <v>2019.0</v>
      </c>
      <c r="I10" s="771">
        <v>14268.30019</v>
      </c>
      <c r="J10" s="771">
        <v>18021.56279</v>
      </c>
      <c r="K10" s="772">
        <v>11011.3018</v>
      </c>
      <c r="M10" s="769" t="s">
        <v>493</v>
      </c>
      <c r="N10" s="770" t="s">
        <v>17</v>
      </c>
      <c r="O10" s="770" t="s">
        <v>494</v>
      </c>
      <c r="P10" s="770" t="s">
        <v>508</v>
      </c>
      <c r="Q10" s="770" t="s">
        <v>514</v>
      </c>
      <c r="R10" s="770" t="s">
        <v>497</v>
      </c>
      <c r="S10" s="770">
        <v>2019.0</v>
      </c>
      <c r="T10" s="771">
        <v>1459.638746</v>
      </c>
      <c r="U10" s="771">
        <v>1843.59531</v>
      </c>
      <c r="V10" s="772">
        <v>1126.44972</v>
      </c>
      <c r="X10" s="786" t="s">
        <v>514</v>
      </c>
      <c r="Y10" s="787" t="s">
        <v>494</v>
      </c>
      <c r="Z10" s="787" t="s">
        <v>509</v>
      </c>
      <c r="AA10" s="787" t="s">
        <v>500</v>
      </c>
      <c r="AB10" s="787" t="s">
        <v>493</v>
      </c>
      <c r="AC10" s="787" t="s">
        <v>103</v>
      </c>
      <c r="AD10" s="788" t="s">
        <v>501</v>
      </c>
      <c r="AE10" s="779" t="s">
        <v>502</v>
      </c>
      <c r="AF10" s="789">
        <v>422.0265976</v>
      </c>
      <c r="AG10" s="789">
        <v>333.5654803</v>
      </c>
      <c r="AH10" s="789">
        <v>532.739715</v>
      </c>
      <c r="AI10" s="790" t="s">
        <v>233</v>
      </c>
      <c r="AK10" s="769" t="s">
        <v>514</v>
      </c>
      <c r="AL10" s="770" t="s">
        <v>494</v>
      </c>
      <c r="AM10" s="770" t="s">
        <v>509</v>
      </c>
      <c r="AN10" s="770" t="s">
        <v>500</v>
      </c>
      <c r="AO10" s="770" t="s">
        <v>493</v>
      </c>
      <c r="AP10" s="770" t="s">
        <v>504</v>
      </c>
      <c r="AQ10" s="770" t="s">
        <v>501</v>
      </c>
      <c r="AR10" s="784" t="s">
        <v>502</v>
      </c>
      <c r="AS10" s="771">
        <v>7364.151393</v>
      </c>
      <c r="AT10" s="771">
        <v>5820.549488</v>
      </c>
      <c r="AU10" s="771">
        <v>9296.039484</v>
      </c>
      <c r="AV10" s="772" t="s">
        <v>233</v>
      </c>
      <c r="AW10" s="714"/>
    </row>
    <row r="11">
      <c r="A11" s="761"/>
      <c r="B11" s="769" t="s">
        <v>493</v>
      </c>
      <c r="C11" s="770" t="s">
        <v>17</v>
      </c>
      <c r="D11" s="770" t="s">
        <v>494</v>
      </c>
      <c r="E11" s="770" t="s">
        <v>512</v>
      </c>
      <c r="F11" s="770" t="s">
        <v>514</v>
      </c>
      <c r="G11" s="770" t="s">
        <v>103</v>
      </c>
      <c r="H11" s="770">
        <v>2019.0</v>
      </c>
      <c r="I11" s="771">
        <v>2795.793939</v>
      </c>
      <c r="J11" s="771">
        <v>4214.130733</v>
      </c>
      <c r="K11" s="772">
        <v>1739.580195</v>
      </c>
      <c r="M11" s="769" t="s">
        <v>493</v>
      </c>
      <c r="N11" s="770" t="s">
        <v>17</v>
      </c>
      <c r="O11" s="770" t="s">
        <v>494</v>
      </c>
      <c r="P11" s="770" t="s">
        <v>512</v>
      </c>
      <c r="Q11" s="770" t="s">
        <v>514</v>
      </c>
      <c r="R11" s="770" t="s">
        <v>497</v>
      </c>
      <c r="S11" s="770">
        <v>2019.0</v>
      </c>
      <c r="T11" s="771">
        <v>4484.592768</v>
      </c>
      <c r="U11" s="771">
        <v>6759.675648</v>
      </c>
      <c r="V11" s="772">
        <v>2790.3733</v>
      </c>
      <c r="X11" s="786" t="s">
        <v>514</v>
      </c>
      <c r="Y11" s="787" t="s">
        <v>494</v>
      </c>
      <c r="Z11" s="787" t="s">
        <v>513</v>
      </c>
      <c r="AA11" s="787" t="s">
        <v>500</v>
      </c>
      <c r="AB11" s="787" t="s">
        <v>493</v>
      </c>
      <c r="AC11" s="787" t="s">
        <v>103</v>
      </c>
      <c r="AD11" s="788" t="s">
        <v>501</v>
      </c>
      <c r="AE11" s="779" t="s">
        <v>502</v>
      </c>
      <c r="AF11" s="789">
        <v>5830.229088</v>
      </c>
      <c r="AG11" s="789">
        <v>4667.30518</v>
      </c>
      <c r="AH11" s="789">
        <v>7266.186978</v>
      </c>
      <c r="AI11" s="790" t="s">
        <v>233</v>
      </c>
      <c r="AK11" s="769" t="s">
        <v>514</v>
      </c>
      <c r="AL11" s="770" t="s">
        <v>494</v>
      </c>
      <c r="AM11" s="770" t="s">
        <v>513</v>
      </c>
      <c r="AN11" s="770" t="s">
        <v>500</v>
      </c>
      <c r="AO11" s="770" t="s">
        <v>493</v>
      </c>
      <c r="AP11" s="770" t="s">
        <v>504</v>
      </c>
      <c r="AQ11" s="770" t="s">
        <v>501</v>
      </c>
      <c r="AR11" s="784" t="s">
        <v>502</v>
      </c>
      <c r="AS11" s="771">
        <v>1158.064022</v>
      </c>
      <c r="AT11" s="771">
        <v>927.0713258</v>
      </c>
      <c r="AU11" s="771">
        <v>1443.289722</v>
      </c>
      <c r="AV11" s="772" t="s">
        <v>233</v>
      </c>
      <c r="AW11" s="714"/>
    </row>
    <row r="12">
      <c r="A12" s="761"/>
      <c r="B12" s="769" t="s">
        <v>493</v>
      </c>
      <c r="C12" s="770" t="s">
        <v>17</v>
      </c>
      <c r="D12" s="770" t="s">
        <v>494</v>
      </c>
      <c r="E12" s="770" t="s">
        <v>495</v>
      </c>
      <c r="F12" s="770" t="s">
        <v>518</v>
      </c>
      <c r="G12" s="770" t="s">
        <v>103</v>
      </c>
      <c r="H12" s="770">
        <v>2019.0</v>
      </c>
      <c r="I12" s="771">
        <v>7087.81383</v>
      </c>
      <c r="J12" s="771">
        <v>11754.74182</v>
      </c>
      <c r="K12" s="772">
        <v>3975.3093</v>
      </c>
      <c r="M12" s="769" t="s">
        <v>493</v>
      </c>
      <c r="N12" s="770" t="s">
        <v>17</v>
      </c>
      <c r="O12" s="770" t="s">
        <v>494</v>
      </c>
      <c r="P12" s="770" t="s">
        <v>495</v>
      </c>
      <c r="Q12" s="770" t="s">
        <v>518</v>
      </c>
      <c r="R12" s="770" t="s">
        <v>497</v>
      </c>
      <c r="S12" s="770">
        <v>2019.0</v>
      </c>
      <c r="T12" s="771">
        <v>137.703651</v>
      </c>
      <c r="U12" s="771">
        <v>228.3737841</v>
      </c>
      <c r="V12" s="772">
        <v>77.23320867</v>
      </c>
      <c r="X12" s="776" t="s">
        <v>518</v>
      </c>
      <c r="Y12" s="777" t="s">
        <v>494</v>
      </c>
      <c r="Z12" s="777" t="s">
        <v>499</v>
      </c>
      <c r="AA12" s="777" t="s">
        <v>500</v>
      </c>
      <c r="AB12" s="777" t="s">
        <v>493</v>
      </c>
      <c r="AC12" s="777" t="s">
        <v>103</v>
      </c>
      <c r="AD12" s="778" t="s">
        <v>501</v>
      </c>
      <c r="AE12" s="779" t="s">
        <v>502</v>
      </c>
      <c r="AF12" s="780">
        <v>20.91761501</v>
      </c>
      <c r="AG12" s="780">
        <v>8.042517521</v>
      </c>
      <c r="AH12" s="780">
        <v>45.5064702</v>
      </c>
      <c r="AI12" s="782" t="s">
        <v>233</v>
      </c>
      <c r="AK12" s="769" t="s">
        <v>518</v>
      </c>
      <c r="AL12" s="770" t="s">
        <v>494</v>
      </c>
      <c r="AM12" s="770" t="s">
        <v>499</v>
      </c>
      <c r="AN12" s="770" t="s">
        <v>500</v>
      </c>
      <c r="AO12" s="770" t="s">
        <v>493</v>
      </c>
      <c r="AP12" s="770" t="s">
        <v>504</v>
      </c>
      <c r="AQ12" s="770" t="s">
        <v>501</v>
      </c>
      <c r="AR12" s="784" t="s">
        <v>502</v>
      </c>
      <c r="AS12" s="771">
        <v>1078.302299</v>
      </c>
      <c r="AT12" s="771">
        <v>414.5914882</v>
      </c>
      <c r="AU12" s="771">
        <v>2345.856898</v>
      </c>
      <c r="AV12" s="772" t="s">
        <v>233</v>
      </c>
      <c r="AW12" s="714"/>
    </row>
    <row r="13">
      <c r="A13" s="761"/>
      <c r="B13" s="769" t="s">
        <v>493</v>
      </c>
      <c r="C13" s="770" t="s">
        <v>17</v>
      </c>
      <c r="D13" s="770" t="s">
        <v>494</v>
      </c>
      <c r="E13" s="770" t="s">
        <v>505</v>
      </c>
      <c r="F13" s="770" t="s">
        <v>518</v>
      </c>
      <c r="G13" s="770" t="s">
        <v>103</v>
      </c>
      <c r="H13" s="770">
        <v>2019.0</v>
      </c>
      <c r="I13" s="771">
        <v>127.5268529</v>
      </c>
      <c r="J13" s="771">
        <v>251.571285</v>
      </c>
      <c r="K13" s="772">
        <v>55.0930087</v>
      </c>
      <c r="M13" s="769" t="s">
        <v>493</v>
      </c>
      <c r="N13" s="770" t="s">
        <v>17</v>
      </c>
      <c r="O13" s="770" t="s">
        <v>494</v>
      </c>
      <c r="P13" s="770" t="s">
        <v>505</v>
      </c>
      <c r="Q13" s="770" t="s">
        <v>518</v>
      </c>
      <c r="R13" s="770" t="s">
        <v>497</v>
      </c>
      <c r="S13" s="770">
        <v>2019.0</v>
      </c>
      <c r="T13" s="771">
        <v>606.3291418</v>
      </c>
      <c r="U13" s="771">
        <v>1196.101039</v>
      </c>
      <c r="V13" s="772">
        <v>261.9408847</v>
      </c>
      <c r="X13" s="776" t="s">
        <v>518</v>
      </c>
      <c r="Y13" s="777" t="s">
        <v>494</v>
      </c>
      <c r="Z13" s="777" t="s">
        <v>507</v>
      </c>
      <c r="AA13" s="777" t="s">
        <v>500</v>
      </c>
      <c r="AB13" s="777" t="s">
        <v>493</v>
      </c>
      <c r="AC13" s="777" t="s">
        <v>103</v>
      </c>
      <c r="AD13" s="778" t="s">
        <v>501</v>
      </c>
      <c r="AE13" s="779" t="s">
        <v>502</v>
      </c>
      <c r="AF13" s="780">
        <v>292.6730551</v>
      </c>
      <c r="AG13" s="780">
        <v>114.9827311</v>
      </c>
      <c r="AH13" s="780">
        <v>557.2490579</v>
      </c>
      <c r="AI13" s="782" t="s">
        <v>233</v>
      </c>
      <c r="AK13" s="769" t="s">
        <v>518</v>
      </c>
      <c r="AL13" s="770" t="s">
        <v>494</v>
      </c>
      <c r="AM13" s="770" t="s">
        <v>507</v>
      </c>
      <c r="AN13" s="770" t="s">
        <v>500</v>
      </c>
      <c r="AO13" s="770" t="s">
        <v>493</v>
      </c>
      <c r="AP13" s="770" t="s">
        <v>504</v>
      </c>
      <c r="AQ13" s="770" t="s">
        <v>501</v>
      </c>
      <c r="AR13" s="784" t="s">
        <v>502</v>
      </c>
      <c r="AS13" s="771">
        <v>323.1417001</v>
      </c>
      <c r="AT13" s="771">
        <v>126.9529756</v>
      </c>
      <c r="AU13" s="771">
        <v>615.2613124</v>
      </c>
      <c r="AV13" s="772" t="s">
        <v>233</v>
      </c>
      <c r="AW13" s="714"/>
    </row>
    <row r="14">
      <c r="A14" s="761"/>
      <c r="B14" s="769" t="s">
        <v>493</v>
      </c>
      <c r="C14" s="770" t="s">
        <v>17</v>
      </c>
      <c r="D14" s="770" t="s">
        <v>494</v>
      </c>
      <c r="E14" s="770" t="s">
        <v>508</v>
      </c>
      <c r="F14" s="770" t="s">
        <v>518</v>
      </c>
      <c r="G14" s="770" t="s">
        <v>103</v>
      </c>
      <c r="H14" s="770">
        <v>2019.0</v>
      </c>
      <c r="I14" s="771">
        <v>3774.418903</v>
      </c>
      <c r="J14" s="771">
        <v>6425.963187</v>
      </c>
      <c r="K14" s="772">
        <v>1817.623218</v>
      </c>
      <c r="M14" s="769" t="s">
        <v>493</v>
      </c>
      <c r="N14" s="770" t="s">
        <v>17</v>
      </c>
      <c r="O14" s="770" t="s">
        <v>494</v>
      </c>
      <c r="P14" s="770" t="s">
        <v>508</v>
      </c>
      <c r="Q14" s="770" t="s">
        <v>518</v>
      </c>
      <c r="R14" s="770" t="s">
        <v>497</v>
      </c>
      <c r="S14" s="770">
        <v>2019.0</v>
      </c>
      <c r="T14" s="771">
        <v>386.1208412</v>
      </c>
      <c r="U14" s="771">
        <v>657.3722671</v>
      </c>
      <c r="V14" s="772">
        <v>185.9417897</v>
      </c>
      <c r="X14" s="786" t="s">
        <v>518</v>
      </c>
      <c r="Y14" s="787" t="s">
        <v>494</v>
      </c>
      <c r="Z14" s="787" t="s">
        <v>509</v>
      </c>
      <c r="AA14" s="787" t="s">
        <v>500</v>
      </c>
      <c r="AB14" s="787" t="s">
        <v>493</v>
      </c>
      <c r="AC14" s="787" t="s">
        <v>103</v>
      </c>
      <c r="AD14" s="788" t="s">
        <v>501</v>
      </c>
      <c r="AE14" s="779" t="s">
        <v>502</v>
      </c>
      <c r="AF14" s="789">
        <v>28.86137203</v>
      </c>
      <c r="AG14" s="789">
        <v>12.95217601</v>
      </c>
      <c r="AH14" s="789">
        <v>56.87301938</v>
      </c>
      <c r="AI14" s="790" t="s">
        <v>233</v>
      </c>
      <c r="AK14" s="769" t="s">
        <v>518</v>
      </c>
      <c r="AL14" s="770" t="s">
        <v>494</v>
      </c>
      <c r="AM14" s="770" t="s">
        <v>509</v>
      </c>
      <c r="AN14" s="770" t="s">
        <v>500</v>
      </c>
      <c r="AO14" s="770" t="s">
        <v>493</v>
      </c>
      <c r="AP14" s="770" t="s">
        <v>504</v>
      </c>
      <c r="AQ14" s="770" t="s">
        <v>501</v>
      </c>
      <c r="AR14" s="784" t="s">
        <v>502</v>
      </c>
      <c r="AS14" s="771">
        <v>503.6163935</v>
      </c>
      <c r="AT14" s="771">
        <v>226.0089424</v>
      </c>
      <c r="AU14" s="771">
        <v>992.4055197</v>
      </c>
      <c r="AV14" s="772" t="s">
        <v>233</v>
      </c>
      <c r="AW14" s="714"/>
    </row>
    <row r="15">
      <c r="A15" s="761"/>
      <c r="B15" s="769" t="s">
        <v>493</v>
      </c>
      <c r="C15" s="770" t="s">
        <v>17</v>
      </c>
      <c r="D15" s="770" t="s">
        <v>494</v>
      </c>
      <c r="E15" s="770" t="s">
        <v>512</v>
      </c>
      <c r="F15" s="770" t="s">
        <v>518</v>
      </c>
      <c r="G15" s="770" t="s">
        <v>103</v>
      </c>
      <c r="H15" s="770">
        <v>2019.0</v>
      </c>
      <c r="I15" s="771">
        <v>245.947013</v>
      </c>
      <c r="J15" s="771">
        <v>583.6269208</v>
      </c>
      <c r="K15" s="772">
        <v>77.52881611</v>
      </c>
      <c r="M15" s="769" t="s">
        <v>493</v>
      </c>
      <c r="N15" s="770" t="s">
        <v>17</v>
      </c>
      <c r="O15" s="770" t="s">
        <v>494</v>
      </c>
      <c r="P15" s="770" t="s">
        <v>512</v>
      </c>
      <c r="Q15" s="770" t="s">
        <v>518</v>
      </c>
      <c r="R15" s="770" t="s">
        <v>497</v>
      </c>
      <c r="S15" s="770">
        <v>2019.0</v>
      </c>
      <c r="T15" s="771">
        <v>394.5112623</v>
      </c>
      <c r="U15" s="771">
        <v>936.1666579</v>
      </c>
      <c r="V15" s="772">
        <v>124.3600836</v>
      </c>
      <c r="X15" s="786" t="s">
        <v>518</v>
      </c>
      <c r="Y15" s="787" t="s">
        <v>494</v>
      </c>
      <c r="Z15" s="787" t="s">
        <v>513</v>
      </c>
      <c r="AA15" s="787" t="s">
        <v>500</v>
      </c>
      <c r="AB15" s="787" t="s">
        <v>493</v>
      </c>
      <c r="AC15" s="787" t="s">
        <v>103</v>
      </c>
      <c r="AD15" s="788" t="s">
        <v>501</v>
      </c>
      <c r="AE15" s="779" t="s">
        <v>502</v>
      </c>
      <c r="AF15" s="789">
        <v>493.244673</v>
      </c>
      <c r="AG15" s="789">
        <v>227.1953838</v>
      </c>
      <c r="AH15" s="789">
        <v>877.3057278</v>
      </c>
      <c r="AI15" s="790" t="s">
        <v>233</v>
      </c>
      <c r="AK15" s="769" t="s">
        <v>518</v>
      </c>
      <c r="AL15" s="770" t="s">
        <v>494</v>
      </c>
      <c r="AM15" s="770" t="s">
        <v>513</v>
      </c>
      <c r="AN15" s="770" t="s">
        <v>500</v>
      </c>
      <c r="AO15" s="770" t="s">
        <v>493</v>
      </c>
      <c r="AP15" s="770" t="s">
        <v>504</v>
      </c>
      <c r="AQ15" s="770" t="s">
        <v>501</v>
      </c>
      <c r="AR15" s="784" t="s">
        <v>502</v>
      </c>
      <c r="AS15" s="771">
        <v>97.97366475</v>
      </c>
      <c r="AT15" s="771">
        <v>45.12803803</v>
      </c>
      <c r="AU15" s="771">
        <v>174.2600822</v>
      </c>
      <c r="AV15" s="772" t="s">
        <v>233</v>
      </c>
      <c r="AW15" s="714"/>
    </row>
    <row r="16">
      <c r="A16" s="761"/>
      <c r="B16" s="769" t="s">
        <v>493</v>
      </c>
      <c r="C16" s="770" t="s">
        <v>17</v>
      </c>
      <c r="D16" s="770" t="s">
        <v>494</v>
      </c>
      <c r="E16" s="770" t="s">
        <v>495</v>
      </c>
      <c r="F16" s="770" t="s">
        <v>519</v>
      </c>
      <c r="G16" s="770" t="s">
        <v>103</v>
      </c>
      <c r="H16" s="770">
        <v>2019.0</v>
      </c>
      <c r="I16" s="771">
        <v>18188.84425</v>
      </c>
      <c r="J16" s="771">
        <v>21491.24627</v>
      </c>
      <c r="K16" s="772">
        <v>15056.86541</v>
      </c>
      <c r="M16" s="769" t="s">
        <v>493</v>
      </c>
      <c r="N16" s="770" t="s">
        <v>17</v>
      </c>
      <c r="O16" s="770" t="s">
        <v>494</v>
      </c>
      <c r="P16" s="770" t="s">
        <v>495</v>
      </c>
      <c r="Q16" s="770" t="s">
        <v>519</v>
      </c>
      <c r="R16" s="770" t="s">
        <v>497</v>
      </c>
      <c r="S16" s="770">
        <v>2019.0</v>
      </c>
      <c r="T16" s="771">
        <v>353.3769821</v>
      </c>
      <c r="U16" s="771">
        <v>417.5367958</v>
      </c>
      <c r="V16" s="772">
        <v>292.5281884</v>
      </c>
      <c r="X16" s="776" t="s">
        <v>519</v>
      </c>
      <c r="Y16" s="777" t="s">
        <v>494</v>
      </c>
      <c r="Z16" s="777" t="s">
        <v>499</v>
      </c>
      <c r="AA16" s="777" t="s">
        <v>500</v>
      </c>
      <c r="AB16" s="777" t="s">
        <v>493</v>
      </c>
      <c r="AC16" s="777" t="s">
        <v>103</v>
      </c>
      <c r="AD16" s="778" t="s">
        <v>501</v>
      </c>
      <c r="AE16" s="779" t="s">
        <v>502</v>
      </c>
      <c r="AF16" s="780">
        <v>1892.424823</v>
      </c>
      <c r="AG16" s="780">
        <v>1519.046222</v>
      </c>
      <c r="AH16" s="780">
        <v>2385.627686</v>
      </c>
      <c r="AI16" s="782" t="s">
        <v>233</v>
      </c>
      <c r="AK16" s="769" t="s">
        <v>519</v>
      </c>
      <c r="AL16" s="770" t="s">
        <v>494</v>
      </c>
      <c r="AM16" s="770" t="s">
        <v>499</v>
      </c>
      <c r="AN16" s="770" t="s">
        <v>500</v>
      </c>
      <c r="AO16" s="770" t="s">
        <v>493</v>
      </c>
      <c r="AP16" s="770" t="s">
        <v>504</v>
      </c>
      <c r="AQ16" s="770" t="s">
        <v>501</v>
      </c>
      <c r="AR16" s="784" t="s">
        <v>502</v>
      </c>
      <c r="AS16" s="771">
        <v>97554.43141</v>
      </c>
      <c r="AT16" s="771">
        <v>78306.77799</v>
      </c>
      <c r="AU16" s="771">
        <v>122979.0212</v>
      </c>
      <c r="AV16" s="772" t="s">
        <v>233</v>
      </c>
      <c r="AW16" s="714"/>
    </row>
    <row r="17">
      <c r="A17" s="761"/>
      <c r="B17" s="769" t="s">
        <v>493</v>
      </c>
      <c r="C17" s="770" t="s">
        <v>17</v>
      </c>
      <c r="D17" s="770" t="s">
        <v>494</v>
      </c>
      <c r="E17" s="770" t="s">
        <v>505</v>
      </c>
      <c r="F17" s="770" t="s">
        <v>519</v>
      </c>
      <c r="G17" s="770" t="s">
        <v>103</v>
      </c>
      <c r="H17" s="770">
        <v>2019.0</v>
      </c>
      <c r="I17" s="771">
        <v>16249.79464</v>
      </c>
      <c r="J17" s="771">
        <v>19147.26431</v>
      </c>
      <c r="K17" s="772">
        <v>13520.41883</v>
      </c>
      <c r="M17" s="769" t="s">
        <v>493</v>
      </c>
      <c r="N17" s="770" t="s">
        <v>17</v>
      </c>
      <c r="O17" s="770" t="s">
        <v>494</v>
      </c>
      <c r="P17" s="770" t="s">
        <v>505</v>
      </c>
      <c r="Q17" s="770" t="s">
        <v>519</v>
      </c>
      <c r="R17" s="770" t="s">
        <v>497</v>
      </c>
      <c r="S17" s="770">
        <v>2019.0</v>
      </c>
      <c r="T17" s="771">
        <v>77259.99515</v>
      </c>
      <c r="U17" s="771">
        <v>91036.07646</v>
      </c>
      <c r="V17" s="772">
        <v>64283.11965</v>
      </c>
      <c r="X17" s="776" t="s">
        <v>519</v>
      </c>
      <c r="Y17" s="777" t="s">
        <v>494</v>
      </c>
      <c r="Z17" s="777" t="s">
        <v>507</v>
      </c>
      <c r="AA17" s="777" t="s">
        <v>500</v>
      </c>
      <c r="AB17" s="777" t="s">
        <v>493</v>
      </c>
      <c r="AC17" s="777" t="s">
        <v>103</v>
      </c>
      <c r="AD17" s="778" t="s">
        <v>501</v>
      </c>
      <c r="AE17" s="779" t="s">
        <v>502</v>
      </c>
      <c r="AF17" s="780">
        <v>8.267385867</v>
      </c>
      <c r="AG17" s="780">
        <v>3.927620619</v>
      </c>
      <c r="AH17" s="780">
        <v>14.64691538</v>
      </c>
      <c r="AI17" s="782" t="s">
        <v>233</v>
      </c>
      <c r="AK17" s="769" t="s">
        <v>519</v>
      </c>
      <c r="AL17" s="770" t="s">
        <v>494</v>
      </c>
      <c r="AM17" s="770" t="s">
        <v>507</v>
      </c>
      <c r="AN17" s="770" t="s">
        <v>500</v>
      </c>
      <c r="AO17" s="770" t="s">
        <v>493</v>
      </c>
      <c r="AP17" s="770" t="s">
        <v>504</v>
      </c>
      <c r="AQ17" s="770" t="s">
        <v>501</v>
      </c>
      <c r="AR17" s="784" t="s">
        <v>502</v>
      </c>
      <c r="AS17" s="771">
        <v>9.128059719</v>
      </c>
      <c r="AT17" s="771">
        <v>4.336504446</v>
      </c>
      <c r="AU17" s="771">
        <v>16.17172834</v>
      </c>
      <c r="AV17" s="772" t="s">
        <v>233</v>
      </c>
      <c r="AW17" s="714"/>
    </row>
    <row r="18">
      <c r="A18" s="761"/>
      <c r="B18" s="769" t="s">
        <v>493</v>
      </c>
      <c r="C18" s="770" t="s">
        <v>17</v>
      </c>
      <c r="D18" s="770" t="s">
        <v>494</v>
      </c>
      <c r="E18" s="770" t="s">
        <v>508</v>
      </c>
      <c r="F18" s="770" t="s">
        <v>519</v>
      </c>
      <c r="G18" s="770" t="s">
        <v>103</v>
      </c>
      <c r="H18" s="770">
        <v>2019.0</v>
      </c>
      <c r="I18" s="771">
        <v>517.050853</v>
      </c>
      <c r="J18" s="771">
        <v>885.5151104</v>
      </c>
      <c r="K18" s="772">
        <v>280.7029298</v>
      </c>
      <c r="M18" s="769" t="s">
        <v>493</v>
      </c>
      <c r="N18" s="770" t="s">
        <v>17</v>
      </c>
      <c r="O18" s="770" t="s">
        <v>494</v>
      </c>
      <c r="P18" s="770" t="s">
        <v>508</v>
      </c>
      <c r="Q18" s="770" t="s">
        <v>519</v>
      </c>
      <c r="R18" s="770" t="s">
        <v>497</v>
      </c>
      <c r="S18" s="770">
        <v>2019.0</v>
      </c>
      <c r="T18" s="771">
        <v>52.89399917</v>
      </c>
      <c r="U18" s="771">
        <v>90.58767672</v>
      </c>
      <c r="V18" s="772">
        <v>28.71574517</v>
      </c>
      <c r="X18" s="786" t="s">
        <v>519</v>
      </c>
      <c r="Y18" s="787" t="s">
        <v>494</v>
      </c>
      <c r="Z18" s="787" t="s">
        <v>509</v>
      </c>
      <c r="AA18" s="787" t="s">
        <v>500</v>
      </c>
      <c r="AB18" s="787" t="s">
        <v>493</v>
      </c>
      <c r="AC18" s="787" t="s">
        <v>103</v>
      </c>
      <c r="AD18" s="788" t="s">
        <v>501</v>
      </c>
      <c r="AE18" s="779" t="s">
        <v>502</v>
      </c>
      <c r="AF18" s="789">
        <v>135.9505195</v>
      </c>
      <c r="AG18" s="789">
        <v>79.87216221</v>
      </c>
      <c r="AH18" s="789">
        <v>199.4294098</v>
      </c>
      <c r="AI18" s="790" t="s">
        <v>233</v>
      </c>
      <c r="AK18" s="769" t="s">
        <v>519</v>
      </c>
      <c r="AL18" s="770" t="s">
        <v>494</v>
      </c>
      <c r="AM18" s="770" t="s">
        <v>509</v>
      </c>
      <c r="AN18" s="770" t="s">
        <v>500</v>
      </c>
      <c r="AO18" s="770" t="s">
        <v>493</v>
      </c>
      <c r="AP18" s="770" t="s">
        <v>504</v>
      </c>
      <c r="AQ18" s="770" t="s">
        <v>501</v>
      </c>
      <c r="AR18" s="784" t="s">
        <v>502</v>
      </c>
      <c r="AS18" s="771">
        <v>2372.268036</v>
      </c>
      <c r="AT18" s="771">
        <v>1393.728969</v>
      </c>
      <c r="AU18" s="771">
        <v>3479.942674</v>
      </c>
      <c r="AV18" s="772" t="s">
        <v>233</v>
      </c>
      <c r="AW18" s="714"/>
    </row>
    <row r="19">
      <c r="A19" s="761"/>
      <c r="B19" s="769" t="s">
        <v>493</v>
      </c>
      <c r="C19" s="770" t="s">
        <v>17</v>
      </c>
      <c r="D19" s="770" t="s">
        <v>494</v>
      </c>
      <c r="E19" s="770" t="s">
        <v>512</v>
      </c>
      <c r="F19" s="770" t="s">
        <v>519</v>
      </c>
      <c r="G19" s="770" t="s">
        <v>103</v>
      </c>
      <c r="H19" s="770">
        <v>2019.0</v>
      </c>
      <c r="I19" s="771">
        <v>1368.346182</v>
      </c>
      <c r="J19" s="771">
        <v>2161.042506</v>
      </c>
      <c r="K19" s="772">
        <v>735.2240075</v>
      </c>
      <c r="M19" s="769" t="s">
        <v>493</v>
      </c>
      <c r="N19" s="770" t="s">
        <v>17</v>
      </c>
      <c r="O19" s="770" t="s">
        <v>494</v>
      </c>
      <c r="P19" s="770" t="s">
        <v>512</v>
      </c>
      <c r="Q19" s="770" t="s">
        <v>519</v>
      </c>
      <c r="R19" s="770" t="s">
        <v>497</v>
      </c>
      <c r="S19" s="770">
        <v>2019.0</v>
      </c>
      <c r="T19" s="771">
        <v>2194.895448</v>
      </c>
      <c r="U19" s="771">
        <v>3466.419845</v>
      </c>
      <c r="V19" s="772">
        <v>1179.335938</v>
      </c>
      <c r="X19" s="786" t="s">
        <v>519</v>
      </c>
      <c r="Y19" s="787" t="s">
        <v>494</v>
      </c>
      <c r="Z19" s="787" t="s">
        <v>513</v>
      </c>
      <c r="AA19" s="787" t="s">
        <v>500</v>
      </c>
      <c r="AB19" s="787" t="s">
        <v>493</v>
      </c>
      <c r="AC19" s="787" t="s">
        <v>103</v>
      </c>
      <c r="AD19" s="788" t="s">
        <v>501</v>
      </c>
      <c r="AE19" s="779" t="s">
        <v>502</v>
      </c>
      <c r="AF19" s="789">
        <v>2037.718298</v>
      </c>
      <c r="AG19" s="789">
        <v>1626.160135</v>
      </c>
      <c r="AH19" s="789">
        <v>2570.959311</v>
      </c>
      <c r="AI19" s="790" t="s">
        <v>233</v>
      </c>
      <c r="AK19" s="769" t="s">
        <v>519</v>
      </c>
      <c r="AL19" s="770" t="s">
        <v>494</v>
      </c>
      <c r="AM19" s="770" t="s">
        <v>513</v>
      </c>
      <c r="AN19" s="770" t="s">
        <v>500</v>
      </c>
      <c r="AO19" s="770" t="s">
        <v>493</v>
      </c>
      <c r="AP19" s="770" t="s">
        <v>504</v>
      </c>
      <c r="AQ19" s="770" t="s">
        <v>501</v>
      </c>
      <c r="AR19" s="784" t="s">
        <v>502</v>
      </c>
      <c r="AS19" s="771">
        <v>404.7539493</v>
      </c>
      <c r="AT19" s="771">
        <v>323.0057548</v>
      </c>
      <c r="AU19" s="771">
        <v>510.6721256</v>
      </c>
      <c r="AV19" s="772" t="s">
        <v>233</v>
      </c>
      <c r="AW19" s="714"/>
    </row>
    <row r="20">
      <c r="A20" s="761"/>
      <c r="B20" s="769" t="s">
        <v>493</v>
      </c>
      <c r="C20" s="770" t="s">
        <v>17</v>
      </c>
      <c r="D20" s="770" t="s">
        <v>494</v>
      </c>
      <c r="E20" s="770" t="s">
        <v>495</v>
      </c>
      <c r="F20" s="770" t="s">
        <v>521</v>
      </c>
      <c r="G20" s="770" t="s">
        <v>103</v>
      </c>
      <c r="H20" s="770">
        <v>2019.0</v>
      </c>
      <c r="I20" s="771">
        <v>931.9152524</v>
      </c>
      <c r="J20" s="771">
        <v>2201.299584</v>
      </c>
      <c r="K20" s="772">
        <v>291.0599585</v>
      </c>
      <c r="M20" s="769" t="s">
        <v>493</v>
      </c>
      <c r="N20" s="770" t="s">
        <v>17</v>
      </c>
      <c r="O20" s="770" t="s">
        <v>494</v>
      </c>
      <c r="P20" s="770" t="s">
        <v>495</v>
      </c>
      <c r="Q20" s="770" t="s">
        <v>521</v>
      </c>
      <c r="R20" s="770" t="s">
        <v>497</v>
      </c>
      <c r="S20" s="770">
        <v>2019.0</v>
      </c>
      <c r="T20" s="771">
        <v>18.10546041</v>
      </c>
      <c r="U20" s="771">
        <v>42.76734645</v>
      </c>
      <c r="V20" s="772">
        <v>5.654778739</v>
      </c>
      <c r="X20" s="776" t="s">
        <v>521</v>
      </c>
      <c r="Y20" s="777" t="s">
        <v>494</v>
      </c>
      <c r="Z20" s="777" t="s">
        <v>499</v>
      </c>
      <c r="AA20" s="777" t="s">
        <v>500</v>
      </c>
      <c r="AB20" s="777" t="s">
        <v>493</v>
      </c>
      <c r="AC20" s="777" t="s">
        <v>103</v>
      </c>
      <c r="AD20" s="778" t="s">
        <v>501</v>
      </c>
      <c r="AE20" s="779" t="s">
        <v>502</v>
      </c>
      <c r="AF20" s="780">
        <v>0.0</v>
      </c>
      <c r="AG20" s="780">
        <v>0.0</v>
      </c>
      <c r="AH20" s="780">
        <v>0.0</v>
      </c>
      <c r="AI20" s="782" t="s">
        <v>233</v>
      </c>
      <c r="AK20" s="769" t="s">
        <v>521</v>
      </c>
      <c r="AL20" s="770" t="s">
        <v>494</v>
      </c>
      <c r="AM20" s="770" t="s">
        <v>499</v>
      </c>
      <c r="AN20" s="770" t="s">
        <v>500</v>
      </c>
      <c r="AO20" s="770" t="s">
        <v>493</v>
      </c>
      <c r="AP20" s="770" t="s">
        <v>504</v>
      </c>
      <c r="AQ20" s="770" t="s">
        <v>501</v>
      </c>
      <c r="AR20" s="784" t="s">
        <v>502</v>
      </c>
      <c r="AS20" s="771">
        <v>0.0</v>
      </c>
      <c r="AT20" s="771">
        <v>0.0</v>
      </c>
      <c r="AU20" s="771">
        <v>0.0</v>
      </c>
      <c r="AV20" s="772" t="s">
        <v>233</v>
      </c>
      <c r="AW20" s="714"/>
    </row>
    <row r="21">
      <c r="A21" s="761"/>
      <c r="B21" s="769" t="s">
        <v>493</v>
      </c>
      <c r="C21" s="770" t="s">
        <v>17</v>
      </c>
      <c r="D21" s="770" t="s">
        <v>494</v>
      </c>
      <c r="E21" s="770" t="s">
        <v>505</v>
      </c>
      <c r="F21" s="770" t="s">
        <v>521</v>
      </c>
      <c r="G21" s="770" t="s">
        <v>103</v>
      </c>
      <c r="H21" s="770">
        <v>2019.0</v>
      </c>
      <c r="I21" s="771">
        <v>0.0</v>
      </c>
      <c r="J21" s="771">
        <v>0.0</v>
      </c>
      <c r="K21" s="772">
        <v>0.0</v>
      </c>
      <c r="M21" s="769" t="s">
        <v>493</v>
      </c>
      <c r="N21" s="770" t="s">
        <v>17</v>
      </c>
      <c r="O21" s="770" t="s">
        <v>494</v>
      </c>
      <c r="P21" s="770" t="s">
        <v>505</v>
      </c>
      <c r="Q21" s="770" t="s">
        <v>521</v>
      </c>
      <c r="R21" s="770" t="s">
        <v>497</v>
      </c>
      <c r="S21" s="770">
        <v>2019.0</v>
      </c>
      <c r="T21" s="771">
        <v>0.0</v>
      </c>
      <c r="U21" s="771">
        <v>0.0</v>
      </c>
      <c r="V21" s="772">
        <v>0.0</v>
      </c>
      <c r="X21" s="776" t="s">
        <v>521</v>
      </c>
      <c r="Y21" s="777" t="s">
        <v>494</v>
      </c>
      <c r="Z21" s="777" t="s">
        <v>507</v>
      </c>
      <c r="AA21" s="777" t="s">
        <v>500</v>
      </c>
      <c r="AB21" s="777" t="s">
        <v>493</v>
      </c>
      <c r="AC21" s="777" t="s">
        <v>103</v>
      </c>
      <c r="AD21" s="778" t="s">
        <v>501</v>
      </c>
      <c r="AE21" s="779" t="s">
        <v>502</v>
      </c>
      <c r="AF21" s="780">
        <v>1.921077672</v>
      </c>
      <c r="AG21" s="780">
        <v>0.4868179226</v>
      </c>
      <c r="AH21" s="780">
        <v>5.102830034</v>
      </c>
      <c r="AI21" s="782" t="s">
        <v>233</v>
      </c>
      <c r="AK21" s="769" t="s">
        <v>521</v>
      </c>
      <c r="AL21" s="770" t="s">
        <v>494</v>
      </c>
      <c r="AM21" s="770" t="s">
        <v>507</v>
      </c>
      <c r="AN21" s="770" t="s">
        <v>500</v>
      </c>
      <c r="AO21" s="770" t="s">
        <v>493</v>
      </c>
      <c r="AP21" s="770" t="s">
        <v>504</v>
      </c>
      <c r="AQ21" s="770" t="s">
        <v>501</v>
      </c>
      <c r="AR21" s="784" t="s">
        <v>502</v>
      </c>
      <c r="AS21" s="771">
        <v>2.121070916</v>
      </c>
      <c r="AT21" s="771">
        <v>0.5374979638</v>
      </c>
      <c r="AU21" s="771">
        <v>5.634058701</v>
      </c>
      <c r="AV21" s="772" t="s">
        <v>233</v>
      </c>
      <c r="AW21" s="714"/>
    </row>
    <row r="22">
      <c r="A22" s="761"/>
      <c r="B22" s="769" t="s">
        <v>493</v>
      </c>
      <c r="C22" s="770" t="s">
        <v>17</v>
      </c>
      <c r="D22" s="770" t="s">
        <v>494</v>
      </c>
      <c r="E22" s="770" t="s">
        <v>508</v>
      </c>
      <c r="F22" s="770" t="s">
        <v>521</v>
      </c>
      <c r="G22" s="770" t="s">
        <v>103</v>
      </c>
      <c r="H22" s="770">
        <v>2019.0</v>
      </c>
      <c r="I22" s="771">
        <v>258.3427183</v>
      </c>
      <c r="J22" s="771">
        <v>612.0285497</v>
      </c>
      <c r="K22" s="772">
        <v>76.68427762</v>
      </c>
      <c r="M22" s="769" t="s">
        <v>493</v>
      </c>
      <c r="N22" s="770" t="s">
        <v>17</v>
      </c>
      <c r="O22" s="770" t="s">
        <v>494</v>
      </c>
      <c r="P22" s="770" t="s">
        <v>508</v>
      </c>
      <c r="Q22" s="770" t="s">
        <v>521</v>
      </c>
      <c r="R22" s="770" t="s">
        <v>497</v>
      </c>
      <c r="S22" s="770">
        <v>2019.0</v>
      </c>
      <c r="T22" s="771">
        <v>26.42830865</v>
      </c>
      <c r="U22" s="771">
        <v>62.61016187</v>
      </c>
      <c r="V22" s="772">
        <v>7.844756649</v>
      </c>
      <c r="X22" s="786" t="s">
        <v>521</v>
      </c>
      <c r="Y22" s="787" t="s">
        <v>494</v>
      </c>
      <c r="Z22" s="787" t="s">
        <v>509</v>
      </c>
      <c r="AA22" s="787" t="s">
        <v>500</v>
      </c>
      <c r="AB22" s="787" t="s">
        <v>493</v>
      </c>
      <c r="AC22" s="787" t="s">
        <v>103</v>
      </c>
      <c r="AD22" s="788" t="s">
        <v>501</v>
      </c>
      <c r="AE22" s="779" t="s">
        <v>502</v>
      </c>
      <c r="AF22" s="789">
        <v>0.0</v>
      </c>
      <c r="AG22" s="789">
        <v>0.0</v>
      </c>
      <c r="AH22" s="789">
        <v>0.0</v>
      </c>
      <c r="AI22" s="790" t="s">
        <v>233</v>
      </c>
      <c r="AK22" s="769" t="s">
        <v>521</v>
      </c>
      <c r="AL22" s="770" t="s">
        <v>494</v>
      </c>
      <c r="AM22" s="770" t="s">
        <v>509</v>
      </c>
      <c r="AN22" s="770" t="s">
        <v>500</v>
      </c>
      <c r="AO22" s="770" t="s">
        <v>493</v>
      </c>
      <c r="AP22" s="770" t="s">
        <v>504</v>
      </c>
      <c r="AQ22" s="770" t="s">
        <v>501</v>
      </c>
      <c r="AR22" s="784" t="s">
        <v>502</v>
      </c>
      <c r="AS22" s="771">
        <v>0.0</v>
      </c>
      <c r="AT22" s="771">
        <v>0.0</v>
      </c>
      <c r="AU22" s="771">
        <v>0.0</v>
      </c>
      <c r="AV22" s="772" t="s">
        <v>233</v>
      </c>
      <c r="AW22" s="714"/>
    </row>
    <row r="23">
      <c r="A23" s="761"/>
      <c r="B23" s="769" t="s">
        <v>493</v>
      </c>
      <c r="C23" s="770" t="s">
        <v>17</v>
      </c>
      <c r="D23" s="770" t="s">
        <v>494</v>
      </c>
      <c r="E23" s="770" t="s">
        <v>512</v>
      </c>
      <c r="F23" s="770" t="s">
        <v>521</v>
      </c>
      <c r="G23" s="770" t="s">
        <v>103</v>
      </c>
      <c r="H23" s="770">
        <v>2019.0</v>
      </c>
      <c r="I23" s="771">
        <v>0.0</v>
      </c>
      <c r="J23" s="771">
        <v>0.0</v>
      </c>
      <c r="K23" s="772">
        <v>0.0</v>
      </c>
      <c r="M23" s="769" t="s">
        <v>493</v>
      </c>
      <c r="N23" s="770" t="s">
        <v>17</v>
      </c>
      <c r="O23" s="770" t="s">
        <v>494</v>
      </c>
      <c r="P23" s="770" t="s">
        <v>512</v>
      </c>
      <c r="Q23" s="770" t="s">
        <v>521</v>
      </c>
      <c r="R23" s="770" t="s">
        <v>497</v>
      </c>
      <c r="S23" s="770">
        <v>2019.0</v>
      </c>
      <c r="T23" s="771">
        <v>0.0</v>
      </c>
      <c r="U23" s="771">
        <v>0.0</v>
      </c>
      <c r="V23" s="772">
        <v>0.0</v>
      </c>
      <c r="X23" s="786" t="s">
        <v>521</v>
      </c>
      <c r="Y23" s="787" t="s">
        <v>494</v>
      </c>
      <c r="Z23" s="787" t="s">
        <v>513</v>
      </c>
      <c r="AA23" s="787" t="s">
        <v>500</v>
      </c>
      <c r="AB23" s="787" t="s">
        <v>493</v>
      </c>
      <c r="AC23" s="787" t="s">
        <v>103</v>
      </c>
      <c r="AD23" s="788" t="s">
        <v>501</v>
      </c>
      <c r="AE23" s="779" t="s">
        <v>502</v>
      </c>
      <c r="AF23" s="789">
        <v>7.732447761</v>
      </c>
      <c r="AG23" s="789">
        <v>1.823581243</v>
      </c>
      <c r="AH23" s="789">
        <v>20.83853994</v>
      </c>
      <c r="AI23" s="790" t="s">
        <v>233</v>
      </c>
      <c r="AK23" s="769" t="s">
        <v>521</v>
      </c>
      <c r="AL23" s="770" t="s">
        <v>494</v>
      </c>
      <c r="AM23" s="770" t="s">
        <v>513</v>
      </c>
      <c r="AN23" s="770" t="s">
        <v>500</v>
      </c>
      <c r="AO23" s="770" t="s">
        <v>493</v>
      </c>
      <c r="AP23" s="770" t="s">
        <v>504</v>
      </c>
      <c r="AQ23" s="770" t="s">
        <v>501</v>
      </c>
      <c r="AR23" s="784" t="s">
        <v>502</v>
      </c>
      <c r="AS23" s="771">
        <v>1.535903551</v>
      </c>
      <c r="AT23" s="771">
        <v>0.3622196997</v>
      </c>
      <c r="AU23" s="771">
        <v>4.139179271</v>
      </c>
      <c r="AV23" s="772" t="s">
        <v>233</v>
      </c>
      <c r="AW23" s="714"/>
    </row>
    <row r="24">
      <c r="A24" s="761"/>
      <c r="B24" s="769" t="s">
        <v>493</v>
      </c>
      <c r="C24" s="770" t="s">
        <v>17</v>
      </c>
      <c r="D24" s="770" t="s">
        <v>494</v>
      </c>
      <c r="E24" s="770" t="s">
        <v>495</v>
      </c>
      <c r="F24" s="770" t="s">
        <v>523</v>
      </c>
      <c r="G24" s="770" t="s">
        <v>103</v>
      </c>
      <c r="H24" s="770">
        <v>2019.0</v>
      </c>
      <c r="I24" s="771">
        <v>1856.458748</v>
      </c>
      <c r="J24" s="771">
        <v>2824.845076</v>
      </c>
      <c r="K24" s="772">
        <v>1053.284993</v>
      </c>
      <c r="M24" s="769" t="s">
        <v>493</v>
      </c>
      <c r="N24" s="770" t="s">
        <v>17</v>
      </c>
      <c r="O24" s="770" t="s">
        <v>494</v>
      </c>
      <c r="P24" s="770" t="s">
        <v>495</v>
      </c>
      <c r="Q24" s="770" t="s">
        <v>523</v>
      </c>
      <c r="R24" s="770" t="s">
        <v>497</v>
      </c>
      <c r="S24" s="770">
        <v>2019.0</v>
      </c>
      <c r="T24" s="771">
        <v>36.06770065</v>
      </c>
      <c r="U24" s="771">
        <v>54.88172937</v>
      </c>
      <c r="V24" s="772">
        <v>20.46345919</v>
      </c>
      <c r="X24" s="776" t="s">
        <v>523</v>
      </c>
      <c r="Y24" s="777" t="s">
        <v>494</v>
      </c>
      <c r="Z24" s="777" t="s">
        <v>507</v>
      </c>
      <c r="AA24" s="777" t="s">
        <v>500</v>
      </c>
      <c r="AB24" s="777" t="s">
        <v>493</v>
      </c>
      <c r="AC24" s="777" t="s">
        <v>103</v>
      </c>
      <c r="AD24" s="778" t="s">
        <v>501</v>
      </c>
      <c r="AE24" s="779" t="s">
        <v>502</v>
      </c>
      <c r="AF24" s="780">
        <v>13.3721877</v>
      </c>
      <c r="AG24" s="780">
        <v>5.320164207</v>
      </c>
      <c r="AH24" s="780">
        <v>26.55255579</v>
      </c>
      <c r="AI24" s="782" t="s">
        <v>233</v>
      </c>
      <c r="AK24" s="769" t="s">
        <v>523</v>
      </c>
      <c r="AL24" s="770" t="s">
        <v>494</v>
      </c>
      <c r="AM24" s="770" t="s">
        <v>507</v>
      </c>
      <c r="AN24" s="770" t="s">
        <v>500</v>
      </c>
      <c r="AO24" s="770" t="s">
        <v>493</v>
      </c>
      <c r="AP24" s="770" t="s">
        <v>504</v>
      </c>
      <c r="AQ24" s="770" t="s">
        <v>501</v>
      </c>
      <c r="AR24" s="784" t="s">
        <v>502</v>
      </c>
      <c r="AS24" s="771">
        <v>14.7642955</v>
      </c>
      <c r="AT24" s="771">
        <v>5.874018387</v>
      </c>
      <c r="AU24" s="771">
        <v>29.31680205</v>
      </c>
      <c r="AV24" s="772" t="s">
        <v>233</v>
      </c>
      <c r="AW24" s="714"/>
    </row>
    <row r="25">
      <c r="A25" s="761"/>
      <c r="B25" s="769" t="s">
        <v>493</v>
      </c>
      <c r="C25" s="770" t="s">
        <v>17</v>
      </c>
      <c r="D25" s="770" t="s">
        <v>494</v>
      </c>
      <c r="E25" s="770" t="s">
        <v>505</v>
      </c>
      <c r="F25" s="770" t="s">
        <v>523</v>
      </c>
      <c r="G25" s="770" t="s">
        <v>103</v>
      </c>
      <c r="H25" s="770">
        <v>2019.0</v>
      </c>
      <c r="I25" s="771">
        <v>0.0</v>
      </c>
      <c r="J25" s="771">
        <v>0.0</v>
      </c>
      <c r="K25" s="772">
        <v>0.0</v>
      </c>
      <c r="M25" s="769" t="s">
        <v>493</v>
      </c>
      <c r="N25" s="770" t="s">
        <v>17</v>
      </c>
      <c r="O25" s="770" t="s">
        <v>494</v>
      </c>
      <c r="P25" s="770" t="s">
        <v>505</v>
      </c>
      <c r="Q25" s="770" t="s">
        <v>523</v>
      </c>
      <c r="R25" s="770" t="s">
        <v>497</v>
      </c>
      <c r="S25" s="770">
        <v>2019.0</v>
      </c>
      <c r="T25" s="771">
        <v>0.0</v>
      </c>
      <c r="U25" s="771">
        <v>0.0</v>
      </c>
      <c r="V25" s="772">
        <v>0.0</v>
      </c>
      <c r="X25" s="786" t="s">
        <v>523</v>
      </c>
      <c r="Y25" s="787" t="s">
        <v>494</v>
      </c>
      <c r="Z25" s="787" t="s">
        <v>513</v>
      </c>
      <c r="AA25" s="787" t="s">
        <v>500</v>
      </c>
      <c r="AB25" s="787" t="s">
        <v>493</v>
      </c>
      <c r="AC25" s="787" t="s">
        <v>103</v>
      </c>
      <c r="AD25" s="788" t="s">
        <v>501</v>
      </c>
      <c r="AE25" s="779" t="s">
        <v>502</v>
      </c>
      <c r="AF25" s="789">
        <v>19.72548081</v>
      </c>
      <c r="AG25" s="789">
        <v>8.508775949</v>
      </c>
      <c r="AH25" s="789">
        <v>36.30306514</v>
      </c>
      <c r="AI25" s="790" t="s">
        <v>233</v>
      </c>
      <c r="AK25" s="769" t="s">
        <v>523</v>
      </c>
      <c r="AL25" s="770" t="s">
        <v>494</v>
      </c>
      <c r="AM25" s="770" t="s">
        <v>513</v>
      </c>
      <c r="AN25" s="770" t="s">
        <v>500</v>
      </c>
      <c r="AO25" s="770" t="s">
        <v>493</v>
      </c>
      <c r="AP25" s="770" t="s">
        <v>504</v>
      </c>
      <c r="AQ25" s="770" t="s">
        <v>501</v>
      </c>
      <c r="AR25" s="784" t="s">
        <v>502</v>
      </c>
      <c r="AS25" s="771">
        <v>3.918091263</v>
      </c>
      <c r="AT25" s="771">
        <v>1.690106367</v>
      </c>
      <c r="AU25" s="771">
        <v>7.210912815</v>
      </c>
      <c r="AV25" s="772" t="s">
        <v>233</v>
      </c>
      <c r="AW25" s="714"/>
    </row>
    <row r="26">
      <c r="A26" s="761"/>
      <c r="B26" s="769" t="s">
        <v>493</v>
      </c>
      <c r="C26" s="770" t="s">
        <v>17</v>
      </c>
      <c r="D26" s="770" t="s">
        <v>494</v>
      </c>
      <c r="E26" s="770" t="s">
        <v>508</v>
      </c>
      <c r="F26" s="770" t="s">
        <v>523</v>
      </c>
      <c r="G26" s="770" t="s">
        <v>103</v>
      </c>
      <c r="H26" s="770">
        <v>2019.0</v>
      </c>
      <c r="I26" s="771">
        <v>905.6977597</v>
      </c>
      <c r="J26" s="771">
        <v>1609.610302</v>
      </c>
      <c r="K26" s="772">
        <v>446.2005687</v>
      </c>
      <c r="M26" s="769" t="s">
        <v>493</v>
      </c>
      <c r="N26" s="770" t="s">
        <v>17</v>
      </c>
      <c r="O26" s="770" t="s">
        <v>494</v>
      </c>
      <c r="P26" s="770" t="s">
        <v>508</v>
      </c>
      <c r="Q26" s="770" t="s">
        <v>523</v>
      </c>
      <c r="R26" s="770" t="s">
        <v>497</v>
      </c>
      <c r="S26" s="770">
        <v>2019.0</v>
      </c>
      <c r="T26" s="771">
        <v>92.6523499</v>
      </c>
      <c r="U26" s="771">
        <v>164.6621904</v>
      </c>
      <c r="V26" s="772">
        <v>45.64605662</v>
      </c>
      <c r="X26" s="776" t="s">
        <v>496</v>
      </c>
      <c r="Y26" s="777" t="s">
        <v>494</v>
      </c>
      <c r="Z26" s="777" t="s">
        <v>499</v>
      </c>
      <c r="AA26" s="777" t="s">
        <v>27</v>
      </c>
      <c r="AB26" s="777" t="s">
        <v>493</v>
      </c>
      <c r="AC26" s="777" t="s">
        <v>103</v>
      </c>
      <c r="AD26" s="778" t="s">
        <v>501</v>
      </c>
      <c r="AE26" s="779" t="s">
        <v>502</v>
      </c>
      <c r="AF26" s="780">
        <v>3823.608947</v>
      </c>
      <c r="AG26" s="780">
        <v>3161.391417</v>
      </c>
      <c r="AH26" s="780">
        <v>4707.099799</v>
      </c>
      <c r="AI26" s="782" t="s">
        <v>233</v>
      </c>
      <c r="AK26" s="769" t="s">
        <v>496</v>
      </c>
      <c r="AL26" s="770" t="s">
        <v>494</v>
      </c>
      <c r="AM26" s="770" t="s">
        <v>499</v>
      </c>
      <c r="AN26" s="770" t="s">
        <v>27</v>
      </c>
      <c r="AO26" s="770" t="s">
        <v>493</v>
      </c>
      <c r="AP26" s="770" t="s">
        <v>504</v>
      </c>
      <c r="AQ26" s="770" t="s">
        <v>501</v>
      </c>
      <c r="AR26" s="784" t="s">
        <v>502</v>
      </c>
      <c r="AS26" s="771">
        <v>166622.59</v>
      </c>
      <c r="AT26" s="771">
        <v>137764.9318</v>
      </c>
      <c r="AU26" s="771">
        <v>205122.7441</v>
      </c>
      <c r="AV26" s="772" t="s">
        <v>233</v>
      </c>
      <c r="AW26" s="714"/>
    </row>
    <row r="27">
      <c r="A27" s="761"/>
      <c r="B27" s="769" t="s">
        <v>493</v>
      </c>
      <c r="C27" s="770" t="s">
        <v>17</v>
      </c>
      <c r="D27" s="770" t="s">
        <v>494</v>
      </c>
      <c r="E27" s="770" t="s">
        <v>512</v>
      </c>
      <c r="F27" s="770" t="s">
        <v>523</v>
      </c>
      <c r="G27" s="770" t="s">
        <v>103</v>
      </c>
      <c r="H27" s="770">
        <v>2019.0</v>
      </c>
      <c r="I27" s="771">
        <v>0.0</v>
      </c>
      <c r="J27" s="771">
        <v>0.0</v>
      </c>
      <c r="K27" s="772">
        <v>0.0</v>
      </c>
      <c r="M27" s="769" t="s">
        <v>493</v>
      </c>
      <c r="N27" s="770" t="s">
        <v>17</v>
      </c>
      <c r="O27" s="770" t="s">
        <v>494</v>
      </c>
      <c r="P27" s="770" t="s">
        <v>512</v>
      </c>
      <c r="Q27" s="770" t="s">
        <v>523</v>
      </c>
      <c r="R27" s="770" t="s">
        <v>497</v>
      </c>
      <c r="S27" s="770">
        <v>2019.0</v>
      </c>
      <c r="T27" s="771">
        <v>0.0</v>
      </c>
      <c r="U27" s="771">
        <v>0.0</v>
      </c>
      <c r="V27" s="772">
        <v>0.0</v>
      </c>
      <c r="X27" s="776" t="s">
        <v>496</v>
      </c>
      <c r="Y27" s="777" t="s">
        <v>494</v>
      </c>
      <c r="Z27" s="777" t="s">
        <v>507</v>
      </c>
      <c r="AA27" s="777" t="s">
        <v>27</v>
      </c>
      <c r="AB27" s="777" t="s">
        <v>493</v>
      </c>
      <c r="AC27" s="777" t="s">
        <v>103</v>
      </c>
      <c r="AD27" s="778" t="s">
        <v>501</v>
      </c>
      <c r="AE27" s="779" t="s">
        <v>502</v>
      </c>
      <c r="AF27" s="780">
        <v>3814.759117</v>
      </c>
      <c r="AG27" s="780">
        <v>3159.082446</v>
      </c>
      <c r="AH27" s="780">
        <v>4686.764973</v>
      </c>
      <c r="AI27" s="782" t="s">
        <v>233</v>
      </c>
      <c r="AK27" s="769" t="s">
        <v>496</v>
      </c>
      <c r="AL27" s="770" t="s">
        <v>494</v>
      </c>
      <c r="AM27" s="770" t="s">
        <v>507</v>
      </c>
      <c r="AN27" s="770" t="s">
        <v>27</v>
      </c>
      <c r="AO27" s="770" t="s">
        <v>493</v>
      </c>
      <c r="AP27" s="770" t="s">
        <v>504</v>
      </c>
      <c r="AQ27" s="770" t="s">
        <v>501</v>
      </c>
      <c r="AR27" s="784" t="s">
        <v>502</v>
      </c>
      <c r="AS27" s="771">
        <v>3589.140211</v>
      </c>
      <c r="AT27" s="771">
        <v>2972.242674</v>
      </c>
      <c r="AU27" s="771">
        <v>4409.572429</v>
      </c>
      <c r="AV27" s="772" t="s">
        <v>233</v>
      </c>
      <c r="AW27" s="714"/>
    </row>
    <row r="28">
      <c r="A28" s="761"/>
      <c r="B28" s="769" t="s">
        <v>493</v>
      </c>
      <c r="C28" s="770" t="s">
        <v>524</v>
      </c>
      <c r="D28" s="770" t="s">
        <v>494</v>
      </c>
      <c r="E28" s="770" t="s">
        <v>495</v>
      </c>
      <c r="F28" s="770" t="s">
        <v>496</v>
      </c>
      <c r="G28" s="770" t="s">
        <v>103</v>
      </c>
      <c r="H28" s="770">
        <v>2019.0</v>
      </c>
      <c r="I28" s="771">
        <v>77869.60317</v>
      </c>
      <c r="J28" s="771">
        <v>94199.29164</v>
      </c>
      <c r="K28" s="772">
        <v>63035.08211</v>
      </c>
      <c r="M28" s="786" t="s">
        <v>493</v>
      </c>
      <c r="N28" s="787" t="s">
        <v>524</v>
      </c>
      <c r="O28" s="787" t="s">
        <v>494</v>
      </c>
      <c r="P28" s="787" t="s">
        <v>495</v>
      </c>
      <c r="Q28" s="787" t="s">
        <v>496</v>
      </c>
      <c r="R28" s="787" t="s">
        <v>497</v>
      </c>
      <c r="S28" s="788">
        <v>2019.0</v>
      </c>
      <c r="T28" s="789">
        <v>566.4928213</v>
      </c>
      <c r="U28" s="789">
        <v>685.2895137</v>
      </c>
      <c r="V28" s="790">
        <v>458.5733078</v>
      </c>
      <c r="X28" s="786" t="s">
        <v>496</v>
      </c>
      <c r="Y28" s="787" t="s">
        <v>494</v>
      </c>
      <c r="Z28" s="787" t="s">
        <v>509</v>
      </c>
      <c r="AA28" s="787" t="s">
        <v>27</v>
      </c>
      <c r="AB28" s="787" t="s">
        <v>493</v>
      </c>
      <c r="AC28" s="787" t="s">
        <v>103</v>
      </c>
      <c r="AD28" s="788" t="s">
        <v>501</v>
      </c>
      <c r="AE28" s="779" t="s">
        <v>502</v>
      </c>
      <c r="AF28" s="789">
        <v>961.7471079</v>
      </c>
      <c r="AG28" s="789">
        <v>792.9326369</v>
      </c>
      <c r="AH28" s="789">
        <v>1194.558115</v>
      </c>
      <c r="AI28" s="790" t="s">
        <v>233</v>
      </c>
      <c r="AK28" s="769" t="s">
        <v>496</v>
      </c>
      <c r="AL28" s="770" t="s">
        <v>494</v>
      </c>
      <c r="AM28" s="770" t="s">
        <v>509</v>
      </c>
      <c r="AN28" s="770" t="s">
        <v>27</v>
      </c>
      <c r="AO28" s="770" t="s">
        <v>493</v>
      </c>
      <c r="AP28" s="770" t="s">
        <v>504</v>
      </c>
      <c r="AQ28" s="770" t="s">
        <v>501</v>
      </c>
      <c r="AR28" s="784" t="s">
        <v>502</v>
      </c>
      <c r="AS28" s="771">
        <v>14245.97273</v>
      </c>
      <c r="AT28" s="771">
        <v>11745.39193</v>
      </c>
      <c r="AU28" s="771">
        <v>17694.50845</v>
      </c>
      <c r="AV28" s="772" t="s">
        <v>233</v>
      </c>
      <c r="AW28" s="714"/>
    </row>
    <row r="29">
      <c r="A29" s="761"/>
      <c r="B29" s="769" t="s">
        <v>493</v>
      </c>
      <c r="C29" s="770" t="s">
        <v>524</v>
      </c>
      <c r="D29" s="770" t="s">
        <v>494</v>
      </c>
      <c r="E29" s="770" t="s">
        <v>505</v>
      </c>
      <c r="F29" s="770" t="s">
        <v>496</v>
      </c>
      <c r="G29" s="770" t="s">
        <v>103</v>
      </c>
      <c r="H29" s="770">
        <v>2019.0</v>
      </c>
      <c r="I29" s="771">
        <v>43793.94762</v>
      </c>
      <c r="J29" s="771">
        <v>55178.25368</v>
      </c>
      <c r="K29" s="772">
        <v>33620.14304</v>
      </c>
      <c r="M29" s="776" t="s">
        <v>493</v>
      </c>
      <c r="N29" s="777" t="s">
        <v>524</v>
      </c>
      <c r="O29" s="777" t="s">
        <v>494</v>
      </c>
      <c r="P29" s="777" t="s">
        <v>505</v>
      </c>
      <c r="Q29" s="777" t="s">
        <v>496</v>
      </c>
      <c r="R29" s="777" t="s">
        <v>497</v>
      </c>
      <c r="S29" s="778">
        <v>2019.0</v>
      </c>
      <c r="T29" s="780">
        <v>85582.9175</v>
      </c>
      <c r="U29" s="780">
        <v>107830.3325</v>
      </c>
      <c r="V29" s="782">
        <v>65701.0862</v>
      </c>
      <c r="X29" s="786" t="s">
        <v>496</v>
      </c>
      <c r="Y29" s="787" t="s">
        <v>494</v>
      </c>
      <c r="Z29" s="787" t="s">
        <v>513</v>
      </c>
      <c r="AA29" s="787" t="s">
        <v>27</v>
      </c>
      <c r="AB29" s="787" t="s">
        <v>493</v>
      </c>
      <c r="AC29" s="787" t="s">
        <v>103</v>
      </c>
      <c r="AD29" s="788" t="s">
        <v>501</v>
      </c>
      <c r="AE29" s="779" t="s">
        <v>502</v>
      </c>
      <c r="AF29" s="789">
        <v>13907.73873</v>
      </c>
      <c r="AG29" s="789">
        <v>11531.3321</v>
      </c>
      <c r="AH29" s="789">
        <v>17075.42981</v>
      </c>
      <c r="AI29" s="790" t="s">
        <v>233</v>
      </c>
      <c r="AK29" s="769" t="s">
        <v>496</v>
      </c>
      <c r="AL29" s="770" t="s">
        <v>494</v>
      </c>
      <c r="AM29" s="770" t="s">
        <v>513</v>
      </c>
      <c r="AN29" s="770" t="s">
        <v>27</v>
      </c>
      <c r="AO29" s="770" t="s">
        <v>493</v>
      </c>
      <c r="AP29" s="770" t="s">
        <v>504</v>
      </c>
      <c r="AQ29" s="770" t="s">
        <v>501</v>
      </c>
      <c r="AR29" s="784" t="s">
        <v>502</v>
      </c>
      <c r="AS29" s="771">
        <v>2457.694788</v>
      </c>
      <c r="AT29" s="771">
        <v>2037.750016</v>
      </c>
      <c r="AU29" s="771">
        <v>3017.470753</v>
      </c>
      <c r="AV29" s="772" t="s">
        <v>233</v>
      </c>
      <c r="AW29" s="714"/>
    </row>
    <row r="30">
      <c r="A30" s="761"/>
      <c r="B30" s="769" t="s">
        <v>493</v>
      </c>
      <c r="C30" s="770" t="s">
        <v>524</v>
      </c>
      <c r="D30" s="770" t="s">
        <v>494</v>
      </c>
      <c r="E30" s="770" t="s">
        <v>508</v>
      </c>
      <c r="F30" s="770" t="s">
        <v>496</v>
      </c>
      <c r="G30" s="770" t="s">
        <v>103</v>
      </c>
      <c r="H30" s="770">
        <v>2019.0</v>
      </c>
      <c r="I30" s="771">
        <v>13842.25491</v>
      </c>
      <c r="J30" s="771">
        <v>18390.66731</v>
      </c>
      <c r="K30" s="772">
        <v>10142.81876</v>
      </c>
      <c r="M30" s="776" t="s">
        <v>493</v>
      </c>
      <c r="N30" s="777" t="s">
        <v>524</v>
      </c>
      <c r="O30" s="777" t="s">
        <v>494</v>
      </c>
      <c r="P30" s="777" t="s">
        <v>508</v>
      </c>
      <c r="Q30" s="777" t="s">
        <v>496</v>
      </c>
      <c r="R30" s="777" t="s">
        <v>497</v>
      </c>
      <c r="S30" s="778">
        <v>2019.0</v>
      </c>
      <c r="T30" s="780">
        <v>569.3891224</v>
      </c>
      <c r="U30" s="780">
        <v>756.4841122</v>
      </c>
      <c r="V30" s="782">
        <v>417.2160323</v>
      </c>
      <c r="X30" s="776" t="s">
        <v>514</v>
      </c>
      <c r="Y30" s="777" t="s">
        <v>494</v>
      </c>
      <c r="Z30" s="777" t="s">
        <v>499</v>
      </c>
      <c r="AA30" s="777" t="s">
        <v>27</v>
      </c>
      <c r="AB30" s="777" t="s">
        <v>493</v>
      </c>
      <c r="AC30" s="777" t="s">
        <v>103</v>
      </c>
      <c r="AD30" s="778" t="s">
        <v>501</v>
      </c>
      <c r="AE30" s="779" t="s">
        <v>502</v>
      </c>
      <c r="AF30" s="780">
        <v>3535.385867</v>
      </c>
      <c r="AG30" s="780">
        <v>2886.656387</v>
      </c>
      <c r="AH30" s="780">
        <v>4361.221233</v>
      </c>
      <c r="AI30" s="782" t="s">
        <v>233</v>
      </c>
      <c r="AK30" s="769" t="s">
        <v>514</v>
      </c>
      <c r="AL30" s="770" t="s">
        <v>494</v>
      </c>
      <c r="AM30" s="770" t="s">
        <v>499</v>
      </c>
      <c r="AN30" s="770" t="s">
        <v>27</v>
      </c>
      <c r="AO30" s="770" t="s">
        <v>493</v>
      </c>
      <c r="AP30" s="770" t="s">
        <v>504</v>
      </c>
      <c r="AQ30" s="770" t="s">
        <v>501</v>
      </c>
      <c r="AR30" s="784" t="s">
        <v>502</v>
      </c>
      <c r="AS30" s="771">
        <v>154062.6037</v>
      </c>
      <c r="AT30" s="771">
        <v>125792.7184</v>
      </c>
      <c r="AU30" s="771">
        <v>190050.2869</v>
      </c>
      <c r="AV30" s="772" t="s">
        <v>233</v>
      </c>
      <c r="AW30" s="714"/>
    </row>
    <row r="31">
      <c r="A31" s="761"/>
      <c r="B31" s="769" t="s">
        <v>493</v>
      </c>
      <c r="C31" s="770" t="s">
        <v>524</v>
      </c>
      <c r="D31" s="770" t="s">
        <v>494</v>
      </c>
      <c r="E31" s="770" t="s">
        <v>512</v>
      </c>
      <c r="F31" s="770" t="s">
        <v>496</v>
      </c>
      <c r="G31" s="770" t="s">
        <v>103</v>
      </c>
      <c r="H31" s="770">
        <v>2019.0</v>
      </c>
      <c r="I31" s="771">
        <v>8831.275616</v>
      </c>
      <c r="J31" s="771">
        <v>11111.19233</v>
      </c>
      <c r="K31" s="772">
        <v>6783.907793</v>
      </c>
      <c r="M31" s="786" t="s">
        <v>493</v>
      </c>
      <c r="N31" s="787" t="s">
        <v>524</v>
      </c>
      <c r="O31" s="787" t="s">
        <v>494</v>
      </c>
      <c r="P31" s="787" t="s">
        <v>512</v>
      </c>
      <c r="Q31" s="787" t="s">
        <v>496</v>
      </c>
      <c r="R31" s="787" t="s">
        <v>497</v>
      </c>
      <c r="S31" s="788">
        <v>2019.0</v>
      </c>
      <c r="T31" s="789">
        <v>5810.23973</v>
      </c>
      <c r="U31" s="789">
        <v>7310.233985</v>
      </c>
      <c r="V31" s="790">
        <v>4463.243171</v>
      </c>
      <c r="X31" s="776" t="s">
        <v>514</v>
      </c>
      <c r="Y31" s="777" t="s">
        <v>494</v>
      </c>
      <c r="Z31" s="777" t="s">
        <v>507</v>
      </c>
      <c r="AA31" s="777" t="s">
        <v>27</v>
      </c>
      <c r="AB31" s="777" t="s">
        <v>493</v>
      </c>
      <c r="AC31" s="777" t="s">
        <v>103</v>
      </c>
      <c r="AD31" s="778" t="s">
        <v>501</v>
      </c>
      <c r="AE31" s="779" t="s">
        <v>502</v>
      </c>
      <c r="AF31" s="780">
        <v>3201.40251</v>
      </c>
      <c r="AG31" s="780">
        <v>2572.434284</v>
      </c>
      <c r="AH31" s="780">
        <v>3998.177302</v>
      </c>
      <c r="AI31" s="782" t="s">
        <v>233</v>
      </c>
      <c r="AK31" s="769" t="s">
        <v>514</v>
      </c>
      <c r="AL31" s="770" t="s">
        <v>494</v>
      </c>
      <c r="AM31" s="770" t="s">
        <v>507</v>
      </c>
      <c r="AN31" s="770" t="s">
        <v>27</v>
      </c>
      <c r="AO31" s="770" t="s">
        <v>493</v>
      </c>
      <c r="AP31" s="770" t="s">
        <v>504</v>
      </c>
      <c r="AQ31" s="770" t="s">
        <v>501</v>
      </c>
      <c r="AR31" s="784" t="s">
        <v>502</v>
      </c>
      <c r="AS31" s="771">
        <v>3012.059773</v>
      </c>
      <c r="AT31" s="771">
        <v>2420.291045</v>
      </c>
      <c r="AU31" s="771">
        <v>3761.710369</v>
      </c>
      <c r="AV31" s="772" t="s">
        <v>233</v>
      </c>
      <c r="AW31" s="714"/>
    </row>
    <row r="32">
      <c r="A32" s="761"/>
      <c r="B32" s="769" t="s">
        <v>493</v>
      </c>
      <c r="C32" s="770" t="s">
        <v>524</v>
      </c>
      <c r="D32" s="770" t="s">
        <v>494</v>
      </c>
      <c r="E32" s="770" t="s">
        <v>495</v>
      </c>
      <c r="F32" s="770" t="s">
        <v>514</v>
      </c>
      <c r="G32" s="770" t="s">
        <v>103</v>
      </c>
      <c r="H32" s="770">
        <v>2019.0</v>
      </c>
      <c r="I32" s="771">
        <v>62809.04</v>
      </c>
      <c r="J32" s="771">
        <v>77895.22123</v>
      </c>
      <c r="K32" s="772">
        <v>49641.50366</v>
      </c>
      <c r="M32" s="786" t="s">
        <v>493</v>
      </c>
      <c r="N32" s="787" t="s">
        <v>524</v>
      </c>
      <c r="O32" s="787" t="s">
        <v>494</v>
      </c>
      <c r="P32" s="787" t="s">
        <v>495</v>
      </c>
      <c r="Q32" s="787" t="s">
        <v>514</v>
      </c>
      <c r="R32" s="787" t="s">
        <v>497</v>
      </c>
      <c r="S32" s="788">
        <v>2019.0</v>
      </c>
      <c r="T32" s="789">
        <v>456.9288763</v>
      </c>
      <c r="U32" s="789">
        <v>566.6791899</v>
      </c>
      <c r="V32" s="790">
        <v>361.1364938</v>
      </c>
      <c r="X32" s="786" t="s">
        <v>514</v>
      </c>
      <c r="Y32" s="787" t="s">
        <v>494</v>
      </c>
      <c r="Z32" s="787" t="s">
        <v>509</v>
      </c>
      <c r="AA32" s="787" t="s">
        <v>27</v>
      </c>
      <c r="AB32" s="787" t="s">
        <v>493</v>
      </c>
      <c r="AC32" s="787" t="s">
        <v>103</v>
      </c>
      <c r="AD32" s="788" t="s">
        <v>501</v>
      </c>
      <c r="AE32" s="779" t="s">
        <v>502</v>
      </c>
      <c r="AF32" s="789">
        <v>848.9223243</v>
      </c>
      <c r="AG32" s="789">
        <v>684.6548773</v>
      </c>
      <c r="AH32" s="789">
        <v>1063.768423</v>
      </c>
      <c r="AI32" s="790" t="s">
        <v>233</v>
      </c>
      <c r="AK32" s="769" t="s">
        <v>514</v>
      </c>
      <c r="AL32" s="770" t="s">
        <v>494</v>
      </c>
      <c r="AM32" s="770" t="s">
        <v>509</v>
      </c>
      <c r="AN32" s="770" t="s">
        <v>27</v>
      </c>
      <c r="AO32" s="770" t="s">
        <v>493</v>
      </c>
      <c r="AP32" s="770" t="s">
        <v>504</v>
      </c>
      <c r="AQ32" s="770" t="s">
        <v>501</v>
      </c>
      <c r="AR32" s="784" t="s">
        <v>502</v>
      </c>
      <c r="AS32" s="771">
        <v>12574.74463</v>
      </c>
      <c r="AT32" s="771">
        <v>10141.51707</v>
      </c>
      <c r="AU32" s="771">
        <v>15757.1734</v>
      </c>
      <c r="AV32" s="772" t="s">
        <v>233</v>
      </c>
      <c r="AW32" s="714"/>
    </row>
    <row r="33">
      <c r="A33" s="761"/>
      <c r="B33" s="769" t="s">
        <v>493</v>
      </c>
      <c r="C33" s="770" t="s">
        <v>524</v>
      </c>
      <c r="D33" s="770" t="s">
        <v>494</v>
      </c>
      <c r="E33" s="770" t="s">
        <v>505</v>
      </c>
      <c r="F33" s="770" t="s">
        <v>514</v>
      </c>
      <c r="G33" s="770" t="s">
        <v>103</v>
      </c>
      <c r="H33" s="770">
        <v>2019.0</v>
      </c>
      <c r="I33" s="771">
        <v>39267.86073</v>
      </c>
      <c r="J33" s="771">
        <v>50034.95216</v>
      </c>
      <c r="K33" s="772">
        <v>29639.56611</v>
      </c>
      <c r="M33" s="776" t="s">
        <v>493</v>
      </c>
      <c r="N33" s="777" t="s">
        <v>524</v>
      </c>
      <c r="O33" s="777" t="s">
        <v>494</v>
      </c>
      <c r="P33" s="777" t="s">
        <v>505</v>
      </c>
      <c r="Q33" s="777" t="s">
        <v>514</v>
      </c>
      <c r="R33" s="777" t="s">
        <v>497</v>
      </c>
      <c r="S33" s="778">
        <v>2019.0</v>
      </c>
      <c r="T33" s="780">
        <v>76737.95736</v>
      </c>
      <c r="U33" s="780">
        <v>97779.20045</v>
      </c>
      <c r="V33" s="782">
        <v>57922.17141</v>
      </c>
      <c r="X33" s="786" t="s">
        <v>514</v>
      </c>
      <c r="Y33" s="787" t="s">
        <v>494</v>
      </c>
      <c r="Z33" s="787" t="s">
        <v>513</v>
      </c>
      <c r="AA33" s="787" t="s">
        <v>27</v>
      </c>
      <c r="AB33" s="787" t="s">
        <v>493</v>
      </c>
      <c r="AC33" s="787" t="s">
        <v>103</v>
      </c>
      <c r="AD33" s="788" t="s">
        <v>501</v>
      </c>
      <c r="AE33" s="779" t="s">
        <v>502</v>
      </c>
      <c r="AF33" s="789">
        <v>12131.5791</v>
      </c>
      <c r="AG33" s="789">
        <v>9772.484515</v>
      </c>
      <c r="AH33" s="789">
        <v>15078.78546</v>
      </c>
      <c r="AI33" s="790" t="s">
        <v>233</v>
      </c>
      <c r="AK33" s="769" t="s">
        <v>514</v>
      </c>
      <c r="AL33" s="770" t="s">
        <v>494</v>
      </c>
      <c r="AM33" s="770" t="s">
        <v>513</v>
      </c>
      <c r="AN33" s="770" t="s">
        <v>27</v>
      </c>
      <c r="AO33" s="770" t="s">
        <v>493</v>
      </c>
      <c r="AP33" s="770" t="s">
        <v>504</v>
      </c>
      <c r="AQ33" s="770" t="s">
        <v>501</v>
      </c>
      <c r="AR33" s="784" t="s">
        <v>502</v>
      </c>
      <c r="AS33" s="771">
        <v>2143.822179</v>
      </c>
      <c r="AT33" s="771">
        <v>1726.936689</v>
      </c>
      <c r="AU33" s="771">
        <v>2664.635364</v>
      </c>
      <c r="AV33" s="772" t="s">
        <v>233</v>
      </c>
      <c r="AW33" s="714"/>
    </row>
    <row r="34">
      <c r="A34" s="761"/>
      <c r="B34" s="769" t="s">
        <v>493</v>
      </c>
      <c r="C34" s="770" t="s">
        <v>524</v>
      </c>
      <c r="D34" s="770" t="s">
        <v>494</v>
      </c>
      <c r="E34" s="770" t="s">
        <v>508</v>
      </c>
      <c r="F34" s="770" t="s">
        <v>514</v>
      </c>
      <c r="G34" s="770" t="s">
        <v>103</v>
      </c>
      <c r="H34" s="770">
        <v>2019.0</v>
      </c>
      <c r="I34" s="771">
        <v>9346.715013</v>
      </c>
      <c r="J34" s="771">
        <v>13059.59243</v>
      </c>
      <c r="K34" s="772">
        <v>6268.009063</v>
      </c>
      <c r="M34" s="776" t="s">
        <v>493</v>
      </c>
      <c r="N34" s="777" t="s">
        <v>524</v>
      </c>
      <c r="O34" s="777" t="s">
        <v>494</v>
      </c>
      <c r="P34" s="777" t="s">
        <v>508</v>
      </c>
      <c r="Q34" s="777" t="s">
        <v>514</v>
      </c>
      <c r="R34" s="777" t="s">
        <v>497</v>
      </c>
      <c r="S34" s="778">
        <v>2019.0</v>
      </c>
      <c r="T34" s="780">
        <v>384.4689968</v>
      </c>
      <c r="U34" s="780">
        <v>537.1949818</v>
      </c>
      <c r="V34" s="782">
        <v>257.8291039</v>
      </c>
      <c r="X34" s="776" t="s">
        <v>518</v>
      </c>
      <c r="Y34" s="777" t="s">
        <v>494</v>
      </c>
      <c r="Z34" s="777" t="s">
        <v>499</v>
      </c>
      <c r="AA34" s="777" t="s">
        <v>27</v>
      </c>
      <c r="AB34" s="777" t="s">
        <v>493</v>
      </c>
      <c r="AC34" s="777" t="s">
        <v>103</v>
      </c>
      <c r="AD34" s="778" t="s">
        <v>501</v>
      </c>
      <c r="AE34" s="779" t="s">
        <v>502</v>
      </c>
      <c r="AF34" s="780">
        <v>27.40055133</v>
      </c>
      <c r="AG34" s="780">
        <v>11.43404968</v>
      </c>
      <c r="AH34" s="780">
        <v>58.43016722</v>
      </c>
      <c r="AI34" s="782" t="s">
        <v>233</v>
      </c>
      <c r="AK34" s="769" t="s">
        <v>518</v>
      </c>
      <c r="AL34" s="770" t="s">
        <v>494</v>
      </c>
      <c r="AM34" s="770" t="s">
        <v>499</v>
      </c>
      <c r="AN34" s="770" t="s">
        <v>27</v>
      </c>
      <c r="AO34" s="770" t="s">
        <v>493</v>
      </c>
      <c r="AP34" s="770" t="s">
        <v>504</v>
      </c>
      <c r="AQ34" s="770" t="s">
        <v>501</v>
      </c>
      <c r="AR34" s="784" t="s">
        <v>502</v>
      </c>
      <c r="AS34" s="771">
        <v>1194.042302</v>
      </c>
      <c r="AT34" s="771">
        <v>498.2651202</v>
      </c>
      <c r="AU34" s="771">
        <v>2546.229473</v>
      </c>
      <c r="AV34" s="772" t="s">
        <v>233</v>
      </c>
      <c r="AW34" s="714"/>
    </row>
    <row r="35">
      <c r="A35" s="761"/>
      <c r="B35" s="769" t="s">
        <v>493</v>
      </c>
      <c r="C35" s="770" t="s">
        <v>524</v>
      </c>
      <c r="D35" s="770" t="s">
        <v>494</v>
      </c>
      <c r="E35" s="770" t="s">
        <v>512</v>
      </c>
      <c r="F35" s="770" t="s">
        <v>514</v>
      </c>
      <c r="G35" s="770" t="s">
        <v>103</v>
      </c>
      <c r="H35" s="770">
        <v>2019.0</v>
      </c>
      <c r="I35" s="771">
        <v>7206.745957</v>
      </c>
      <c r="J35" s="771">
        <v>9413.811837</v>
      </c>
      <c r="K35" s="772">
        <v>5355.631568</v>
      </c>
      <c r="M35" s="786" t="s">
        <v>493</v>
      </c>
      <c r="N35" s="787" t="s">
        <v>524</v>
      </c>
      <c r="O35" s="787" t="s">
        <v>494</v>
      </c>
      <c r="P35" s="787" t="s">
        <v>512</v>
      </c>
      <c r="Q35" s="787" t="s">
        <v>514</v>
      </c>
      <c r="R35" s="787" t="s">
        <v>497</v>
      </c>
      <c r="S35" s="788">
        <v>2019.0</v>
      </c>
      <c r="T35" s="789">
        <v>4741.43527</v>
      </c>
      <c r="U35" s="789">
        <v>6193.499776</v>
      </c>
      <c r="V35" s="790">
        <v>3523.557034</v>
      </c>
      <c r="X35" s="776" t="s">
        <v>518</v>
      </c>
      <c r="Y35" s="777" t="s">
        <v>494</v>
      </c>
      <c r="Z35" s="777" t="s">
        <v>507</v>
      </c>
      <c r="AA35" s="777" t="s">
        <v>27</v>
      </c>
      <c r="AB35" s="777" t="s">
        <v>493</v>
      </c>
      <c r="AC35" s="777" t="s">
        <v>103</v>
      </c>
      <c r="AD35" s="778" t="s">
        <v>501</v>
      </c>
      <c r="AE35" s="779" t="s">
        <v>502</v>
      </c>
      <c r="AF35" s="780">
        <v>864.7450087</v>
      </c>
      <c r="AG35" s="780">
        <v>455.1956193</v>
      </c>
      <c r="AH35" s="780">
        <v>1401.554738</v>
      </c>
      <c r="AI35" s="782" t="s">
        <v>233</v>
      </c>
      <c r="AK35" s="769" t="s">
        <v>518</v>
      </c>
      <c r="AL35" s="770" t="s">
        <v>494</v>
      </c>
      <c r="AM35" s="770" t="s">
        <v>507</v>
      </c>
      <c r="AN35" s="770" t="s">
        <v>27</v>
      </c>
      <c r="AO35" s="770" t="s">
        <v>493</v>
      </c>
      <c r="AP35" s="770" t="s">
        <v>504</v>
      </c>
      <c r="AQ35" s="770" t="s">
        <v>501</v>
      </c>
      <c r="AR35" s="784" t="s">
        <v>502</v>
      </c>
      <c r="AS35" s="771">
        <v>813.6008036</v>
      </c>
      <c r="AT35" s="771">
        <v>428.2736736</v>
      </c>
      <c r="AU35" s="771">
        <v>1318.661628</v>
      </c>
      <c r="AV35" s="772" t="s">
        <v>233</v>
      </c>
      <c r="AW35" s="714"/>
    </row>
    <row r="36">
      <c r="A36" s="761"/>
      <c r="B36" s="769" t="s">
        <v>493</v>
      </c>
      <c r="C36" s="770" t="s">
        <v>524</v>
      </c>
      <c r="D36" s="770" t="s">
        <v>494</v>
      </c>
      <c r="E36" s="770" t="s">
        <v>495</v>
      </c>
      <c r="F36" s="770" t="s">
        <v>518</v>
      </c>
      <c r="G36" s="770" t="s">
        <v>103</v>
      </c>
      <c r="H36" s="770">
        <v>2019.0</v>
      </c>
      <c r="I36" s="771">
        <v>1735.227896</v>
      </c>
      <c r="J36" s="771">
        <v>2928.606063</v>
      </c>
      <c r="K36" s="772">
        <v>946.3646311</v>
      </c>
      <c r="M36" s="769" t="s">
        <v>493</v>
      </c>
      <c r="N36" s="770" t="s">
        <v>524</v>
      </c>
      <c r="O36" s="770" t="s">
        <v>494</v>
      </c>
      <c r="P36" s="770" t="s">
        <v>495</v>
      </c>
      <c r="Q36" s="770" t="s">
        <v>518</v>
      </c>
      <c r="R36" s="770" t="s">
        <v>497</v>
      </c>
      <c r="S36" s="770">
        <v>2019.0</v>
      </c>
      <c r="T36" s="771">
        <v>12.6235926</v>
      </c>
      <c r="U36" s="771">
        <v>21.30528786</v>
      </c>
      <c r="V36" s="772">
        <v>6.884698882</v>
      </c>
      <c r="X36" s="786" t="s">
        <v>518</v>
      </c>
      <c r="Y36" s="787" t="s">
        <v>494</v>
      </c>
      <c r="Z36" s="787" t="s">
        <v>509</v>
      </c>
      <c r="AA36" s="787" t="s">
        <v>27</v>
      </c>
      <c r="AB36" s="787" t="s">
        <v>493</v>
      </c>
      <c r="AC36" s="787" t="s">
        <v>103</v>
      </c>
      <c r="AD36" s="788" t="s">
        <v>501</v>
      </c>
      <c r="AE36" s="779" t="s">
        <v>502</v>
      </c>
      <c r="AF36" s="789">
        <v>66.87657355</v>
      </c>
      <c r="AG36" s="789">
        <v>34.84205838</v>
      </c>
      <c r="AH36" s="789">
        <v>116.2358074</v>
      </c>
      <c r="AI36" s="790" t="s">
        <v>233</v>
      </c>
      <c r="AK36" s="769" t="s">
        <v>518</v>
      </c>
      <c r="AL36" s="770" t="s">
        <v>494</v>
      </c>
      <c r="AM36" s="770" t="s">
        <v>509</v>
      </c>
      <c r="AN36" s="770" t="s">
        <v>27</v>
      </c>
      <c r="AO36" s="770" t="s">
        <v>493</v>
      </c>
      <c r="AP36" s="770" t="s">
        <v>504</v>
      </c>
      <c r="AQ36" s="770" t="s">
        <v>501</v>
      </c>
      <c r="AR36" s="784" t="s">
        <v>502</v>
      </c>
      <c r="AS36" s="771">
        <v>990.615761</v>
      </c>
      <c r="AT36" s="771">
        <v>516.1013842</v>
      </c>
      <c r="AU36" s="771">
        <v>1721.754221</v>
      </c>
      <c r="AV36" s="772" t="s">
        <v>233</v>
      </c>
      <c r="AW36" s="714"/>
    </row>
    <row r="37">
      <c r="A37" s="761"/>
      <c r="B37" s="769" t="s">
        <v>493</v>
      </c>
      <c r="C37" s="770" t="s">
        <v>524</v>
      </c>
      <c r="D37" s="770" t="s">
        <v>494</v>
      </c>
      <c r="E37" s="770" t="s">
        <v>505</v>
      </c>
      <c r="F37" s="770" t="s">
        <v>518</v>
      </c>
      <c r="G37" s="770" t="s">
        <v>103</v>
      </c>
      <c r="H37" s="770">
        <v>2019.0</v>
      </c>
      <c r="I37" s="771">
        <v>53.82047962</v>
      </c>
      <c r="J37" s="771">
        <v>117.1581475</v>
      </c>
      <c r="K37" s="772">
        <v>20.27300866</v>
      </c>
      <c r="M37" s="769" t="s">
        <v>493</v>
      </c>
      <c r="N37" s="770" t="s">
        <v>524</v>
      </c>
      <c r="O37" s="770" t="s">
        <v>494</v>
      </c>
      <c r="P37" s="770" t="s">
        <v>505</v>
      </c>
      <c r="Q37" s="770" t="s">
        <v>518</v>
      </c>
      <c r="R37" s="770" t="s">
        <v>497</v>
      </c>
      <c r="S37" s="770">
        <v>2019.0</v>
      </c>
      <c r="T37" s="771">
        <v>105.1769461</v>
      </c>
      <c r="U37" s="771">
        <v>228.952552</v>
      </c>
      <c r="V37" s="772">
        <v>39.61787693</v>
      </c>
      <c r="X37" s="786" t="s">
        <v>518</v>
      </c>
      <c r="Y37" s="787" t="s">
        <v>494</v>
      </c>
      <c r="Z37" s="787" t="s">
        <v>513</v>
      </c>
      <c r="AA37" s="787" t="s">
        <v>27</v>
      </c>
      <c r="AB37" s="787" t="s">
        <v>493</v>
      </c>
      <c r="AC37" s="787" t="s">
        <v>103</v>
      </c>
      <c r="AD37" s="788" t="s">
        <v>501</v>
      </c>
      <c r="AE37" s="779" t="s">
        <v>502</v>
      </c>
      <c r="AF37" s="789">
        <v>1792.518985</v>
      </c>
      <c r="AG37" s="789">
        <v>1012.790297</v>
      </c>
      <c r="AH37" s="789">
        <v>2696.651274</v>
      </c>
      <c r="AI37" s="790" t="s">
        <v>233</v>
      </c>
      <c r="AK37" s="769" t="s">
        <v>518</v>
      </c>
      <c r="AL37" s="770" t="s">
        <v>494</v>
      </c>
      <c r="AM37" s="770" t="s">
        <v>513</v>
      </c>
      <c r="AN37" s="770" t="s">
        <v>27</v>
      </c>
      <c r="AO37" s="770" t="s">
        <v>493</v>
      </c>
      <c r="AP37" s="770" t="s">
        <v>504</v>
      </c>
      <c r="AQ37" s="770" t="s">
        <v>501</v>
      </c>
      <c r="AR37" s="784" t="s">
        <v>502</v>
      </c>
      <c r="AS37" s="771">
        <v>316.7635411</v>
      </c>
      <c r="AT37" s="771">
        <v>178.9744172</v>
      </c>
      <c r="AU37" s="771">
        <v>476.5365465</v>
      </c>
      <c r="AV37" s="772" t="s">
        <v>233</v>
      </c>
      <c r="AW37" s="714"/>
    </row>
    <row r="38">
      <c r="A38" s="761"/>
      <c r="B38" s="769" t="s">
        <v>493</v>
      </c>
      <c r="C38" s="770" t="s">
        <v>524</v>
      </c>
      <c r="D38" s="770" t="s">
        <v>494</v>
      </c>
      <c r="E38" s="770" t="s">
        <v>508</v>
      </c>
      <c r="F38" s="770" t="s">
        <v>518</v>
      </c>
      <c r="G38" s="770" t="s">
        <v>103</v>
      </c>
      <c r="H38" s="770">
        <v>2019.0</v>
      </c>
      <c r="I38" s="771">
        <v>919.3319529</v>
      </c>
      <c r="J38" s="771">
        <v>1781.84842</v>
      </c>
      <c r="K38" s="772">
        <v>408.0081102</v>
      </c>
      <c r="M38" s="769" t="s">
        <v>493</v>
      </c>
      <c r="N38" s="770" t="s">
        <v>524</v>
      </c>
      <c r="O38" s="770" t="s">
        <v>494</v>
      </c>
      <c r="P38" s="770" t="s">
        <v>508</v>
      </c>
      <c r="Q38" s="770" t="s">
        <v>518</v>
      </c>
      <c r="R38" s="770" t="s">
        <v>497</v>
      </c>
      <c r="S38" s="770">
        <v>2019.0</v>
      </c>
      <c r="T38" s="771">
        <v>37.81592069</v>
      </c>
      <c r="U38" s="771">
        <v>73.29478576</v>
      </c>
      <c r="V38" s="772">
        <v>16.78305892</v>
      </c>
      <c r="X38" s="776" t="s">
        <v>519</v>
      </c>
      <c r="Y38" s="777" t="s">
        <v>494</v>
      </c>
      <c r="Z38" s="777" t="s">
        <v>499</v>
      </c>
      <c r="AA38" s="777" t="s">
        <v>27</v>
      </c>
      <c r="AB38" s="777" t="s">
        <v>493</v>
      </c>
      <c r="AC38" s="777" t="s">
        <v>103</v>
      </c>
      <c r="AD38" s="778" t="s">
        <v>501</v>
      </c>
      <c r="AE38" s="779" t="s">
        <v>502</v>
      </c>
      <c r="AF38" s="780">
        <v>2948.295794</v>
      </c>
      <c r="AG38" s="780">
        <v>2372.885704</v>
      </c>
      <c r="AH38" s="780">
        <v>3650.863767</v>
      </c>
      <c r="AI38" s="782" t="s">
        <v>233</v>
      </c>
      <c r="AK38" s="769" t="s">
        <v>519</v>
      </c>
      <c r="AL38" s="770" t="s">
        <v>494</v>
      </c>
      <c r="AM38" s="770" t="s">
        <v>499</v>
      </c>
      <c r="AN38" s="770" t="s">
        <v>27</v>
      </c>
      <c r="AO38" s="770" t="s">
        <v>493</v>
      </c>
      <c r="AP38" s="770" t="s">
        <v>504</v>
      </c>
      <c r="AQ38" s="770" t="s">
        <v>501</v>
      </c>
      <c r="AR38" s="784" t="s">
        <v>502</v>
      </c>
      <c r="AS38" s="771">
        <v>128478.7979</v>
      </c>
      <c r="AT38" s="771">
        <v>103403.9744</v>
      </c>
      <c r="AU38" s="771">
        <v>159094.8198</v>
      </c>
      <c r="AV38" s="772" t="s">
        <v>233</v>
      </c>
      <c r="AW38" s="714"/>
    </row>
    <row r="39">
      <c r="A39" s="761"/>
      <c r="B39" s="769" t="s">
        <v>493</v>
      </c>
      <c r="C39" s="770" t="s">
        <v>524</v>
      </c>
      <c r="D39" s="770" t="s">
        <v>494</v>
      </c>
      <c r="E39" s="770" t="s">
        <v>512</v>
      </c>
      <c r="F39" s="770" t="s">
        <v>518</v>
      </c>
      <c r="G39" s="770" t="s">
        <v>103</v>
      </c>
      <c r="H39" s="770">
        <v>2019.0</v>
      </c>
      <c r="I39" s="771">
        <v>112.3277494</v>
      </c>
      <c r="J39" s="771">
        <v>269.6484545</v>
      </c>
      <c r="K39" s="772">
        <v>35.59517087</v>
      </c>
      <c r="M39" s="769" t="s">
        <v>493</v>
      </c>
      <c r="N39" s="770" t="s">
        <v>524</v>
      </c>
      <c r="O39" s="770" t="s">
        <v>494</v>
      </c>
      <c r="P39" s="770" t="s">
        <v>512</v>
      </c>
      <c r="Q39" s="770" t="s">
        <v>518</v>
      </c>
      <c r="R39" s="770" t="s">
        <v>497</v>
      </c>
      <c r="S39" s="770">
        <v>2019.0</v>
      </c>
      <c r="T39" s="771">
        <v>73.90225161</v>
      </c>
      <c r="U39" s="771">
        <v>177.4060998</v>
      </c>
      <c r="V39" s="772">
        <v>23.41864132</v>
      </c>
      <c r="X39" s="776" t="s">
        <v>519</v>
      </c>
      <c r="Y39" s="777" t="s">
        <v>494</v>
      </c>
      <c r="Z39" s="777" t="s">
        <v>507</v>
      </c>
      <c r="AA39" s="777" t="s">
        <v>27</v>
      </c>
      <c r="AB39" s="777" t="s">
        <v>493</v>
      </c>
      <c r="AC39" s="777" t="s">
        <v>103</v>
      </c>
      <c r="AD39" s="778" t="s">
        <v>501</v>
      </c>
      <c r="AE39" s="779" t="s">
        <v>502</v>
      </c>
      <c r="AF39" s="780">
        <v>23.93739897</v>
      </c>
      <c r="AG39" s="780">
        <v>13.46551354</v>
      </c>
      <c r="AH39" s="780">
        <v>39.25599346</v>
      </c>
      <c r="AI39" s="782" t="s">
        <v>233</v>
      </c>
      <c r="AK39" s="769" t="s">
        <v>519</v>
      </c>
      <c r="AL39" s="770" t="s">
        <v>494</v>
      </c>
      <c r="AM39" s="770" t="s">
        <v>507</v>
      </c>
      <c r="AN39" s="770" t="s">
        <v>27</v>
      </c>
      <c r="AO39" s="770" t="s">
        <v>493</v>
      </c>
      <c r="AP39" s="770" t="s">
        <v>504</v>
      </c>
      <c r="AQ39" s="770" t="s">
        <v>501</v>
      </c>
      <c r="AR39" s="784" t="s">
        <v>502</v>
      </c>
      <c r="AS39" s="771">
        <v>22.52165302</v>
      </c>
      <c r="AT39" s="771">
        <v>12.66911347</v>
      </c>
      <c r="AU39" s="771">
        <v>36.93424941</v>
      </c>
      <c r="AV39" s="772" t="s">
        <v>233</v>
      </c>
      <c r="AW39" s="714"/>
    </row>
    <row r="40">
      <c r="A40" s="761"/>
      <c r="B40" s="769" t="s">
        <v>493</v>
      </c>
      <c r="C40" s="770" t="s">
        <v>524</v>
      </c>
      <c r="D40" s="770" t="s">
        <v>494</v>
      </c>
      <c r="E40" s="770" t="s">
        <v>495</v>
      </c>
      <c r="F40" s="770" t="s">
        <v>519</v>
      </c>
      <c r="G40" s="770" t="s">
        <v>103</v>
      </c>
      <c r="H40" s="770">
        <v>2019.0</v>
      </c>
      <c r="I40" s="771">
        <v>40175.15546</v>
      </c>
      <c r="J40" s="771">
        <v>51643.76687</v>
      </c>
      <c r="K40" s="772">
        <v>30192.63955</v>
      </c>
      <c r="M40" s="769" t="s">
        <v>493</v>
      </c>
      <c r="N40" s="770" t="s">
        <v>524</v>
      </c>
      <c r="O40" s="770" t="s">
        <v>494</v>
      </c>
      <c r="P40" s="770" t="s">
        <v>495</v>
      </c>
      <c r="Q40" s="770" t="s">
        <v>519</v>
      </c>
      <c r="R40" s="770" t="s">
        <v>497</v>
      </c>
      <c r="S40" s="770">
        <v>2019.0</v>
      </c>
      <c r="T40" s="771">
        <v>292.269849</v>
      </c>
      <c r="U40" s="771">
        <v>375.702739</v>
      </c>
      <c r="V40" s="772">
        <v>219.6481408</v>
      </c>
      <c r="X40" s="786" t="s">
        <v>519</v>
      </c>
      <c r="Y40" s="787" t="s">
        <v>494</v>
      </c>
      <c r="Z40" s="787" t="s">
        <v>509</v>
      </c>
      <c r="AA40" s="787" t="s">
        <v>27</v>
      </c>
      <c r="AB40" s="787" t="s">
        <v>493</v>
      </c>
      <c r="AC40" s="787" t="s">
        <v>103</v>
      </c>
      <c r="AD40" s="788" t="s">
        <v>501</v>
      </c>
      <c r="AE40" s="779" t="s">
        <v>502</v>
      </c>
      <c r="AF40" s="789">
        <v>382.1643007</v>
      </c>
      <c r="AG40" s="789">
        <v>277.1121121</v>
      </c>
      <c r="AH40" s="789">
        <v>517.6901023</v>
      </c>
      <c r="AI40" s="790" t="s">
        <v>233</v>
      </c>
      <c r="AK40" s="769" t="s">
        <v>519</v>
      </c>
      <c r="AL40" s="770" t="s">
        <v>494</v>
      </c>
      <c r="AM40" s="770" t="s">
        <v>509</v>
      </c>
      <c r="AN40" s="770" t="s">
        <v>27</v>
      </c>
      <c r="AO40" s="770" t="s">
        <v>493</v>
      </c>
      <c r="AP40" s="770" t="s">
        <v>504</v>
      </c>
      <c r="AQ40" s="770" t="s">
        <v>501</v>
      </c>
      <c r="AR40" s="784" t="s">
        <v>502</v>
      </c>
      <c r="AS40" s="771">
        <v>5660.845936</v>
      </c>
      <c r="AT40" s="771">
        <v>4104.750158</v>
      </c>
      <c r="AU40" s="771">
        <v>7668.335075</v>
      </c>
      <c r="AV40" s="772" t="s">
        <v>233</v>
      </c>
      <c r="AW40" s="714"/>
    </row>
    <row r="41">
      <c r="A41" s="761"/>
      <c r="B41" s="769" t="s">
        <v>493</v>
      </c>
      <c r="C41" s="770" t="s">
        <v>524</v>
      </c>
      <c r="D41" s="770" t="s">
        <v>494</v>
      </c>
      <c r="E41" s="770" t="s">
        <v>505</v>
      </c>
      <c r="F41" s="770" t="s">
        <v>519</v>
      </c>
      <c r="G41" s="770" t="s">
        <v>103</v>
      </c>
      <c r="H41" s="770">
        <v>2019.0</v>
      </c>
      <c r="I41" s="771">
        <v>35162.36004</v>
      </c>
      <c r="J41" s="771">
        <v>45128.76113</v>
      </c>
      <c r="K41" s="772">
        <v>26507.36002</v>
      </c>
      <c r="M41" s="769" t="s">
        <v>493</v>
      </c>
      <c r="N41" s="770" t="s">
        <v>524</v>
      </c>
      <c r="O41" s="770" t="s">
        <v>494</v>
      </c>
      <c r="P41" s="770" t="s">
        <v>505</v>
      </c>
      <c r="Q41" s="770" t="s">
        <v>519</v>
      </c>
      <c r="R41" s="770" t="s">
        <v>497</v>
      </c>
      <c r="S41" s="770">
        <v>2019.0</v>
      </c>
      <c r="T41" s="771">
        <v>68714.91431</v>
      </c>
      <c r="U41" s="771">
        <v>88191.43397</v>
      </c>
      <c r="V41" s="772">
        <v>51801.15812</v>
      </c>
      <c r="X41" s="786" t="s">
        <v>519</v>
      </c>
      <c r="Y41" s="787" t="s">
        <v>494</v>
      </c>
      <c r="Z41" s="787" t="s">
        <v>513</v>
      </c>
      <c r="AA41" s="787" t="s">
        <v>27</v>
      </c>
      <c r="AB41" s="787" t="s">
        <v>493</v>
      </c>
      <c r="AC41" s="787" t="s">
        <v>103</v>
      </c>
      <c r="AD41" s="788" t="s">
        <v>501</v>
      </c>
      <c r="AE41" s="779" t="s">
        <v>502</v>
      </c>
      <c r="AF41" s="789">
        <v>3362.015582</v>
      </c>
      <c r="AG41" s="789">
        <v>2703.724442</v>
      </c>
      <c r="AH41" s="789">
        <v>4138.307007</v>
      </c>
      <c r="AI41" s="790" t="s">
        <v>233</v>
      </c>
      <c r="AK41" s="769" t="s">
        <v>519</v>
      </c>
      <c r="AL41" s="770" t="s">
        <v>494</v>
      </c>
      <c r="AM41" s="770" t="s">
        <v>513</v>
      </c>
      <c r="AN41" s="770" t="s">
        <v>27</v>
      </c>
      <c r="AO41" s="770" t="s">
        <v>493</v>
      </c>
      <c r="AP41" s="770" t="s">
        <v>504</v>
      </c>
      <c r="AQ41" s="770" t="s">
        <v>501</v>
      </c>
      <c r="AR41" s="784" t="s">
        <v>502</v>
      </c>
      <c r="AS41" s="771">
        <v>594.1158614</v>
      </c>
      <c r="AT41" s="771">
        <v>477.7864757</v>
      </c>
      <c r="AU41" s="771">
        <v>731.2975721</v>
      </c>
      <c r="AV41" s="772" t="s">
        <v>233</v>
      </c>
      <c r="AW41" s="714"/>
    </row>
    <row r="42">
      <c r="A42" s="761"/>
      <c r="B42" s="769" t="s">
        <v>493</v>
      </c>
      <c r="C42" s="770" t="s">
        <v>524</v>
      </c>
      <c r="D42" s="770" t="s">
        <v>494</v>
      </c>
      <c r="E42" s="770" t="s">
        <v>508</v>
      </c>
      <c r="F42" s="770" t="s">
        <v>519</v>
      </c>
      <c r="G42" s="770" t="s">
        <v>103</v>
      </c>
      <c r="H42" s="770">
        <v>2019.0</v>
      </c>
      <c r="I42" s="771">
        <v>471.2075192</v>
      </c>
      <c r="J42" s="771">
        <v>996.9044691</v>
      </c>
      <c r="K42" s="772">
        <v>236.9268138</v>
      </c>
      <c r="M42" s="769" t="s">
        <v>493</v>
      </c>
      <c r="N42" s="770" t="s">
        <v>524</v>
      </c>
      <c r="O42" s="770" t="s">
        <v>494</v>
      </c>
      <c r="P42" s="770" t="s">
        <v>508</v>
      </c>
      <c r="Q42" s="770" t="s">
        <v>519</v>
      </c>
      <c r="R42" s="770" t="s">
        <v>497</v>
      </c>
      <c r="S42" s="770">
        <v>2019.0</v>
      </c>
      <c r="T42" s="771">
        <v>19.38271167</v>
      </c>
      <c r="U42" s="771">
        <v>41.0067987</v>
      </c>
      <c r="V42" s="772">
        <v>9.745778521</v>
      </c>
      <c r="X42" s="776" t="s">
        <v>521</v>
      </c>
      <c r="Y42" s="777" t="s">
        <v>494</v>
      </c>
      <c r="Z42" s="777" t="s">
        <v>499</v>
      </c>
      <c r="AA42" s="777" t="s">
        <v>27</v>
      </c>
      <c r="AB42" s="777" t="s">
        <v>493</v>
      </c>
      <c r="AC42" s="777" t="s">
        <v>103</v>
      </c>
      <c r="AD42" s="778" t="s">
        <v>501</v>
      </c>
      <c r="AE42" s="779" t="s">
        <v>502</v>
      </c>
      <c r="AF42" s="780">
        <v>0.0</v>
      </c>
      <c r="AG42" s="780">
        <v>0.0</v>
      </c>
      <c r="AH42" s="780">
        <v>0.0</v>
      </c>
      <c r="AI42" s="782" t="s">
        <v>233</v>
      </c>
      <c r="AK42" s="769" t="s">
        <v>521</v>
      </c>
      <c r="AL42" s="770" t="s">
        <v>494</v>
      </c>
      <c r="AM42" s="770" t="s">
        <v>499</v>
      </c>
      <c r="AN42" s="770" t="s">
        <v>27</v>
      </c>
      <c r="AO42" s="770" t="s">
        <v>493</v>
      </c>
      <c r="AP42" s="770" t="s">
        <v>504</v>
      </c>
      <c r="AQ42" s="770" t="s">
        <v>501</v>
      </c>
      <c r="AR42" s="784" t="s">
        <v>502</v>
      </c>
      <c r="AS42" s="771">
        <v>0.0</v>
      </c>
      <c r="AT42" s="771">
        <v>0.0</v>
      </c>
      <c r="AU42" s="771">
        <v>0.0</v>
      </c>
      <c r="AV42" s="772" t="s">
        <v>233</v>
      </c>
      <c r="AW42" s="714"/>
    </row>
    <row r="43">
      <c r="A43" s="761"/>
      <c r="B43" s="769" t="s">
        <v>493</v>
      </c>
      <c r="C43" s="770" t="s">
        <v>524</v>
      </c>
      <c r="D43" s="770" t="s">
        <v>494</v>
      </c>
      <c r="E43" s="770" t="s">
        <v>512</v>
      </c>
      <c r="F43" s="770" t="s">
        <v>519</v>
      </c>
      <c r="G43" s="770" t="s">
        <v>103</v>
      </c>
      <c r="H43" s="770">
        <v>2019.0</v>
      </c>
      <c r="I43" s="771">
        <v>4495.359272</v>
      </c>
      <c r="J43" s="771">
        <v>5997.659102</v>
      </c>
      <c r="K43" s="772">
        <v>3110.130439</v>
      </c>
      <c r="M43" s="769" t="s">
        <v>493</v>
      </c>
      <c r="N43" s="770" t="s">
        <v>524</v>
      </c>
      <c r="O43" s="770" t="s">
        <v>494</v>
      </c>
      <c r="P43" s="770" t="s">
        <v>512</v>
      </c>
      <c r="Q43" s="770" t="s">
        <v>519</v>
      </c>
      <c r="R43" s="770" t="s">
        <v>497</v>
      </c>
      <c r="S43" s="770">
        <v>2019.0</v>
      </c>
      <c r="T43" s="771">
        <v>2957.569912</v>
      </c>
      <c r="U43" s="771">
        <v>3945.957382</v>
      </c>
      <c r="V43" s="772">
        <v>2046.205354</v>
      </c>
      <c r="X43" s="776" t="s">
        <v>521</v>
      </c>
      <c r="Y43" s="777" t="s">
        <v>494</v>
      </c>
      <c r="Z43" s="777" t="s">
        <v>507</v>
      </c>
      <c r="AA43" s="777" t="s">
        <v>27</v>
      </c>
      <c r="AB43" s="777" t="s">
        <v>493</v>
      </c>
      <c r="AC43" s="777" t="s">
        <v>103</v>
      </c>
      <c r="AD43" s="778" t="s">
        <v>501</v>
      </c>
      <c r="AE43" s="779" t="s">
        <v>502</v>
      </c>
      <c r="AF43" s="780">
        <v>13.73704183</v>
      </c>
      <c r="AG43" s="780">
        <v>4.196451162</v>
      </c>
      <c r="AH43" s="780">
        <v>33.51682511</v>
      </c>
      <c r="AI43" s="782" t="s">
        <v>233</v>
      </c>
      <c r="AK43" s="769" t="s">
        <v>521</v>
      </c>
      <c r="AL43" s="770" t="s">
        <v>494</v>
      </c>
      <c r="AM43" s="770" t="s">
        <v>507</v>
      </c>
      <c r="AN43" s="770" t="s">
        <v>27</v>
      </c>
      <c r="AO43" s="770" t="s">
        <v>493</v>
      </c>
      <c r="AP43" s="770" t="s">
        <v>504</v>
      </c>
      <c r="AQ43" s="770" t="s">
        <v>501</v>
      </c>
      <c r="AR43" s="784" t="s">
        <v>502</v>
      </c>
      <c r="AS43" s="771">
        <v>12.92458258</v>
      </c>
      <c r="AT43" s="771">
        <v>3.948257583</v>
      </c>
      <c r="AU43" s="771">
        <v>31.53451661</v>
      </c>
      <c r="AV43" s="772" t="s">
        <v>233</v>
      </c>
      <c r="AW43" s="714"/>
    </row>
    <row r="44">
      <c r="A44" s="761"/>
      <c r="B44" s="769" t="s">
        <v>493</v>
      </c>
      <c r="C44" s="770" t="s">
        <v>524</v>
      </c>
      <c r="D44" s="770" t="s">
        <v>494</v>
      </c>
      <c r="E44" s="770" t="s">
        <v>495</v>
      </c>
      <c r="F44" s="770" t="s">
        <v>521</v>
      </c>
      <c r="G44" s="770" t="s">
        <v>103</v>
      </c>
      <c r="H44" s="770">
        <v>2019.0</v>
      </c>
      <c r="I44" s="771">
        <v>292.1682038</v>
      </c>
      <c r="J44" s="771">
        <v>693.522893</v>
      </c>
      <c r="K44" s="772">
        <v>84.40815612</v>
      </c>
      <c r="M44" s="769" t="s">
        <v>493</v>
      </c>
      <c r="N44" s="770" t="s">
        <v>524</v>
      </c>
      <c r="O44" s="770" t="s">
        <v>494</v>
      </c>
      <c r="P44" s="770" t="s">
        <v>495</v>
      </c>
      <c r="Q44" s="770" t="s">
        <v>521</v>
      </c>
      <c r="R44" s="770" t="s">
        <v>497</v>
      </c>
      <c r="S44" s="770">
        <v>2019.0</v>
      </c>
      <c r="T44" s="771">
        <v>2.125491634</v>
      </c>
      <c r="U44" s="771">
        <v>5.045302972</v>
      </c>
      <c r="V44" s="772">
        <v>0.6140600768</v>
      </c>
      <c r="X44" s="786" t="s">
        <v>521</v>
      </c>
      <c r="Y44" s="787" t="s">
        <v>494</v>
      </c>
      <c r="Z44" s="787" t="s">
        <v>509</v>
      </c>
      <c r="AA44" s="787" t="s">
        <v>27</v>
      </c>
      <c r="AB44" s="787" t="s">
        <v>493</v>
      </c>
      <c r="AC44" s="787" t="s">
        <v>103</v>
      </c>
      <c r="AD44" s="788" t="s">
        <v>501</v>
      </c>
      <c r="AE44" s="779" t="s">
        <v>502</v>
      </c>
      <c r="AF44" s="789">
        <v>0.0</v>
      </c>
      <c r="AG44" s="789">
        <v>0.0</v>
      </c>
      <c r="AH44" s="789">
        <v>0.0</v>
      </c>
      <c r="AI44" s="790" t="s">
        <v>233</v>
      </c>
      <c r="AK44" s="769" t="s">
        <v>521</v>
      </c>
      <c r="AL44" s="770" t="s">
        <v>494</v>
      </c>
      <c r="AM44" s="770" t="s">
        <v>509</v>
      </c>
      <c r="AN44" s="770" t="s">
        <v>27</v>
      </c>
      <c r="AO44" s="770" t="s">
        <v>493</v>
      </c>
      <c r="AP44" s="770" t="s">
        <v>504</v>
      </c>
      <c r="AQ44" s="770" t="s">
        <v>501</v>
      </c>
      <c r="AR44" s="784" t="s">
        <v>502</v>
      </c>
      <c r="AS44" s="771">
        <v>0.0</v>
      </c>
      <c r="AT44" s="771">
        <v>0.0</v>
      </c>
      <c r="AU44" s="771">
        <v>0.0</v>
      </c>
      <c r="AV44" s="772" t="s">
        <v>233</v>
      </c>
      <c r="AW44" s="714"/>
    </row>
    <row r="45">
      <c r="A45" s="761"/>
      <c r="B45" s="769" t="s">
        <v>493</v>
      </c>
      <c r="C45" s="770" t="s">
        <v>524</v>
      </c>
      <c r="D45" s="770" t="s">
        <v>494</v>
      </c>
      <c r="E45" s="770" t="s">
        <v>505</v>
      </c>
      <c r="F45" s="770" t="s">
        <v>521</v>
      </c>
      <c r="G45" s="770" t="s">
        <v>103</v>
      </c>
      <c r="H45" s="770">
        <v>2019.0</v>
      </c>
      <c r="I45" s="771">
        <v>0.0</v>
      </c>
      <c r="J45" s="771">
        <v>0.0</v>
      </c>
      <c r="K45" s="772">
        <v>0.0</v>
      </c>
      <c r="M45" s="769" t="s">
        <v>493</v>
      </c>
      <c r="N45" s="770" t="s">
        <v>524</v>
      </c>
      <c r="O45" s="770" t="s">
        <v>494</v>
      </c>
      <c r="P45" s="770" t="s">
        <v>505</v>
      </c>
      <c r="Q45" s="770" t="s">
        <v>521</v>
      </c>
      <c r="R45" s="770" t="s">
        <v>497</v>
      </c>
      <c r="S45" s="770">
        <v>2019.0</v>
      </c>
      <c r="T45" s="771">
        <v>0.0</v>
      </c>
      <c r="U45" s="771">
        <v>0.0</v>
      </c>
      <c r="V45" s="772">
        <v>0.0</v>
      </c>
      <c r="X45" s="786" t="s">
        <v>521</v>
      </c>
      <c r="Y45" s="787" t="s">
        <v>494</v>
      </c>
      <c r="Z45" s="787" t="s">
        <v>513</v>
      </c>
      <c r="AA45" s="787" t="s">
        <v>27</v>
      </c>
      <c r="AB45" s="787" t="s">
        <v>493</v>
      </c>
      <c r="AC45" s="787" t="s">
        <v>103</v>
      </c>
      <c r="AD45" s="788" t="s">
        <v>501</v>
      </c>
      <c r="AE45" s="779" t="s">
        <v>502</v>
      </c>
      <c r="AF45" s="789">
        <v>73.24455414</v>
      </c>
      <c r="AG45" s="789">
        <v>20.43677371</v>
      </c>
      <c r="AH45" s="789">
        <v>201.4443167</v>
      </c>
      <c r="AI45" s="790" t="s">
        <v>233</v>
      </c>
      <c r="AK45" s="769" t="s">
        <v>521</v>
      </c>
      <c r="AL45" s="770" t="s">
        <v>494</v>
      </c>
      <c r="AM45" s="770" t="s">
        <v>513</v>
      </c>
      <c r="AN45" s="770" t="s">
        <v>27</v>
      </c>
      <c r="AO45" s="770" t="s">
        <v>493</v>
      </c>
      <c r="AP45" s="770" t="s">
        <v>504</v>
      </c>
      <c r="AQ45" s="770" t="s">
        <v>501</v>
      </c>
      <c r="AR45" s="784" t="s">
        <v>502</v>
      </c>
      <c r="AS45" s="771">
        <v>12.94335208</v>
      </c>
      <c r="AT45" s="771">
        <v>3.611467919</v>
      </c>
      <c r="AU45" s="771">
        <v>35.59806933</v>
      </c>
      <c r="AV45" s="772" t="s">
        <v>233</v>
      </c>
      <c r="AW45" s="714"/>
    </row>
    <row r="46">
      <c r="A46" s="761"/>
      <c r="B46" s="769" t="s">
        <v>493</v>
      </c>
      <c r="C46" s="770" t="s">
        <v>524</v>
      </c>
      <c r="D46" s="770" t="s">
        <v>494</v>
      </c>
      <c r="E46" s="770" t="s">
        <v>508</v>
      </c>
      <c r="F46" s="770" t="s">
        <v>521</v>
      </c>
      <c r="G46" s="770" t="s">
        <v>103</v>
      </c>
      <c r="H46" s="770">
        <v>2019.0</v>
      </c>
      <c r="I46" s="771">
        <v>88.04191387</v>
      </c>
      <c r="J46" s="771">
        <v>220.5186108</v>
      </c>
      <c r="K46" s="772">
        <v>23.26480933</v>
      </c>
      <c r="M46" s="769" t="s">
        <v>493</v>
      </c>
      <c r="N46" s="770" t="s">
        <v>524</v>
      </c>
      <c r="O46" s="770" t="s">
        <v>494</v>
      </c>
      <c r="P46" s="770" t="s">
        <v>508</v>
      </c>
      <c r="Q46" s="770" t="s">
        <v>521</v>
      </c>
      <c r="R46" s="770" t="s">
        <v>497</v>
      </c>
      <c r="S46" s="770">
        <v>2019.0</v>
      </c>
      <c r="T46" s="771">
        <v>3.62152759</v>
      </c>
      <c r="U46" s="771">
        <v>9.070841353</v>
      </c>
      <c r="V46" s="772">
        <v>0.9569777072</v>
      </c>
      <c r="X46" s="776" t="s">
        <v>523</v>
      </c>
      <c r="Y46" s="777" t="s">
        <v>494</v>
      </c>
      <c r="Z46" s="777" t="s">
        <v>507</v>
      </c>
      <c r="AA46" s="777" t="s">
        <v>27</v>
      </c>
      <c r="AB46" s="777" t="s">
        <v>493</v>
      </c>
      <c r="AC46" s="777" t="s">
        <v>103</v>
      </c>
      <c r="AD46" s="778" t="s">
        <v>501</v>
      </c>
      <c r="AE46" s="779" t="s">
        <v>502</v>
      </c>
      <c r="AF46" s="780">
        <v>45.85553736</v>
      </c>
      <c r="AG46" s="780">
        <v>21.17933236</v>
      </c>
      <c r="AH46" s="780">
        <v>85.2278088</v>
      </c>
      <c r="AI46" s="782" t="s">
        <v>233</v>
      </c>
      <c r="AK46" s="769" t="s">
        <v>523</v>
      </c>
      <c r="AL46" s="770" t="s">
        <v>494</v>
      </c>
      <c r="AM46" s="770" t="s">
        <v>507</v>
      </c>
      <c r="AN46" s="770" t="s">
        <v>27</v>
      </c>
      <c r="AO46" s="770" t="s">
        <v>493</v>
      </c>
      <c r="AP46" s="770" t="s">
        <v>504</v>
      </c>
      <c r="AQ46" s="770" t="s">
        <v>501</v>
      </c>
      <c r="AR46" s="784" t="s">
        <v>502</v>
      </c>
      <c r="AS46" s="771">
        <v>43.14347197</v>
      </c>
      <c r="AT46" s="771">
        <v>19.92670863</v>
      </c>
      <c r="AU46" s="771">
        <v>80.18712225</v>
      </c>
      <c r="AV46" s="772" t="s">
        <v>233</v>
      </c>
      <c r="AW46" s="714"/>
    </row>
    <row r="47">
      <c r="A47" s="761"/>
      <c r="B47" s="769" t="s">
        <v>493</v>
      </c>
      <c r="C47" s="770" t="s">
        <v>524</v>
      </c>
      <c r="D47" s="770" t="s">
        <v>494</v>
      </c>
      <c r="E47" s="770" t="s">
        <v>512</v>
      </c>
      <c r="F47" s="770" t="s">
        <v>521</v>
      </c>
      <c r="G47" s="770" t="s">
        <v>103</v>
      </c>
      <c r="H47" s="770">
        <v>2019.0</v>
      </c>
      <c r="I47" s="771">
        <v>0.0</v>
      </c>
      <c r="J47" s="771">
        <v>0.0</v>
      </c>
      <c r="K47" s="772">
        <v>0.0</v>
      </c>
      <c r="M47" s="769" t="s">
        <v>493</v>
      </c>
      <c r="N47" s="770" t="s">
        <v>524</v>
      </c>
      <c r="O47" s="770" t="s">
        <v>494</v>
      </c>
      <c r="P47" s="770" t="s">
        <v>512</v>
      </c>
      <c r="Q47" s="770" t="s">
        <v>521</v>
      </c>
      <c r="R47" s="770" t="s">
        <v>497</v>
      </c>
      <c r="S47" s="770">
        <v>2019.0</v>
      </c>
      <c r="T47" s="771">
        <v>0.0</v>
      </c>
      <c r="U47" s="771">
        <v>0.0</v>
      </c>
      <c r="V47" s="772">
        <v>0.0</v>
      </c>
      <c r="X47" s="786" t="s">
        <v>523</v>
      </c>
      <c r="Y47" s="787" t="s">
        <v>494</v>
      </c>
      <c r="Z47" s="787" t="s">
        <v>513</v>
      </c>
      <c r="AA47" s="787" t="s">
        <v>27</v>
      </c>
      <c r="AB47" s="787" t="s">
        <v>493</v>
      </c>
      <c r="AC47" s="787" t="s">
        <v>103</v>
      </c>
      <c r="AD47" s="788" t="s">
        <v>501</v>
      </c>
      <c r="AE47" s="779" t="s">
        <v>502</v>
      </c>
      <c r="AF47" s="789">
        <v>93.41445483</v>
      </c>
      <c r="AG47" s="789">
        <v>46.98535406</v>
      </c>
      <c r="AH47" s="789">
        <v>158.9607478</v>
      </c>
      <c r="AI47" s="790" t="s">
        <v>233</v>
      </c>
      <c r="AK47" s="769" t="s">
        <v>523</v>
      </c>
      <c r="AL47" s="770" t="s">
        <v>494</v>
      </c>
      <c r="AM47" s="770" t="s">
        <v>513</v>
      </c>
      <c r="AN47" s="770" t="s">
        <v>27</v>
      </c>
      <c r="AO47" s="770" t="s">
        <v>493</v>
      </c>
      <c r="AP47" s="770" t="s">
        <v>504</v>
      </c>
      <c r="AQ47" s="770" t="s">
        <v>501</v>
      </c>
      <c r="AR47" s="784" t="s">
        <v>502</v>
      </c>
      <c r="AS47" s="771">
        <v>16.50765975</v>
      </c>
      <c r="AT47" s="771">
        <v>8.302978799</v>
      </c>
      <c r="AU47" s="771">
        <v>28.09061984</v>
      </c>
      <c r="AV47" s="772" t="s">
        <v>233</v>
      </c>
      <c r="AW47" s="714"/>
    </row>
    <row r="48">
      <c r="A48" s="761"/>
      <c r="B48" s="769" t="s">
        <v>493</v>
      </c>
      <c r="C48" s="770" t="s">
        <v>524</v>
      </c>
      <c r="D48" s="770" t="s">
        <v>494</v>
      </c>
      <c r="E48" s="770" t="s">
        <v>495</v>
      </c>
      <c r="F48" s="770" t="s">
        <v>523</v>
      </c>
      <c r="G48" s="770" t="s">
        <v>103</v>
      </c>
      <c r="H48" s="770">
        <v>2019.0</v>
      </c>
      <c r="I48" s="771">
        <v>1081.10957</v>
      </c>
      <c r="J48" s="771">
        <v>1840.947169</v>
      </c>
      <c r="K48" s="772">
        <v>541.3765868</v>
      </c>
      <c r="M48" s="769" t="s">
        <v>493</v>
      </c>
      <c r="N48" s="770" t="s">
        <v>524</v>
      </c>
      <c r="O48" s="770" t="s">
        <v>494</v>
      </c>
      <c r="P48" s="770" t="s">
        <v>495</v>
      </c>
      <c r="Q48" s="770" t="s">
        <v>523</v>
      </c>
      <c r="R48" s="770" t="s">
        <v>497</v>
      </c>
      <c r="S48" s="770">
        <v>2019.0</v>
      </c>
      <c r="T48" s="771">
        <v>7.864953533</v>
      </c>
      <c r="U48" s="771">
        <v>13.39268871</v>
      </c>
      <c r="V48" s="772">
        <v>3.938455284</v>
      </c>
      <c r="X48" s="776" t="s">
        <v>496</v>
      </c>
      <c r="Y48" s="777" t="s">
        <v>494</v>
      </c>
      <c r="Z48" s="777" t="s">
        <v>499</v>
      </c>
      <c r="AA48" s="777" t="s">
        <v>28</v>
      </c>
      <c r="AB48" s="777" t="s">
        <v>493</v>
      </c>
      <c r="AC48" s="777" t="s">
        <v>103</v>
      </c>
      <c r="AD48" s="778" t="s">
        <v>501</v>
      </c>
      <c r="AE48" s="779" t="s">
        <v>502</v>
      </c>
      <c r="AF48" s="780">
        <v>1329.358602</v>
      </c>
      <c r="AG48" s="780">
        <v>1007.868503</v>
      </c>
      <c r="AH48" s="780">
        <v>1768.539683</v>
      </c>
      <c r="AI48" s="782" t="s">
        <v>233</v>
      </c>
      <c r="AK48" s="769" t="s">
        <v>496</v>
      </c>
      <c r="AL48" s="770" t="s">
        <v>494</v>
      </c>
      <c r="AM48" s="770" t="s">
        <v>499</v>
      </c>
      <c r="AN48" s="770" t="s">
        <v>28</v>
      </c>
      <c r="AO48" s="770" t="s">
        <v>493</v>
      </c>
      <c r="AP48" s="770" t="s">
        <v>504</v>
      </c>
      <c r="AQ48" s="770" t="s">
        <v>501</v>
      </c>
      <c r="AR48" s="784" t="s">
        <v>502</v>
      </c>
      <c r="AS48" s="771">
        <v>126207.4555</v>
      </c>
      <c r="AT48" s="771">
        <v>95685.63294</v>
      </c>
      <c r="AU48" s="771">
        <v>167902.6961</v>
      </c>
      <c r="AV48" s="772" t="s">
        <v>233</v>
      </c>
      <c r="AW48" s="714"/>
    </row>
    <row r="49">
      <c r="A49" s="761"/>
      <c r="B49" s="769" t="s">
        <v>493</v>
      </c>
      <c r="C49" s="770" t="s">
        <v>524</v>
      </c>
      <c r="D49" s="770" t="s">
        <v>494</v>
      </c>
      <c r="E49" s="770" t="s">
        <v>505</v>
      </c>
      <c r="F49" s="770" t="s">
        <v>523</v>
      </c>
      <c r="G49" s="770" t="s">
        <v>103</v>
      </c>
      <c r="H49" s="770">
        <v>2019.0</v>
      </c>
      <c r="I49" s="771">
        <v>0.0</v>
      </c>
      <c r="J49" s="771">
        <v>0.0</v>
      </c>
      <c r="K49" s="772">
        <v>0.0</v>
      </c>
      <c r="M49" s="769" t="s">
        <v>493</v>
      </c>
      <c r="N49" s="770" t="s">
        <v>524</v>
      </c>
      <c r="O49" s="770" t="s">
        <v>494</v>
      </c>
      <c r="P49" s="770" t="s">
        <v>505</v>
      </c>
      <c r="Q49" s="770" t="s">
        <v>523</v>
      </c>
      <c r="R49" s="770" t="s">
        <v>497</v>
      </c>
      <c r="S49" s="770">
        <v>2019.0</v>
      </c>
      <c r="T49" s="771">
        <v>0.0</v>
      </c>
      <c r="U49" s="771">
        <v>0.0</v>
      </c>
      <c r="V49" s="772">
        <v>0.0</v>
      </c>
      <c r="X49" s="776" t="s">
        <v>496</v>
      </c>
      <c r="Y49" s="777" t="s">
        <v>494</v>
      </c>
      <c r="Z49" s="777" t="s">
        <v>507</v>
      </c>
      <c r="AA49" s="777" t="s">
        <v>28</v>
      </c>
      <c r="AB49" s="777" t="s">
        <v>493</v>
      </c>
      <c r="AC49" s="777" t="s">
        <v>103</v>
      </c>
      <c r="AD49" s="778" t="s">
        <v>501</v>
      </c>
      <c r="AE49" s="779" t="s">
        <v>502</v>
      </c>
      <c r="AF49" s="780">
        <v>899.2507422</v>
      </c>
      <c r="AG49" s="780">
        <v>678.1369437</v>
      </c>
      <c r="AH49" s="780">
        <v>1197.898473</v>
      </c>
      <c r="AI49" s="782" t="s">
        <v>233</v>
      </c>
      <c r="AK49" s="769" t="s">
        <v>496</v>
      </c>
      <c r="AL49" s="770" t="s">
        <v>494</v>
      </c>
      <c r="AM49" s="770" t="s">
        <v>507</v>
      </c>
      <c r="AN49" s="770" t="s">
        <v>28</v>
      </c>
      <c r="AO49" s="770" t="s">
        <v>493</v>
      </c>
      <c r="AP49" s="770" t="s">
        <v>504</v>
      </c>
      <c r="AQ49" s="770" t="s">
        <v>501</v>
      </c>
      <c r="AR49" s="784" t="s">
        <v>502</v>
      </c>
      <c r="AS49" s="771">
        <v>1766.805205</v>
      </c>
      <c r="AT49" s="771">
        <v>1332.371302</v>
      </c>
      <c r="AU49" s="771">
        <v>2353.574101</v>
      </c>
      <c r="AV49" s="772" t="s">
        <v>233</v>
      </c>
      <c r="AW49" s="714"/>
    </row>
    <row r="50">
      <c r="A50" s="761"/>
      <c r="B50" s="769" t="s">
        <v>493</v>
      </c>
      <c r="C50" s="770" t="s">
        <v>524</v>
      </c>
      <c r="D50" s="770" t="s">
        <v>494</v>
      </c>
      <c r="E50" s="770" t="s">
        <v>508</v>
      </c>
      <c r="F50" s="770" t="s">
        <v>523</v>
      </c>
      <c r="G50" s="770" t="s">
        <v>103</v>
      </c>
      <c r="H50" s="770">
        <v>2019.0</v>
      </c>
      <c r="I50" s="771">
        <v>657.9264151</v>
      </c>
      <c r="J50" s="771">
        <v>1252.014783</v>
      </c>
      <c r="K50" s="772">
        <v>279.9945397</v>
      </c>
      <c r="M50" s="769" t="s">
        <v>493</v>
      </c>
      <c r="N50" s="770" t="s">
        <v>524</v>
      </c>
      <c r="O50" s="770" t="s">
        <v>494</v>
      </c>
      <c r="P50" s="770" t="s">
        <v>508</v>
      </c>
      <c r="Q50" s="770" t="s">
        <v>523</v>
      </c>
      <c r="R50" s="770" t="s">
        <v>497</v>
      </c>
      <c r="S50" s="770">
        <v>2019.0</v>
      </c>
      <c r="T50" s="771">
        <v>27.06323114</v>
      </c>
      <c r="U50" s="771">
        <v>51.50053969</v>
      </c>
      <c r="V50" s="772">
        <v>11.51733198</v>
      </c>
      <c r="X50" s="786" t="s">
        <v>496</v>
      </c>
      <c r="Y50" s="787" t="s">
        <v>494</v>
      </c>
      <c r="Z50" s="787" t="s">
        <v>509</v>
      </c>
      <c r="AA50" s="787" t="s">
        <v>28</v>
      </c>
      <c r="AB50" s="787" t="s">
        <v>493</v>
      </c>
      <c r="AC50" s="787" t="s">
        <v>103</v>
      </c>
      <c r="AD50" s="788" t="s">
        <v>501</v>
      </c>
      <c r="AE50" s="779" t="s">
        <v>502</v>
      </c>
      <c r="AF50" s="789">
        <v>229.1202135</v>
      </c>
      <c r="AG50" s="789">
        <v>172.888466</v>
      </c>
      <c r="AH50" s="789">
        <v>306.4567685</v>
      </c>
      <c r="AI50" s="790" t="s">
        <v>233</v>
      </c>
      <c r="AK50" s="769" t="s">
        <v>496</v>
      </c>
      <c r="AL50" s="770" t="s">
        <v>494</v>
      </c>
      <c r="AM50" s="770" t="s">
        <v>509</v>
      </c>
      <c r="AN50" s="770" t="s">
        <v>28</v>
      </c>
      <c r="AO50" s="770" t="s">
        <v>493</v>
      </c>
      <c r="AP50" s="770" t="s">
        <v>504</v>
      </c>
      <c r="AQ50" s="770" t="s">
        <v>501</v>
      </c>
      <c r="AR50" s="784" t="s">
        <v>502</v>
      </c>
      <c r="AS50" s="771">
        <v>7338.248647</v>
      </c>
      <c r="AT50" s="771">
        <v>5537.261562</v>
      </c>
      <c r="AU50" s="771">
        <v>9815.179255</v>
      </c>
      <c r="AV50" s="772" t="s">
        <v>233</v>
      </c>
      <c r="AW50" s="714"/>
    </row>
    <row r="51">
      <c r="A51" s="761"/>
      <c r="B51" s="769" t="s">
        <v>493</v>
      </c>
      <c r="C51" s="770" t="s">
        <v>524</v>
      </c>
      <c r="D51" s="770" t="s">
        <v>494</v>
      </c>
      <c r="E51" s="770" t="s">
        <v>512</v>
      </c>
      <c r="F51" s="770" t="s">
        <v>523</v>
      </c>
      <c r="G51" s="770" t="s">
        <v>103</v>
      </c>
      <c r="H51" s="770">
        <v>2019.0</v>
      </c>
      <c r="I51" s="771">
        <v>0.0</v>
      </c>
      <c r="J51" s="771">
        <v>0.0</v>
      </c>
      <c r="K51" s="772">
        <v>0.0</v>
      </c>
      <c r="M51" s="769" t="s">
        <v>493</v>
      </c>
      <c r="N51" s="770" t="s">
        <v>524</v>
      </c>
      <c r="O51" s="770" t="s">
        <v>494</v>
      </c>
      <c r="P51" s="770" t="s">
        <v>512</v>
      </c>
      <c r="Q51" s="770" t="s">
        <v>523</v>
      </c>
      <c r="R51" s="770" t="s">
        <v>497</v>
      </c>
      <c r="S51" s="770">
        <v>2019.0</v>
      </c>
      <c r="T51" s="771">
        <v>0.0</v>
      </c>
      <c r="U51" s="771">
        <v>0.0</v>
      </c>
      <c r="V51" s="772">
        <v>0.0</v>
      </c>
      <c r="X51" s="786" t="s">
        <v>496</v>
      </c>
      <c r="Y51" s="787" t="s">
        <v>494</v>
      </c>
      <c r="Z51" s="787" t="s">
        <v>513</v>
      </c>
      <c r="AA51" s="787" t="s">
        <v>28</v>
      </c>
      <c r="AB51" s="787" t="s">
        <v>493</v>
      </c>
      <c r="AC51" s="787" t="s">
        <v>103</v>
      </c>
      <c r="AD51" s="788" t="s">
        <v>501</v>
      </c>
      <c r="AE51" s="779" t="s">
        <v>502</v>
      </c>
      <c r="AF51" s="789">
        <v>3462.225164</v>
      </c>
      <c r="AG51" s="789">
        <v>2609.343907</v>
      </c>
      <c r="AH51" s="789">
        <v>4598.45816</v>
      </c>
      <c r="AI51" s="790" t="s">
        <v>233</v>
      </c>
      <c r="AK51" s="769" t="s">
        <v>496</v>
      </c>
      <c r="AL51" s="770" t="s">
        <v>494</v>
      </c>
      <c r="AM51" s="770" t="s">
        <v>513</v>
      </c>
      <c r="AN51" s="770" t="s">
        <v>28</v>
      </c>
      <c r="AO51" s="770" t="s">
        <v>493</v>
      </c>
      <c r="AP51" s="770" t="s">
        <v>504</v>
      </c>
      <c r="AQ51" s="770" t="s">
        <v>501</v>
      </c>
      <c r="AR51" s="784" t="s">
        <v>502</v>
      </c>
      <c r="AS51" s="771">
        <v>1223.997163</v>
      </c>
      <c r="AT51" s="771">
        <v>922.4788646</v>
      </c>
      <c r="AU51" s="771">
        <v>1625.688531</v>
      </c>
      <c r="AV51" s="772" t="s">
        <v>233</v>
      </c>
      <c r="AW51" s="714"/>
    </row>
    <row r="52">
      <c r="A52" s="761"/>
      <c r="B52" s="769" t="s">
        <v>493</v>
      </c>
      <c r="C52" s="770" t="s">
        <v>527</v>
      </c>
      <c r="D52" s="770" t="s">
        <v>494</v>
      </c>
      <c r="E52" s="770" t="s">
        <v>495</v>
      </c>
      <c r="F52" s="770" t="s">
        <v>496</v>
      </c>
      <c r="G52" s="770" t="s">
        <v>103</v>
      </c>
      <c r="H52" s="770">
        <v>2019.0</v>
      </c>
      <c r="I52" s="771">
        <v>41955.34853</v>
      </c>
      <c r="J52" s="771">
        <v>51546.33364</v>
      </c>
      <c r="K52" s="772">
        <v>34315.24319</v>
      </c>
      <c r="M52" s="769" t="s">
        <v>493</v>
      </c>
      <c r="N52" s="770" t="s">
        <v>527</v>
      </c>
      <c r="O52" s="770" t="s">
        <v>494</v>
      </c>
      <c r="P52" s="770" t="s">
        <v>495</v>
      </c>
      <c r="Q52" s="770" t="s">
        <v>496</v>
      </c>
      <c r="R52" s="770" t="s">
        <v>497</v>
      </c>
      <c r="S52" s="770">
        <v>2019.0</v>
      </c>
      <c r="T52" s="771">
        <v>1883.048612</v>
      </c>
      <c r="U52" s="771">
        <v>2313.513185</v>
      </c>
      <c r="V52" s="772">
        <v>1540.143827</v>
      </c>
      <c r="X52" s="776" t="s">
        <v>514</v>
      </c>
      <c r="Y52" s="777" t="s">
        <v>494</v>
      </c>
      <c r="Z52" s="777" t="s">
        <v>499</v>
      </c>
      <c r="AA52" s="777" t="s">
        <v>28</v>
      </c>
      <c r="AB52" s="777" t="s">
        <v>493</v>
      </c>
      <c r="AC52" s="777" t="s">
        <v>103</v>
      </c>
      <c r="AD52" s="778" t="s">
        <v>501</v>
      </c>
      <c r="AE52" s="779" t="s">
        <v>502</v>
      </c>
      <c r="AF52" s="780">
        <v>1223.261877</v>
      </c>
      <c r="AG52" s="780">
        <v>913.5466899</v>
      </c>
      <c r="AH52" s="780">
        <v>1621.036507</v>
      </c>
      <c r="AI52" s="782" t="s">
        <v>233</v>
      </c>
      <c r="AK52" s="769" t="s">
        <v>514</v>
      </c>
      <c r="AL52" s="770" t="s">
        <v>494</v>
      </c>
      <c r="AM52" s="770" t="s">
        <v>499</v>
      </c>
      <c r="AN52" s="770" t="s">
        <v>28</v>
      </c>
      <c r="AO52" s="770" t="s">
        <v>493</v>
      </c>
      <c r="AP52" s="770" t="s">
        <v>504</v>
      </c>
      <c r="AQ52" s="770" t="s">
        <v>501</v>
      </c>
      <c r="AR52" s="784" t="s">
        <v>502</v>
      </c>
      <c r="AS52" s="771">
        <v>116134.7801</v>
      </c>
      <c r="AT52" s="771">
        <v>86730.85131</v>
      </c>
      <c r="AU52" s="771">
        <v>153898.9499</v>
      </c>
      <c r="AV52" s="772" t="s">
        <v>233</v>
      </c>
      <c r="AW52" s="714"/>
    </row>
    <row r="53">
      <c r="A53" s="761"/>
      <c r="B53" s="769" t="s">
        <v>493</v>
      </c>
      <c r="C53" s="770" t="s">
        <v>527</v>
      </c>
      <c r="D53" s="770" t="s">
        <v>494</v>
      </c>
      <c r="E53" s="770" t="s">
        <v>505</v>
      </c>
      <c r="F53" s="770" t="s">
        <v>496</v>
      </c>
      <c r="G53" s="770" t="s">
        <v>103</v>
      </c>
      <c r="H53" s="770">
        <v>2019.0</v>
      </c>
      <c r="I53" s="771">
        <v>13037.68372</v>
      </c>
      <c r="J53" s="771">
        <v>16139.9016</v>
      </c>
      <c r="K53" s="772">
        <v>10636.89306</v>
      </c>
      <c r="M53" s="769" t="s">
        <v>493</v>
      </c>
      <c r="N53" s="770" t="s">
        <v>527</v>
      </c>
      <c r="O53" s="770" t="s">
        <v>494</v>
      </c>
      <c r="P53" s="770" t="s">
        <v>505</v>
      </c>
      <c r="Q53" s="770" t="s">
        <v>496</v>
      </c>
      <c r="R53" s="770" t="s">
        <v>497</v>
      </c>
      <c r="S53" s="770">
        <v>2019.0</v>
      </c>
      <c r="T53" s="771">
        <v>136189.1714</v>
      </c>
      <c r="U53" s="771">
        <v>168594.351</v>
      </c>
      <c r="V53" s="772">
        <v>111110.9674</v>
      </c>
      <c r="X53" s="776" t="s">
        <v>514</v>
      </c>
      <c r="Y53" s="777" t="s">
        <v>494</v>
      </c>
      <c r="Z53" s="777" t="s">
        <v>507</v>
      </c>
      <c r="AA53" s="777" t="s">
        <v>28</v>
      </c>
      <c r="AB53" s="777" t="s">
        <v>493</v>
      </c>
      <c r="AC53" s="777" t="s">
        <v>103</v>
      </c>
      <c r="AD53" s="778" t="s">
        <v>501</v>
      </c>
      <c r="AE53" s="779" t="s">
        <v>502</v>
      </c>
      <c r="AF53" s="780">
        <v>811.9118308</v>
      </c>
      <c r="AG53" s="780">
        <v>615.8676833</v>
      </c>
      <c r="AH53" s="780">
        <v>1081.764296</v>
      </c>
      <c r="AI53" s="782" t="s">
        <v>233</v>
      </c>
      <c r="AK53" s="769" t="s">
        <v>514</v>
      </c>
      <c r="AL53" s="770" t="s">
        <v>494</v>
      </c>
      <c r="AM53" s="770" t="s">
        <v>507</v>
      </c>
      <c r="AN53" s="770" t="s">
        <v>28</v>
      </c>
      <c r="AO53" s="770" t="s">
        <v>493</v>
      </c>
      <c r="AP53" s="770" t="s">
        <v>504</v>
      </c>
      <c r="AQ53" s="770" t="s">
        <v>501</v>
      </c>
      <c r="AR53" s="784" t="s">
        <v>502</v>
      </c>
      <c r="AS53" s="771">
        <v>1595.205855</v>
      </c>
      <c r="AT53" s="771">
        <v>1210.027612</v>
      </c>
      <c r="AU53" s="771">
        <v>2125.399178</v>
      </c>
      <c r="AV53" s="772" t="s">
        <v>233</v>
      </c>
      <c r="AW53" s="714"/>
    </row>
    <row r="54">
      <c r="A54" s="761"/>
      <c r="B54" s="769" t="s">
        <v>493</v>
      </c>
      <c r="C54" s="770" t="s">
        <v>527</v>
      </c>
      <c r="D54" s="770" t="s">
        <v>494</v>
      </c>
      <c r="E54" s="770" t="s">
        <v>508</v>
      </c>
      <c r="F54" s="770" t="s">
        <v>496</v>
      </c>
      <c r="G54" s="770" t="s">
        <v>103</v>
      </c>
      <c r="H54" s="770">
        <v>2019.0</v>
      </c>
      <c r="I54" s="771">
        <v>11434.96677</v>
      </c>
      <c r="J54" s="771">
        <v>14078.28197</v>
      </c>
      <c r="K54" s="772">
        <v>9346.070921</v>
      </c>
      <c r="M54" s="769" t="s">
        <v>493</v>
      </c>
      <c r="N54" s="770" t="s">
        <v>527</v>
      </c>
      <c r="O54" s="770" t="s">
        <v>494</v>
      </c>
      <c r="P54" s="770" t="s">
        <v>508</v>
      </c>
      <c r="Q54" s="770" t="s">
        <v>496</v>
      </c>
      <c r="R54" s="770" t="s">
        <v>497</v>
      </c>
      <c r="S54" s="770">
        <v>2019.0</v>
      </c>
      <c r="T54" s="771">
        <v>2597.291281</v>
      </c>
      <c r="U54" s="771">
        <v>3197.683016</v>
      </c>
      <c r="V54" s="772">
        <v>2122.828077</v>
      </c>
      <c r="X54" s="786" t="s">
        <v>514</v>
      </c>
      <c r="Y54" s="787" t="s">
        <v>494</v>
      </c>
      <c r="Z54" s="787" t="s">
        <v>509</v>
      </c>
      <c r="AA54" s="787" t="s">
        <v>28</v>
      </c>
      <c r="AB54" s="787" t="s">
        <v>493</v>
      </c>
      <c r="AC54" s="787" t="s">
        <v>103</v>
      </c>
      <c r="AD54" s="788" t="s">
        <v>501</v>
      </c>
      <c r="AE54" s="779" t="s">
        <v>502</v>
      </c>
      <c r="AF54" s="789">
        <v>207.8687477</v>
      </c>
      <c r="AG54" s="789">
        <v>154.896344</v>
      </c>
      <c r="AH54" s="789">
        <v>277.8631462</v>
      </c>
      <c r="AI54" s="790" t="s">
        <v>233</v>
      </c>
      <c r="AK54" s="769" t="s">
        <v>514</v>
      </c>
      <c r="AL54" s="770" t="s">
        <v>494</v>
      </c>
      <c r="AM54" s="770" t="s">
        <v>509</v>
      </c>
      <c r="AN54" s="770" t="s">
        <v>28</v>
      </c>
      <c r="AO54" s="770" t="s">
        <v>493</v>
      </c>
      <c r="AP54" s="770" t="s">
        <v>504</v>
      </c>
      <c r="AQ54" s="770" t="s">
        <v>501</v>
      </c>
      <c r="AR54" s="784" t="s">
        <v>502</v>
      </c>
      <c r="AS54" s="771">
        <v>6657.607956</v>
      </c>
      <c r="AT54" s="771">
        <v>4961.010945</v>
      </c>
      <c r="AU54" s="771">
        <v>8899.384412</v>
      </c>
      <c r="AV54" s="772" t="s">
        <v>233</v>
      </c>
      <c r="AW54" s="714"/>
    </row>
    <row r="55">
      <c r="A55" s="761"/>
      <c r="B55" s="769" t="s">
        <v>493</v>
      </c>
      <c r="C55" s="770" t="s">
        <v>527</v>
      </c>
      <c r="D55" s="770" t="s">
        <v>494</v>
      </c>
      <c r="E55" s="770" t="s">
        <v>512</v>
      </c>
      <c r="F55" s="770" t="s">
        <v>496</v>
      </c>
      <c r="G55" s="770" t="s">
        <v>103</v>
      </c>
      <c r="H55" s="770">
        <v>2019.0</v>
      </c>
      <c r="I55" s="771">
        <v>2371.805722</v>
      </c>
      <c r="J55" s="771">
        <v>2930.767394</v>
      </c>
      <c r="K55" s="772">
        <v>1933.718441</v>
      </c>
      <c r="M55" s="769" t="s">
        <v>493</v>
      </c>
      <c r="N55" s="770" t="s">
        <v>527</v>
      </c>
      <c r="O55" s="770" t="s">
        <v>494</v>
      </c>
      <c r="P55" s="770" t="s">
        <v>512</v>
      </c>
      <c r="Q55" s="770" t="s">
        <v>496</v>
      </c>
      <c r="R55" s="770" t="s">
        <v>497</v>
      </c>
      <c r="S55" s="770">
        <v>2019.0</v>
      </c>
      <c r="T55" s="771">
        <v>8397.577162</v>
      </c>
      <c r="U55" s="771">
        <v>10376.62786</v>
      </c>
      <c r="V55" s="772">
        <v>6846.492388</v>
      </c>
      <c r="X55" s="786" t="s">
        <v>514</v>
      </c>
      <c r="Y55" s="787" t="s">
        <v>494</v>
      </c>
      <c r="Z55" s="787" t="s">
        <v>513</v>
      </c>
      <c r="AA55" s="787" t="s">
        <v>28</v>
      </c>
      <c r="AB55" s="787" t="s">
        <v>493</v>
      </c>
      <c r="AC55" s="787" t="s">
        <v>103</v>
      </c>
      <c r="AD55" s="788" t="s">
        <v>501</v>
      </c>
      <c r="AE55" s="779" t="s">
        <v>502</v>
      </c>
      <c r="AF55" s="789">
        <v>3191.557343</v>
      </c>
      <c r="AG55" s="789">
        <v>2398.887778</v>
      </c>
      <c r="AH55" s="789">
        <v>4235.361299</v>
      </c>
      <c r="AI55" s="790" t="s">
        <v>233</v>
      </c>
      <c r="AK55" s="769" t="s">
        <v>514</v>
      </c>
      <c r="AL55" s="770" t="s">
        <v>494</v>
      </c>
      <c r="AM55" s="770" t="s">
        <v>513</v>
      </c>
      <c r="AN55" s="770" t="s">
        <v>28</v>
      </c>
      <c r="AO55" s="770" t="s">
        <v>493</v>
      </c>
      <c r="AP55" s="770" t="s">
        <v>504</v>
      </c>
      <c r="AQ55" s="770" t="s">
        <v>501</v>
      </c>
      <c r="AR55" s="784" t="s">
        <v>502</v>
      </c>
      <c r="AS55" s="771">
        <v>1128.308226</v>
      </c>
      <c r="AT55" s="771">
        <v>848.0765101</v>
      </c>
      <c r="AU55" s="771">
        <v>1497.323244</v>
      </c>
      <c r="AV55" s="772" t="s">
        <v>233</v>
      </c>
      <c r="AW55" s="714"/>
    </row>
    <row r="56">
      <c r="A56" s="761"/>
      <c r="B56" s="769" t="s">
        <v>493</v>
      </c>
      <c r="C56" s="770" t="s">
        <v>527</v>
      </c>
      <c r="D56" s="770" t="s">
        <v>494</v>
      </c>
      <c r="E56" s="770" t="s">
        <v>495</v>
      </c>
      <c r="F56" s="770" t="s">
        <v>514</v>
      </c>
      <c r="G56" s="770" t="s">
        <v>103</v>
      </c>
      <c r="H56" s="770">
        <v>2019.0</v>
      </c>
      <c r="I56" s="771">
        <v>35546.23436</v>
      </c>
      <c r="J56" s="771">
        <v>44433.65444</v>
      </c>
      <c r="K56" s="772">
        <v>28595.95105</v>
      </c>
      <c r="M56" s="769" t="s">
        <v>493</v>
      </c>
      <c r="N56" s="770" t="s">
        <v>527</v>
      </c>
      <c r="O56" s="770" t="s">
        <v>494</v>
      </c>
      <c r="P56" s="770" t="s">
        <v>495</v>
      </c>
      <c r="Q56" s="770" t="s">
        <v>514</v>
      </c>
      <c r="R56" s="770" t="s">
        <v>497</v>
      </c>
      <c r="S56" s="770">
        <v>2019.0</v>
      </c>
      <c r="T56" s="771">
        <v>1595.393427</v>
      </c>
      <c r="U56" s="771">
        <v>1994.280449</v>
      </c>
      <c r="V56" s="772">
        <v>1283.449377</v>
      </c>
      <c r="X56" s="776" t="s">
        <v>518</v>
      </c>
      <c r="Y56" s="777" t="s">
        <v>494</v>
      </c>
      <c r="Z56" s="777" t="s">
        <v>499</v>
      </c>
      <c r="AA56" s="777" t="s">
        <v>28</v>
      </c>
      <c r="AB56" s="777" t="s">
        <v>493</v>
      </c>
      <c r="AC56" s="777" t="s">
        <v>103</v>
      </c>
      <c r="AD56" s="778" t="s">
        <v>501</v>
      </c>
      <c r="AE56" s="779" t="s">
        <v>502</v>
      </c>
      <c r="AF56" s="780">
        <v>11.54580852</v>
      </c>
      <c r="AG56" s="780">
        <v>4.49593377</v>
      </c>
      <c r="AH56" s="780">
        <v>23.95304229</v>
      </c>
      <c r="AI56" s="782" t="s">
        <v>233</v>
      </c>
      <c r="AK56" s="769" t="s">
        <v>518</v>
      </c>
      <c r="AL56" s="770" t="s">
        <v>494</v>
      </c>
      <c r="AM56" s="770" t="s">
        <v>499</v>
      </c>
      <c r="AN56" s="770" t="s">
        <v>28</v>
      </c>
      <c r="AO56" s="770" t="s">
        <v>493</v>
      </c>
      <c r="AP56" s="770" t="s">
        <v>504</v>
      </c>
      <c r="AQ56" s="770" t="s">
        <v>501</v>
      </c>
      <c r="AR56" s="784" t="s">
        <v>502</v>
      </c>
      <c r="AS56" s="771">
        <v>1096.142992</v>
      </c>
      <c r="AT56" s="771">
        <v>426.8376949</v>
      </c>
      <c r="AU56" s="771">
        <v>2274.068498</v>
      </c>
      <c r="AV56" s="772" t="s">
        <v>233</v>
      </c>
      <c r="AW56" s="714"/>
    </row>
    <row r="57">
      <c r="A57" s="761"/>
      <c r="B57" s="769" t="s">
        <v>493</v>
      </c>
      <c r="C57" s="770" t="s">
        <v>527</v>
      </c>
      <c r="D57" s="770" t="s">
        <v>494</v>
      </c>
      <c r="E57" s="770" t="s">
        <v>505</v>
      </c>
      <c r="F57" s="770" t="s">
        <v>514</v>
      </c>
      <c r="G57" s="770" t="s">
        <v>103</v>
      </c>
      <c r="H57" s="770">
        <v>2019.0</v>
      </c>
      <c r="I57" s="771">
        <v>12061.06329</v>
      </c>
      <c r="J57" s="771">
        <v>14891.37251</v>
      </c>
      <c r="K57" s="772">
        <v>9800.033687</v>
      </c>
      <c r="M57" s="769" t="s">
        <v>493</v>
      </c>
      <c r="N57" s="770" t="s">
        <v>527</v>
      </c>
      <c r="O57" s="770" t="s">
        <v>494</v>
      </c>
      <c r="P57" s="770" t="s">
        <v>505</v>
      </c>
      <c r="Q57" s="770" t="s">
        <v>514</v>
      </c>
      <c r="R57" s="770" t="s">
        <v>497</v>
      </c>
      <c r="S57" s="770">
        <v>2019.0</v>
      </c>
      <c r="T57" s="771">
        <v>125987.5796</v>
      </c>
      <c r="U57" s="771">
        <v>155552.4529</v>
      </c>
      <c r="V57" s="772">
        <v>102369.2932</v>
      </c>
      <c r="X57" s="776" t="s">
        <v>518</v>
      </c>
      <c r="Y57" s="777" t="s">
        <v>494</v>
      </c>
      <c r="Z57" s="777" t="s">
        <v>507</v>
      </c>
      <c r="AA57" s="777" t="s">
        <v>28</v>
      </c>
      <c r="AB57" s="777" t="s">
        <v>493</v>
      </c>
      <c r="AC57" s="777" t="s">
        <v>103</v>
      </c>
      <c r="AD57" s="778" t="s">
        <v>501</v>
      </c>
      <c r="AE57" s="779" t="s">
        <v>502</v>
      </c>
      <c r="AF57" s="780">
        <v>139.4161985</v>
      </c>
      <c r="AG57" s="780">
        <v>57.29904752</v>
      </c>
      <c r="AH57" s="780">
        <v>272.5954719</v>
      </c>
      <c r="AI57" s="782" t="s">
        <v>233</v>
      </c>
      <c r="AK57" s="769" t="s">
        <v>518</v>
      </c>
      <c r="AL57" s="770" t="s">
        <v>494</v>
      </c>
      <c r="AM57" s="770" t="s">
        <v>507</v>
      </c>
      <c r="AN57" s="770" t="s">
        <v>28</v>
      </c>
      <c r="AO57" s="770" t="s">
        <v>493</v>
      </c>
      <c r="AP57" s="770" t="s">
        <v>504</v>
      </c>
      <c r="AQ57" s="770" t="s">
        <v>501</v>
      </c>
      <c r="AR57" s="784" t="s">
        <v>502</v>
      </c>
      <c r="AS57" s="771">
        <v>273.9183341</v>
      </c>
      <c r="AT57" s="771">
        <v>112.5784508</v>
      </c>
      <c r="AU57" s="771">
        <v>535.5826533</v>
      </c>
      <c r="AV57" s="772" t="s">
        <v>233</v>
      </c>
      <c r="AW57" s="714"/>
    </row>
    <row r="58">
      <c r="A58" s="761"/>
      <c r="B58" s="769" t="s">
        <v>493</v>
      </c>
      <c r="C58" s="770" t="s">
        <v>527</v>
      </c>
      <c r="D58" s="770" t="s">
        <v>494</v>
      </c>
      <c r="E58" s="770" t="s">
        <v>508</v>
      </c>
      <c r="F58" s="770" t="s">
        <v>514</v>
      </c>
      <c r="G58" s="770" t="s">
        <v>103</v>
      </c>
      <c r="H58" s="770">
        <v>2019.0</v>
      </c>
      <c r="I58" s="771">
        <v>9248.135965</v>
      </c>
      <c r="J58" s="771">
        <v>11700.87646</v>
      </c>
      <c r="K58" s="772">
        <v>7198.084738</v>
      </c>
      <c r="M58" s="769" t="s">
        <v>493</v>
      </c>
      <c r="N58" s="770" t="s">
        <v>527</v>
      </c>
      <c r="O58" s="770" t="s">
        <v>494</v>
      </c>
      <c r="P58" s="770" t="s">
        <v>508</v>
      </c>
      <c r="Q58" s="770" t="s">
        <v>514</v>
      </c>
      <c r="R58" s="770" t="s">
        <v>497</v>
      </c>
      <c r="S58" s="770">
        <v>2019.0</v>
      </c>
      <c r="T58" s="771">
        <v>2100.583534</v>
      </c>
      <c r="U58" s="771">
        <v>2657.688914</v>
      </c>
      <c r="V58" s="772">
        <v>1634.943337</v>
      </c>
      <c r="X58" s="786" t="s">
        <v>518</v>
      </c>
      <c r="Y58" s="787" t="s">
        <v>494</v>
      </c>
      <c r="Z58" s="787" t="s">
        <v>509</v>
      </c>
      <c r="AA58" s="787" t="s">
        <v>28</v>
      </c>
      <c r="AB58" s="787" t="s">
        <v>493</v>
      </c>
      <c r="AC58" s="787" t="s">
        <v>103</v>
      </c>
      <c r="AD58" s="788" t="s">
        <v>501</v>
      </c>
      <c r="AE58" s="779" t="s">
        <v>502</v>
      </c>
      <c r="AF58" s="789">
        <v>14.23559134</v>
      </c>
      <c r="AG58" s="789">
        <v>5.850015884</v>
      </c>
      <c r="AH58" s="789">
        <v>29.10407609</v>
      </c>
      <c r="AI58" s="790" t="s">
        <v>233</v>
      </c>
      <c r="AK58" s="769" t="s">
        <v>518</v>
      </c>
      <c r="AL58" s="770" t="s">
        <v>494</v>
      </c>
      <c r="AM58" s="770" t="s">
        <v>509</v>
      </c>
      <c r="AN58" s="770" t="s">
        <v>28</v>
      </c>
      <c r="AO58" s="770" t="s">
        <v>493</v>
      </c>
      <c r="AP58" s="770" t="s">
        <v>504</v>
      </c>
      <c r="AQ58" s="770" t="s">
        <v>501</v>
      </c>
      <c r="AR58" s="784" t="s">
        <v>502</v>
      </c>
      <c r="AS58" s="771">
        <v>455.9366773</v>
      </c>
      <c r="AT58" s="771">
        <v>187.3639627</v>
      </c>
      <c r="AU58" s="771">
        <v>932.1436276</v>
      </c>
      <c r="AV58" s="772" t="s">
        <v>233</v>
      </c>
      <c r="AW58" s="714"/>
    </row>
    <row r="59">
      <c r="A59" s="761"/>
      <c r="B59" s="769" t="s">
        <v>493</v>
      </c>
      <c r="C59" s="770" t="s">
        <v>527</v>
      </c>
      <c r="D59" s="770" t="s">
        <v>494</v>
      </c>
      <c r="E59" s="770" t="s">
        <v>512</v>
      </c>
      <c r="F59" s="770" t="s">
        <v>514</v>
      </c>
      <c r="G59" s="770" t="s">
        <v>103</v>
      </c>
      <c r="H59" s="770">
        <v>2019.0</v>
      </c>
      <c r="I59" s="771">
        <v>2075.51957</v>
      </c>
      <c r="J59" s="771">
        <v>2576.007387</v>
      </c>
      <c r="K59" s="772">
        <v>1673.106819</v>
      </c>
      <c r="M59" s="769" t="s">
        <v>493</v>
      </c>
      <c r="N59" s="770" t="s">
        <v>527</v>
      </c>
      <c r="O59" s="770" t="s">
        <v>494</v>
      </c>
      <c r="P59" s="770" t="s">
        <v>512</v>
      </c>
      <c r="Q59" s="770" t="s">
        <v>514</v>
      </c>
      <c r="R59" s="770" t="s">
        <v>497</v>
      </c>
      <c r="S59" s="770">
        <v>2019.0</v>
      </c>
      <c r="T59" s="771">
        <v>7348.551181</v>
      </c>
      <c r="U59" s="771">
        <v>9120.57029</v>
      </c>
      <c r="V59" s="772">
        <v>5923.775073</v>
      </c>
      <c r="X59" s="786" t="s">
        <v>518</v>
      </c>
      <c r="Y59" s="787" t="s">
        <v>494</v>
      </c>
      <c r="Z59" s="787" t="s">
        <v>513</v>
      </c>
      <c r="AA59" s="787" t="s">
        <v>28</v>
      </c>
      <c r="AB59" s="787" t="s">
        <v>493</v>
      </c>
      <c r="AC59" s="787" t="s">
        <v>103</v>
      </c>
      <c r="AD59" s="788" t="s">
        <v>501</v>
      </c>
      <c r="AE59" s="779" t="s">
        <v>502</v>
      </c>
      <c r="AF59" s="789">
        <v>235.8614688</v>
      </c>
      <c r="AG59" s="789">
        <v>101.862002</v>
      </c>
      <c r="AH59" s="789">
        <v>455.4908705</v>
      </c>
      <c r="AI59" s="790" t="s">
        <v>233</v>
      </c>
      <c r="AK59" s="769" t="s">
        <v>518</v>
      </c>
      <c r="AL59" s="770" t="s">
        <v>494</v>
      </c>
      <c r="AM59" s="770" t="s">
        <v>513</v>
      </c>
      <c r="AN59" s="770" t="s">
        <v>28</v>
      </c>
      <c r="AO59" s="770" t="s">
        <v>493</v>
      </c>
      <c r="AP59" s="770" t="s">
        <v>504</v>
      </c>
      <c r="AQ59" s="770" t="s">
        <v>501</v>
      </c>
      <c r="AR59" s="784" t="s">
        <v>502</v>
      </c>
      <c r="AS59" s="771">
        <v>83.3838803</v>
      </c>
      <c r="AT59" s="771">
        <v>36.01117648</v>
      </c>
      <c r="AU59" s="771">
        <v>161.0292534</v>
      </c>
      <c r="AV59" s="772" t="s">
        <v>233</v>
      </c>
      <c r="AW59" s="714"/>
    </row>
    <row r="60">
      <c r="A60" s="761"/>
      <c r="B60" s="769" t="s">
        <v>493</v>
      </c>
      <c r="C60" s="770" t="s">
        <v>527</v>
      </c>
      <c r="D60" s="770" t="s">
        <v>494</v>
      </c>
      <c r="E60" s="770" t="s">
        <v>495</v>
      </c>
      <c r="F60" s="770" t="s">
        <v>518</v>
      </c>
      <c r="G60" s="770" t="s">
        <v>103</v>
      </c>
      <c r="H60" s="770">
        <v>2019.0</v>
      </c>
      <c r="I60" s="771">
        <v>2910.150838</v>
      </c>
      <c r="J60" s="771">
        <v>6638.625392</v>
      </c>
      <c r="K60" s="772">
        <v>915.7195138</v>
      </c>
      <c r="M60" s="769" t="s">
        <v>493</v>
      </c>
      <c r="N60" s="770" t="s">
        <v>527</v>
      </c>
      <c r="O60" s="770" t="s">
        <v>494</v>
      </c>
      <c r="P60" s="770" t="s">
        <v>495</v>
      </c>
      <c r="Q60" s="770" t="s">
        <v>518</v>
      </c>
      <c r="R60" s="770" t="s">
        <v>497</v>
      </c>
      <c r="S60" s="770">
        <v>2019.0</v>
      </c>
      <c r="T60" s="771">
        <v>130.6139905</v>
      </c>
      <c r="U60" s="771">
        <v>297.9561549</v>
      </c>
      <c r="V60" s="772">
        <v>41.09951221</v>
      </c>
      <c r="X60" s="776" t="s">
        <v>519</v>
      </c>
      <c r="Y60" s="777" t="s">
        <v>494</v>
      </c>
      <c r="Z60" s="777" t="s">
        <v>499</v>
      </c>
      <c r="AA60" s="777" t="s">
        <v>28</v>
      </c>
      <c r="AB60" s="777" t="s">
        <v>493</v>
      </c>
      <c r="AC60" s="777" t="s">
        <v>103</v>
      </c>
      <c r="AD60" s="778" t="s">
        <v>501</v>
      </c>
      <c r="AE60" s="779" t="s">
        <v>502</v>
      </c>
      <c r="AF60" s="780">
        <v>975.2040703</v>
      </c>
      <c r="AG60" s="780">
        <v>717.3238418</v>
      </c>
      <c r="AH60" s="780">
        <v>1316.000162</v>
      </c>
      <c r="AI60" s="782" t="s">
        <v>233</v>
      </c>
      <c r="AK60" s="769" t="s">
        <v>519</v>
      </c>
      <c r="AL60" s="770" t="s">
        <v>494</v>
      </c>
      <c r="AM60" s="770" t="s">
        <v>499</v>
      </c>
      <c r="AN60" s="770" t="s">
        <v>28</v>
      </c>
      <c r="AO60" s="770" t="s">
        <v>493</v>
      </c>
      <c r="AP60" s="770" t="s">
        <v>504</v>
      </c>
      <c r="AQ60" s="770" t="s">
        <v>501</v>
      </c>
      <c r="AR60" s="784" t="s">
        <v>502</v>
      </c>
      <c r="AS60" s="771">
        <v>92584.51719</v>
      </c>
      <c r="AT60" s="771">
        <v>68101.7272</v>
      </c>
      <c r="AU60" s="771">
        <v>124939.2238</v>
      </c>
      <c r="AV60" s="772" t="s">
        <v>233</v>
      </c>
      <c r="AW60" s="714"/>
    </row>
    <row r="61">
      <c r="A61" s="761"/>
      <c r="B61" s="769" t="s">
        <v>493</v>
      </c>
      <c r="C61" s="770" t="s">
        <v>527</v>
      </c>
      <c r="D61" s="770" t="s">
        <v>494</v>
      </c>
      <c r="E61" s="770" t="s">
        <v>505</v>
      </c>
      <c r="F61" s="770" t="s">
        <v>518</v>
      </c>
      <c r="G61" s="770" t="s">
        <v>103</v>
      </c>
      <c r="H61" s="770">
        <v>2019.0</v>
      </c>
      <c r="I61" s="771">
        <v>51.29556808</v>
      </c>
      <c r="J61" s="771">
        <v>124.5362145</v>
      </c>
      <c r="K61" s="772">
        <v>12.74847693</v>
      </c>
      <c r="M61" s="769" t="s">
        <v>493</v>
      </c>
      <c r="N61" s="770" t="s">
        <v>527</v>
      </c>
      <c r="O61" s="770" t="s">
        <v>494</v>
      </c>
      <c r="P61" s="770" t="s">
        <v>505</v>
      </c>
      <c r="Q61" s="770" t="s">
        <v>518</v>
      </c>
      <c r="R61" s="770" t="s">
        <v>497</v>
      </c>
      <c r="S61" s="770">
        <v>2019.0</v>
      </c>
      <c r="T61" s="771">
        <v>535.8237754</v>
      </c>
      <c r="U61" s="771">
        <v>1300.881677</v>
      </c>
      <c r="V61" s="772">
        <v>133.1681721</v>
      </c>
      <c r="X61" s="776" t="s">
        <v>519</v>
      </c>
      <c r="Y61" s="777" t="s">
        <v>494</v>
      </c>
      <c r="Z61" s="777" t="s">
        <v>507</v>
      </c>
      <c r="AA61" s="777" t="s">
        <v>28</v>
      </c>
      <c r="AB61" s="777" t="s">
        <v>493</v>
      </c>
      <c r="AC61" s="777" t="s">
        <v>103</v>
      </c>
      <c r="AD61" s="778" t="s">
        <v>501</v>
      </c>
      <c r="AE61" s="779" t="s">
        <v>502</v>
      </c>
      <c r="AF61" s="780">
        <v>3.470194986</v>
      </c>
      <c r="AG61" s="780">
        <v>1.502639404</v>
      </c>
      <c r="AH61" s="780">
        <v>6.659851721</v>
      </c>
      <c r="AI61" s="782" t="s">
        <v>233</v>
      </c>
      <c r="AK61" s="769" t="s">
        <v>519</v>
      </c>
      <c r="AL61" s="770" t="s">
        <v>494</v>
      </c>
      <c r="AM61" s="770" t="s">
        <v>507</v>
      </c>
      <c r="AN61" s="770" t="s">
        <v>28</v>
      </c>
      <c r="AO61" s="770" t="s">
        <v>493</v>
      </c>
      <c r="AP61" s="770" t="s">
        <v>504</v>
      </c>
      <c r="AQ61" s="770" t="s">
        <v>501</v>
      </c>
      <c r="AR61" s="784" t="s">
        <v>502</v>
      </c>
      <c r="AS61" s="771">
        <v>6.818074509</v>
      </c>
      <c r="AT61" s="771">
        <v>2.952314628</v>
      </c>
      <c r="AU61" s="771">
        <v>13.08496077</v>
      </c>
      <c r="AV61" s="772" t="s">
        <v>233</v>
      </c>
      <c r="AW61" s="714"/>
    </row>
    <row r="62">
      <c r="A62" s="761"/>
      <c r="B62" s="769" t="s">
        <v>493</v>
      </c>
      <c r="C62" s="770" t="s">
        <v>527</v>
      </c>
      <c r="D62" s="770" t="s">
        <v>494</v>
      </c>
      <c r="E62" s="770" t="s">
        <v>508</v>
      </c>
      <c r="F62" s="770" t="s">
        <v>518</v>
      </c>
      <c r="G62" s="770" t="s">
        <v>103</v>
      </c>
      <c r="H62" s="770">
        <v>2019.0</v>
      </c>
      <c r="I62" s="771">
        <v>1379.67356</v>
      </c>
      <c r="J62" s="771">
        <v>3218.555496</v>
      </c>
      <c r="K62" s="772">
        <v>352.1472634</v>
      </c>
      <c r="M62" s="769" t="s">
        <v>493</v>
      </c>
      <c r="N62" s="770" t="s">
        <v>527</v>
      </c>
      <c r="O62" s="770" t="s">
        <v>494</v>
      </c>
      <c r="P62" s="770" t="s">
        <v>508</v>
      </c>
      <c r="Q62" s="770" t="s">
        <v>518</v>
      </c>
      <c r="R62" s="770" t="s">
        <v>497</v>
      </c>
      <c r="S62" s="770">
        <v>2019.0</v>
      </c>
      <c r="T62" s="771">
        <v>313.3733731</v>
      </c>
      <c r="U62" s="771">
        <v>731.0494465</v>
      </c>
      <c r="V62" s="772">
        <v>79.98527983</v>
      </c>
      <c r="X62" s="786" t="s">
        <v>519</v>
      </c>
      <c r="Y62" s="787" t="s">
        <v>494</v>
      </c>
      <c r="Z62" s="787" t="s">
        <v>509</v>
      </c>
      <c r="AA62" s="787" t="s">
        <v>28</v>
      </c>
      <c r="AB62" s="787" t="s">
        <v>493</v>
      </c>
      <c r="AC62" s="787" t="s">
        <v>103</v>
      </c>
      <c r="AD62" s="788" t="s">
        <v>501</v>
      </c>
      <c r="AE62" s="779" t="s">
        <v>502</v>
      </c>
      <c r="AF62" s="789">
        <v>59.37587154</v>
      </c>
      <c r="AG62" s="789">
        <v>34.21127543</v>
      </c>
      <c r="AH62" s="789">
        <v>92.66952585</v>
      </c>
      <c r="AI62" s="790" t="s">
        <v>233</v>
      </c>
      <c r="AK62" s="769" t="s">
        <v>519</v>
      </c>
      <c r="AL62" s="770" t="s">
        <v>494</v>
      </c>
      <c r="AM62" s="770" t="s">
        <v>509</v>
      </c>
      <c r="AN62" s="770" t="s">
        <v>28</v>
      </c>
      <c r="AO62" s="770" t="s">
        <v>493</v>
      </c>
      <c r="AP62" s="770" t="s">
        <v>504</v>
      </c>
      <c r="AQ62" s="770" t="s">
        <v>501</v>
      </c>
      <c r="AR62" s="784" t="s">
        <v>502</v>
      </c>
      <c r="AS62" s="771">
        <v>1901.686902</v>
      </c>
      <c r="AT62" s="771">
        <v>1095.716706</v>
      </c>
      <c r="AU62" s="771">
        <v>2968.014093</v>
      </c>
      <c r="AV62" s="772" t="s">
        <v>233</v>
      </c>
      <c r="AW62" s="714"/>
    </row>
    <row r="63">
      <c r="A63" s="761"/>
      <c r="B63" s="769" t="s">
        <v>493</v>
      </c>
      <c r="C63" s="770" t="s">
        <v>527</v>
      </c>
      <c r="D63" s="770" t="s">
        <v>494</v>
      </c>
      <c r="E63" s="770" t="s">
        <v>512</v>
      </c>
      <c r="F63" s="770" t="s">
        <v>518</v>
      </c>
      <c r="G63" s="770" t="s">
        <v>103</v>
      </c>
      <c r="H63" s="770">
        <v>2019.0</v>
      </c>
      <c r="I63" s="771">
        <v>101.8896667</v>
      </c>
      <c r="J63" s="771">
        <v>281.1421954</v>
      </c>
      <c r="K63" s="772">
        <v>25.08206722</v>
      </c>
      <c r="M63" s="769" t="s">
        <v>493</v>
      </c>
      <c r="N63" s="770" t="s">
        <v>527</v>
      </c>
      <c r="O63" s="770" t="s">
        <v>494</v>
      </c>
      <c r="P63" s="770" t="s">
        <v>512</v>
      </c>
      <c r="Q63" s="770" t="s">
        <v>518</v>
      </c>
      <c r="R63" s="770" t="s">
        <v>497</v>
      </c>
      <c r="S63" s="770">
        <v>2019.0</v>
      </c>
      <c r="T63" s="771">
        <v>360.7489138</v>
      </c>
      <c r="U63" s="771">
        <v>995.4075318</v>
      </c>
      <c r="V63" s="772">
        <v>88.80516349</v>
      </c>
      <c r="X63" s="786" t="s">
        <v>519</v>
      </c>
      <c r="Y63" s="787" t="s">
        <v>494</v>
      </c>
      <c r="Z63" s="787" t="s">
        <v>513</v>
      </c>
      <c r="AA63" s="787" t="s">
        <v>28</v>
      </c>
      <c r="AB63" s="787" t="s">
        <v>493</v>
      </c>
      <c r="AC63" s="787" t="s">
        <v>103</v>
      </c>
      <c r="AD63" s="788" t="s">
        <v>501</v>
      </c>
      <c r="AE63" s="779" t="s">
        <v>502</v>
      </c>
      <c r="AF63" s="789">
        <v>1038.480657</v>
      </c>
      <c r="AG63" s="789">
        <v>766.4548874</v>
      </c>
      <c r="AH63" s="789">
        <v>1390.060326</v>
      </c>
      <c r="AI63" s="790" t="s">
        <v>233</v>
      </c>
      <c r="AK63" s="769" t="s">
        <v>519</v>
      </c>
      <c r="AL63" s="770" t="s">
        <v>494</v>
      </c>
      <c r="AM63" s="770" t="s">
        <v>513</v>
      </c>
      <c r="AN63" s="770" t="s">
        <v>28</v>
      </c>
      <c r="AO63" s="770" t="s">
        <v>493</v>
      </c>
      <c r="AP63" s="770" t="s">
        <v>504</v>
      </c>
      <c r="AQ63" s="770" t="s">
        <v>501</v>
      </c>
      <c r="AR63" s="784" t="s">
        <v>502</v>
      </c>
      <c r="AS63" s="771">
        <v>367.1330771</v>
      </c>
      <c r="AT63" s="771">
        <v>270.9640659</v>
      </c>
      <c r="AU63" s="771">
        <v>491.4267024</v>
      </c>
      <c r="AV63" s="772" t="s">
        <v>233</v>
      </c>
      <c r="AW63" s="714"/>
    </row>
    <row r="64">
      <c r="A64" s="761"/>
      <c r="B64" s="769" t="s">
        <v>493</v>
      </c>
      <c r="C64" s="770" t="s">
        <v>527</v>
      </c>
      <c r="D64" s="770" t="s">
        <v>494</v>
      </c>
      <c r="E64" s="770" t="s">
        <v>495</v>
      </c>
      <c r="F64" s="770" t="s">
        <v>519</v>
      </c>
      <c r="G64" s="770" t="s">
        <v>103</v>
      </c>
      <c r="H64" s="770">
        <v>2019.0</v>
      </c>
      <c r="I64" s="771">
        <v>12609.42715</v>
      </c>
      <c r="J64" s="771">
        <v>15751.11838</v>
      </c>
      <c r="K64" s="772">
        <v>10163.98663</v>
      </c>
      <c r="M64" s="769" t="s">
        <v>493</v>
      </c>
      <c r="N64" s="770" t="s">
        <v>527</v>
      </c>
      <c r="O64" s="770" t="s">
        <v>494</v>
      </c>
      <c r="P64" s="770" t="s">
        <v>495</v>
      </c>
      <c r="Q64" s="770" t="s">
        <v>519</v>
      </c>
      <c r="R64" s="770" t="s">
        <v>497</v>
      </c>
      <c r="S64" s="770">
        <v>2019.0</v>
      </c>
      <c r="T64" s="771">
        <v>565.9389116</v>
      </c>
      <c r="U64" s="771">
        <v>706.9449459</v>
      </c>
      <c r="V64" s="772">
        <v>456.1821458</v>
      </c>
      <c r="X64" s="776" t="s">
        <v>521</v>
      </c>
      <c r="Y64" s="777" t="s">
        <v>494</v>
      </c>
      <c r="Z64" s="777" t="s">
        <v>499</v>
      </c>
      <c r="AA64" s="777" t="s">
        <v>28</v>
      </c>
      <c r="AB64" s="777" t="s">
        <v>493</v>
      </c>
      <c r="AC64" s="777" t="s">
        <v>103</v>
      </c>
      <c r="AD64" s="778" t="s">
        <v>501</v>
      </c>
      <c r="AE64" s="779" t="s">
        <v>502</v>
      </c>
      <c r="AF64" s="780">
        <v>0.0</v>
      </c>
      <c r="AG64" s="780">
        <v>0.0</v>
      </c>
      <c r="AH64" s="780">
        <v>0.0</v>
      </c>
      <c r="AI64" s="782" t="s">
        <v>233</v>
      </c>
      <c r="AK64" s="769" t="s">
        <v>521</v>
      </c>
      <c r="AL64" s="770" t="s">
        <v>494</v>
      </c>
      <c r="AM64" s="770" t="s">
        <v>499</v>
      </c>
      <c r="AN64" s="770" t="s">
        <v>28</v>
      </c>
      <c r="AO64" s="770" t="s">
        <v>493</v>
      </c>
      <c r="AP64" s="770" t="s">
        <v>504</v>
      </c>
      <c r="AQ64" s="770" t="s">
        <v>501</v>
      </c>
      <c r="AR64" s="784" t="s">
        <v>502</v>
      </c>
      <c r="AS64" s="771">
        <v>0.0</v>
      </c>
      <c r="AT64" s="771">
        <v>0.0</v>
      </c>
      <c r="AU64" s="771">
        <v>0.0</v>
      </c>
      <c r="AV64" s="772" t="s">
        <v>233</v>
      </c>
      <c r="AW64" s="714"/>
    </row>
    <row r="65">
      <c r="A65" s="761"/>
      <c r="B65" s="769" t="s">
        <v>493</v>
      </c>
      <c r="C65" s="770" t="s">
        <v>527</v>
      </c>
      <c r="D65" s="770" t="s">
        <v>494</v>
      </c>
      <c r="E65" s="770" t="s">
        <v>505</v>
      </c>
      <c r="F65" s="770" t="s">
        <v>519</v>
      </c>
      <c r="G65" s="770" t="s">
        <v>103</v>
      </c>
      <c r="H65" s="770">
        <v>2019.0</v>
      </c>
      <c r="I65" s="771">
        <v>11091.86405</v>
      </c>
      <c r="J65" s="771">
        <v>13761.71773</v>
      </c>
      <c r="K65" s="772">
        <v>8950.571258</v>
      </c>
      <c r="M65" s="769" t="s">
        <v>493</v>
      </c>
      <c r="N65" s="770" t="s">
        <v>527</v>
      </c>
      <c r="O65" s="770" t="s">
        <v>494</v>
      </c>
      <c r="P65" s="770" t="s">
        <v>505</v>
      </c>
      <c r="Q65" s="770" t="s">
        <v>519</v>
      </c>
      <c r="R65" s="770" t="s">
        <v>497</v>
      </c>
      <c r="S65" s="770">
        <v>2019.0</v>
      </c>
      <c r="T65" s="771">
        <v>115863.5082</v>
      </c>
      <c r="U65" s="771">
        <v>143752.2933</v>
      </c>
      <c r="V65" s="772">
        <v>93495.96978</v>
      </c>
      <c r="X65" s="776" t="s">
        <v>521</v>
      </c>
      <c r="Y65" s="777" t="s">
        <v>494</v>
      </c>
      <c r="Z65" s="777" t="s">
        <v>507</v>
      </c>
      <c r="AA65" s="777" t="s">
        <v>28</v>
      </c>
      <c r="AB65" s="777" t="s">
        <v>493</v>
      </c>
      <c r="AC65" s="777" t="s">
        <v>103</v>
      </c>
      <c r="AD65" s="778" t="s">
        <v>501</v>
      </c>
      <c r="AE65" s="779" t="s">
        <v>502</v>
      </c>
      <c r="AF65" s="780">
        <v>1.406138079</v>
      </c>
      <c r="AG65" s="780">
        <v>0.3498559693</v>
      </c>
      <c r="AH65" s="780">
        <v>3.675002183</v>
      </c>
      <c r="AI65" s="782" t="s">
        <v>233</v>
      </c>
      <c r="AK65" s="769" t="s">
        <v>521</v>
      </c>
      <c r="AL65" s="770" t="s">
        <v>494</v>
      </c>
      <c r="AM65" s="770" t="s">
        <v>507</v>
      </c>
      <c r="AN65" s="770" t="s">
        <v>28</v>
      </c>
      <c r="AO65" s="770" t="s">
        <v>493</v>
      </c>
      <c r="AP65" s="770" t="s">
        <v>504</v>
      </c>
      <c r="AQ65" s="770" t="s">
        <v>501</v>
      </c>
      <c r="AR65" s="784" t="s">
        <v>502</v>
      </c>
      <c r="AS65" s="771">
        <v>2.762713401</v>
      </c>
      <c r="AT65" s="771">
        <v>0.687380414</v>
      </c>
      <c r="AU65" s="771">
        <v>7.220469976</v>
      </c>
      <c r="AV65" s="772" t="s">
        <v>233</v>
      </c>
      <c r="AW65" s="714"/>
    </row>
    <row r="66">
      <c r="A66" s="761"/>
      <c r="B66" s="769" t="s">
        <v>493</v>
      </c>
      <c r="C66" s="770" t="s">
        <v>527</v>
      </c>
      <c r="D66" s="770" t="s">
        <v>494</v>
      </c>
      <c r="E66" s="770" t="s">
        <v>508</v>
      </c>
      <c r="F66" s="770" t="s">
        <v>519</v>
      </c>
      <c r="G66" s="770" t="s">
        <v>103</v>
      </c>
      <c r="H66" s="770">
        <v>2019.0</v>
      </c>
      <c r="I66" s="771">
        <v>250.5486138</v>
      </c>
      <c r="J66" s="771">
        <v>438.7219591</v>
      </c>
      <c r="K66" s="772">
        <v>123.9071836</v>
      </c>
      <c r="M66" s="769" t="s">
        <v>493</v>
      </c>
      <c r="N66" s="770" t="s">
        <v>527</v>
      </c>
      <c r="O66" s="770" t="s">
        <v>494</v>
      </c>
      <c r="P66" s="770" t="s">
        <v>508</v>
      </c>
      <c r="Q66" s="770" t="s">
        <v>519</v>
      </c>
      <c r="R66" s="770" t="s">
        <v>497</v>
      </c>
      <c r="S66" s="770">
        <v>2019.0</v>
      </c>
      <c r="T66" s="771">
        <v>56.90858078</v>
      </c>
      <c r="U66" s="771">
        <v>99.64949985</v>
      </c>
      <c r="V66" s="772">
        <v>28.14376764</v>
      </c>
      <c r="X66" s="786" t="s">
        <v>521</v>
      </c>
      <c r="Y66" s="787" t="s">
        <v>494</v>
      </c>
      <c r="Z66" s="787" t="s">
        <v>509</v>
      </c>
      <c r="AA66" s="787" t="s">
        <v>28</v>
      </c>
      <c r="AB66" s="787" t="s">
        <v>493</v>
      </c>
      <c r="AC66" s="787" t="s">
        <v>103</v>
      </c>
      <c r="AD66" s="788" t="s">
        <v>501</v>
      </c>
      <c r="AE66" s="779" t="s">
        <v>502</v>
      </c>
      <c r="AF66" s="789">
        <v>0.0</v>
      </c>
      <c r="AG66" s="789">
        <v>0.0</v>
      </c>
      <c r="AH66" s="789">
        <v>0.0</v>
      </c>
      <c r="AI66" s="790" t="s">
        <v>233</v>
      </c>
      <c r="AK66" s="769" t="s">
        <v>521</v>
      </c>
      <c r="AL66" s="770" t="s">
        <v>494</v>
      </c>
      <c r="AM66" s="770" t="s">
        <v>509</v>
      </c>
      <c r="AN66" s="770" t="s">
        <v>28</v>
      </c>
      <c r="AO66" s="770" t="s">
        <v>493</v>
      </c>
      <c r="AP66" s="770" t="s">
        <v>504</v>
      </c>
      <c r="AQ66" s="770" t="s">
        <v>501</v>
      </c>
      <c r="AR66" s="784" t="s">
        <v>502</v>
      </c>
      <c r="AS66" s="771">
        <v>0.0</v>
      </c>
      <c r="AT66" s="771">
        <v>0.0</v>
      </c>
      <c r="AU66" s="771">
        <v>0.0</v>
      </c>
      <c r="AV66" s="772" t="s">
        <v>233</v>
      </c>
      <c r="AW66" s="714"/>
    </row>
    <row r="67">
      <c r="A67" s="761"/>
      <c r="B67" s="769" t="s">
        <v>493</v>
      </c>
      <c r="C67" s="770" t="s">
        <v>527</v>
      </c>
      <c r="D67" s="770" t="s">
        <v>494</v>
      </c>
      <c r="E67" s="770" t="s">
        <v>512</v>
      </c>
      <c r="F67" s="770" t="s">
        <v>519</v>
      </c>
      <c r="G67" s="770" t="s">
        <v>103</v>
      </c>
      <c r="H67" s="770">
        <v>2019.0</v>
      </c>
      <c r="I67" s="771">
        <v>1219.462418</v>
      </c>
      <c r="J67" s="771">
        <v>1622.600798</v>
      </c>
      <c r="K67" s="772">
        <v>883.4036479</v>
      </c>
      <c r="M67" s="769" t="s">
        <v>493</v>
      </c>
      <c r="N67" s="770" t="s">
        <v>527</v>
      </c>
      <c r="O67" s="770" t="s">
        <v>494</v>
      </c>
      <c r="P67" s="770" t="s">
        <v>512</v>
      </c>
      <c r="Q67" s="770" t="s">
        <v>519</v>
      </c>
      <c r="R67" s="770" t="s">
        <v>497</v>
      </c>
      <c r="S67" s="770">
        <v>2019.0</v>
      </c>
      <c r="T67" s="771">
        <v>4317.609009</v>
      </c>
      <c r="U67" s="771">
        <v>5744.954267</v>
      </c>
      <c r="V67" s="772">
        <v>3127.764737</v>
      </c>
      <c r="X67" s="786" t="s">
        <v>521</v>
      </c>
      <c r="Y67" s="787" t="s">
        <v>494</v>
      </c>
      <c r="Z67" s="787" t="s">
        <v>513</v>
      </c>
      <c r="AA67" s="787" t="s">
        <v>28</v>
      </c>
      <c r="AB67" s="787" t="s">
        <v>493</v>
      </c>
      <c r="AC67" s="787" t="s">
        <v>103</v>
      </c>
      <c r="AD67" s="788" t="s">
        <v>501</v>
      </c>
      <c r="AE67" s="779" t="s">
        <v>502</v>
      </c>
      <c r="AF67" s="789">
        <v>5.309874607</v>
      </c>
      <c r="AG67" s="789">
        <v>1.205214338</v>
      </c>
      <c r="AH67" s="789">
        <v>14.89856755</v>
      </c>
      <c r="AI67" s="790" t="s">
        <v>233</v>
      </c>
      <c r="AK67" s="769" t="s">
        <v>521</v>
      </c>
      <c r="AL67" s="770" t="s">
        <v>494</v>
      </c>
      <c r="AM67" s="770" t="s">
        <v>513</v>
      </c>
      <c r="AN67" s="770" t="s">
        <v>28</v>
      </c>
      <c r="AO67" s="770" t="s">
        <v>493</v>
      </c>
      <c r="AP67" s="770" t="s">
        <v>504</v>
      </c>
      <c r="AQ67" s="770" t="s">
        <v>501</v>
      </c>
      <c r="AR67" s="784" t="s">
        <v>502</v>
      </c>
      <c r="AS67" s="771">
        <v>1.87719491</v>
      </c>
      <c r="AT67" s="771">
        <v>0.4260782762</v>
      </c>
      <c r="AU67" s="771">
        <v>5.267076387</v>
      </c>
      <c r="AV67" s="772" t="s">
        <v>233</v>
      </c>
      <c r="AW67" s="714"/>
    </row>
    <row r="68">
      <c r="A68" s="761"/>
      <c r="B68" s="769" t="s">
        <v>493</v>
      </c>
      <c r="C68" s="770" t="s">
        <v>527</v>
      </c>
      <c r="D68" s="770" t="s">
        <v>494</v>
      </c>
      <c r="E68" s="770" t="s">
        <v>495</v>
      </c>
      <c r="F68" s="770" t="s">
        <v>521</v>
      </c>
      <c r="G68" s="770" t="s">
        <v>103</v>
      </c>
      <c r="H68" s="770">
        <v>2019.0</v>
      </c>
      <c r="I68" s="771">
        <v>2221.055114</v>
      </c>
      <c r="J68" s="771">
        <v>5052.06247</v>
      </c>
      <c r="K68" s="772">
        <v>715.8693915</v>
      </c>
      <c r="M68" s="769" t="s">
        <v>493</v>
      </c>
      <c r="N68" s="770" t="s">
        <v>527</v>
      </c>
      <c r="O68" s="770" t="s">
        <v>494</v>
      </c>
      <c r="P68" s="770" t="s">
        <v>495</v>
      </c>
      <c r="Q68" s="770" t="s">
        <v>521</v>
      </c>
      <c r="R68" s="770" t="s">
        <v>497</v>
      </c>
      <c r="S68" s="770">
        <v>2019.0</v>
      </c>
      <c r="T68" s="771">
        <v>99.68585404</v>
      </c>
      <c r="U68" s="771">
        <v>226.7477104</v>
      </c>
      <c r="V68" s="772">
        <v>32.12979777</v>
      </c>
      <c r="X68" s="776" t="s">
        <v>523</v>
      </c>
      <c r="Y68" s="777" t="s">
        <v>494</v>
      </c>
      <c r="Z68" s="777" t="s">
        <v>507</v>
      </c>
      <c r="AA68" s="777" t="s">
        <v>28</v>
      </c>
      <c r="AB68" s="777" t="s">
        <v>493</v>
      </c>
      <c r="AC68" s="777" t="s">
        <v>103</v>
      </c>
      <c r="AD68" s="778" t="s">
        <v>501</v>
      </c>
      <c r="AE68" s="779" t="s">
        <v>502</v>
      </c>
      <c r="AF68" s="780">
        <v>5.57284467</v>
      </c>
      <c r="AG68" s="780">
        <v>2.202724921</v>
      </c>
      <c r="AH68" s="780">
        <v>11.0065544</v>
      </c>
      <c r="AI68" s="782" t="s">
        <v>233</v>
      </c>
      <c r="AK68" s="769" t="s">
        <v>523</v>
      </c>
      <c r="AL68" s="770" t="s">
        <v>494</v>
      </c>
      <c r="AM68" s="770" t="s">
        <v>507</v>
      </c>
      <c r="AN68" s="770" t="s">
        <v>28</v>
      </c>
      <c r="AO68" s="770" t="s">
        <v>493</v>
      </c>
      <c r="AP68" s="770" t="s">
        <v>504</v>
      </c>
      <c r="AQ68" s="770" t="s">
        <v>501</v>
      </c>
      <c r="AR68" s="784" t="s">
        <v>502</v>
      </c>
      <c r="AS68" s="771">
        <v>10.94926088</v>
      </c>
      <c r="AT68" s="771">
        <v>4.327809445</v>
      </c>
      <c r="AU68" s="771">
        <v>21.62515602</v>
      </c>
      <c r="AV68" s="772" t="s">
        <v>233</v>
      </c>
      <c r="AW68" s="714"/>
    </row>
    <row r="69">
      <c r="A69" s="761"/>
      <c r="B69" s="769" t="s">
        <v>493</v>
      </c>
      <c r="C69" s="770" t="s">
        <v>527</v>
      </c>
      <c r="D69" s="770" t="s">
        <v>494</v>
      </c>
      <c r="E69" s="770" t="s">
        <v>505</v>
      </c>
      <c r="F69" s="770" t="s">
        <v>521</v>
      </c>
      <c r="G69" s="770" t="s">
        <v>103</v>
      </c>
      <c r="H69" s="770">
        <v>2019.0</v>
      </c>
      <c r="I69" s="771">
        <v>0.0</v>
      </c>
      <c r="J69" s="771">
        <v>0.0</v>
      </c>
      <c r="K69" s="772">
        <v>0.0</v>
      </c>
      <c r="M69" s="769" t="s">
        <v>493</v>
      </c>
      <c r="N69" s="770" t="s">
        <v>527</v>
      </c>
      <c r="O69" s="770" t="s">
        <v>494</v>
      </c>
      <c r="P69" s="770" t="s">
        <v>505</v>
      </c>
      <c r="Q69" s="770" t="s">
        <v>521</v>
      </c>
      <c r="R69" s="770" t="s">
        <v>497</v>
      </c>
      <c r="S69" s="770">
        <v>2019.0</v>
      </c>
      <c r="T69" s="771">
        <v>0.0</v>
      </c>
      <c r="U69" s="771">
        <v>0.0</v>
      </c>
      <c r="V69" s="772">
        <v>0.0</v>
      </c>
      <c r="X69" s="786" t="s">
        <v>523</v>
      </c>
      <c r="Y69" s="787" t="s">
        <v>494</v>
      </c>
      <c r="Z69" s="787" t="s">
        <v>513</v>
      </c>
      <c r="AA69" s="787" t="s">
        <v>28</v>
      </c>
      <c r="AB69" s="787" t="s">
        <v>493</v>
      </c>
      <c r="AC69" s="787" t="s">
        <v>103</v>
      </c>
      <c r="AD69" s="788" t="s">
        <v>501</v>
      </c>
      <c r="AE69" s="779" t="s">
        <v>502</v>
      </c>
      <c r="AF69" s="789">
        <v>7.981324951</v>
      </c>
      <c r="AG69" s="789">
        <v>3.23911754</v>
      </c>
      <c r="AH69" s="789">
        <v>15.18784316</v>
      </c>
      <c r="AI69" s="790" t="s">
        <v>233</v>
      </c>
      <c r="AK69" s="769" t="s">
        <v>523</v>
      </c>
      <c r="AL69" s="770" t="s">
        <v>494</v>
      </c>
      <c r="AM69" s="770" t="s">
        <v>513</v>
      </c>
      <c r="AN69" s="770" t="s">
        <v>28</v>
      </c>
      <c r="AO69" s="770" t="s">
        <v>493</v>
      </c>
      <c r="AP69" s="770" t="s">
        <v>504</v>
      </c>
      <c r="AQ69" s="770" t="s">
        <v>501</v>
      </c>
      <c r="AR69" s="784" t="s">
        <v>502</v>
      </c>
      <c r="AS69" s="771">
        <v>2.821630204</v>
      </c>
      <c r="AT69" s="771">
        <v>1.145122137</v>
      </c>
      <c r="AU69" s="771">
        <v>5.369343718</v>
      </c>
      <c r="AV69" s="772" t="s">
        <v>233</v>
      </c>
      <c r="AW69" s="714"/>
    </row>
    <row r="70">
      <c r="A70" s="761"/>
      <c r="B70" s="769" t="s">
        <v>493</v>
      </c>
      <c r="C70" s="770" t="s">
        <v>527</v>
      </c>
      <c r="D70" s="770" t="s">
        <v>494</v>
      </c>
      <c r="E70" s="770" t="s">
        <v>508</v>
      </c>
      <c r="F70" s="770" t="s">
        <v>521</v>
      </c>
      <c r="G70" s="770" t="s">
        <v>103</v>
      </c>
      <c r="H70" s="770">
        <v>2019.0</v>
      </c>
      <c r="I70" s="771">
        <v>636.2072129</v>
      </c>
      <c r="J70" s="771">
        <v>1457.265796</v>
      </c>
      <c r="K70" s="772">
        <v>201.6555931</v>
      </c>
      <c r="M70" s="769" t="s">
        <v>493</v>
      </c>
      <c r="N70" s="770" t="s">
        <v>527</v>
      </c>
      <c r="O70" s="770" t="s">
        <v>494</v>
      </c>
      <c r="P70" s="770" t="s">
        <v>508</v>
      </c>
      <c r="Q70" s="770" t="s">
        <v>521</v>
      </c>
      <c r="R70" s="770" t="s">
        <v>497</v>
      </c>
      <c r="S70" s="770">
        <v>2019.0</v>
      </c>
      <c r="T70" s="771">
        <v>144.5054875</v>
      </c>
      <c r="U70" s="771">
        <v>330.9973543</v>
      </c>
      <c r="V70" s="772">
        <v>45.80322132</v>
      </c>
      <c r="X70" s="776" t="s">
        <v>496</v>
      </c>
      <c r="Y70" s="777" t="s">
        <v>494</v>
      </c>
      <c r="Z70" s="777" t="s">
        <v>499</v>
      </c>
      <c r="AA70" s="777" t="s">
        <v>30</v>
      </c>
      <c r="AB70" s="777" t="s">
        <v>493</v>
      </c>
      <c r="AC70" s="777" t="s">
        <v>103</v>
      </c>
      <c r="AD70" s="778" t="s">
        <v>501</v>
      </c>
      <c r="AE70" s="779" t="s">
        <v>502</v>
      </c>
      <c r="AF70" s="780">
        <v>3453.101975</v>
      </c>
      <c r="AG70" s="780">
        <v>2621.216106</v>
      </c>
      <c r="AH70" s="780">
        <v>4575.709782</v>
      </c>
      <c r="AI70" s="782" t="s">
        <v>233</v>
      </c>
      <c r="AK70" s="769" t="s">
        <v>496</v>
      </c>
      <c r="AL70" s="770" t="s">
        <v>494</v>
      </c>
      <c r="AM70" s="770" t="s">
        <v>499</v>
      </c>
      <c r="AN70" s="770" t="s">
        <v>30</v>
      </c>
      <c r="AO70" s="770" t="s">
        <v>493</v>
      </c>
      <c r="AP70" s="770" t="s">
        <v>504</v>
      </c>
      <c r="AQ70" s="770" t="s">
        <v>501</v>
      </c>
      <c r="AR70" s="784" t="s">
        <v>502</v>
      </c>
      <c r="AS70" s="771">
        <v>113347.8747</v>
      </c>
      <c r="AT70" s="771">
        <v>86041.26865</v>
      </c>
      <c r="AU70" s="771">
        <v>150197.4117</v>
      </c>
      <c r="AV70" s="772" t="s">
        <v>233</v>
      </c>
      <c r="AW70" s="714"/>
    </row>
    <row r="71">
      <c r="A71" s="761"/>
      <c r="B71" s="769" t="s">
        <v>493</v>
      </c>
      <c r="C71" s="770" t="s">
        <v>527</v>
      </c>
      <c r="D71" s="770" t="s">
        <v>494</v>
      </c>
      <c r="E71" s="770" t="s">
        <v>512</v>
      </c>
      <c r="F71" s="770" t="s">
        <v>521</v>
      </c>
      <c r="G71" s="770" t="s">
        <v>103</v>
      </c>
      <c r="H71" s="770">
        <v>2019.0</v>
      </c>
      <c r="I71" s="771">
        <v>0.0</v>
      </c>
      <c r="J71" s="771">
        <v>0.0</v>
      </c>
      <c r="K71" s="772">
        <v>0.0</v>
      </c>
      <c r="M71" s="769" t="s">
        <v>493</v>
      </c>
      <c r="N71" s="770" t="s">
        <v>527</v>
      </c>
      <c r="O71" s="770" t="s">
        <v>494</v>
      </c>
      <c r="P71" s="770" t="s">
        <v>512</v>
      </c>
      <c r="Q71" s="770" t="s">
        <v>521</v>
      </c>
      <c r="R71" s="770" t="s">
        <v>497</v>
      </c>
      <c r="S71" s="770">
        <v>2019.0</v>
      </c>
      <c r="T71" s="771">
        <v>0.0</v>
      </c>
      <c r="U71" s="771">
        <v>0.0</v>
      </c>
      <c r="V71" s="772">
        <v>0.0</v>
      </c>
      <c r="X71" s="776" t="s">
        <v>496</v>
      </c>
      <c r="Y71" s="777" t="s">
        <v>494</v>
      </c>
      <c r="Z71" s="777" t="s">
        <v>507</v>
      </c>
      <c r="AA71" s="777" t="s">
        <v>30</v>
      </c>
      <c r="AB71" s="777" t="s">
        <v>493</v>
      </c>
      <c r="AC71" s="777" t="s">
        <v>103</v>
      </c>
      <c r="AD71" s="778" t="s">
        <v>501</v>
      </c>
      <c r="AE71" s="779" t="s">
        <v>502</v>
      </c>
      <c r="AF71" s="780">
        <v>1977.83322</v>
      </c>
      <c r="AG71" s="780">
        <v>1490.304053</v>
      </c>
      <c r="AH71" s="780">
        <v>2636.17551</v>
      </c>
      <c r="AI71" s="782" t="s">
        <v>233</v>
      </c>
      <c r="AK71" s="769" t="s">
        <v>496</v>
      </c>
      <c r="AL71" s="770" t="s">
        <v>494</v>
      </c>
      <c r="AM71" s="770" t="s">
        <v>507</v>
      </c>
      <c r="AN71" s="770" t="s">
        <v>30</v>
      </c>
      <c r="AO71" s="770" t="s">
        <v>493</v>
      </c>
      <c r="AP71" s="770" t="s">
        <v>504</v>
      </c>
      <c r="AQ71" s="770" t="s">
        <v>501</v>
      </c>
      <c r="AR71" s="784" t="s">
        <v>502</v>
      </c>
      <c r="AS71" s="771">
        <v>1383.411453</v>
      </c>
      <c r="AT71" s="771">
        <v>1042.405232</v>
      </c>
      <c r="AU71" s="771">
        <v>1843.894297</v>
      </c>
      <c r="AV71" s="772" t="s">
        <v>233</v>
      </c>
      <c r="AW71" s="714"/>
    </row>
    <row r="72">
      <c r="A72" s="761"/>
      <c r="B72" s="769" t="s">
        <v>493</v>
      </c>
      <c r="C72" s="770" t="s">
        <v>527</v>
      </c>
      <c r="D72" s="770" t="s">
        <v>494</v>
      </c>
      <c r="E72" s="770" t="s">
        <v>495</v>
      </c>
      <c r="F72" s="770" t="s">
        <v>523</v>
      </c>
      <c r="G72" s="770" t="s">
        <v>103</v>
      </c>
      <c r="H72" s="770">
        <v>2019.0</v>
      </c>
      <c r="I72" s="771">
        <v>573.2255157</v>
      </c>
      <c r="J72" s="771">
        <v>979.4933141</v>
      </c>
      <c r="K72" s="772">
        <v>300.4362875</v>
      </c>
      <c r="M72" s="769" t="s">
        <v>493</v>
      </c>
      <c r="N72" s="770" t="s">
        <v>527</v>
      </c>
      <c r="O72" s="770" t="s">
        <v>494</v>
      </c>
      <c r="P72" s="770" t="s">
        <v>495</v>
      </c>
      <c r="Q72" s="770" t="s">
        <v>523</v>
      </c>
      <c r="R72" s="770" t="s">
        <v>497</v>
      </c>
      <c r="S72" s="770">
        <v>2019.0</v>
      </c>
      <c r="T72" s="771">
        <v>25.7276259</v>
      </c>
      <c r="U72" s="771">
        <v>43.96182107</v>
      </c>
      <c r="V72" s="772">
        <v>13.48424346</v>
      </c>
      <c r="X72" s="786" t="s">
        <v>496</v>
      </c>
      <c r="Y72" s="787" t="s">
        <v>494</v>
      </c>
      <c r="Z72" s="787" t="s">
        <v>509</v>
      </c>
      <c r="AA72" s="787" t="s">
        <v>30</v>
      </c>
      <c r="AB72" s="787" t="s">
        <v>493</v>
      </c>
      <c r="AC72" s="787" t="s">
        <v>103</v>
      </c>
      <c r="AD72" s="788" t="s">
        <v>501</v>
      </c>
      <c r="AE72" s="779" t="s">
        <v>502</v>
      </c>
      <c r="AF72" s="789">
        <v>566.9277211</v>
      </c>
      <c r="AG72" s="789">
        <v>428.2778869</v>
      </c>
      <c r="AH72" s="789">
        <v>757.1104491</v>
      </c>
      <c r="AI72" s="790" t="s">
        <v>233</v>
      </c>
      <c r="AK72" s="769" t="s">
        <v>496</v>
      </c>
      <c r="AL72" s="770" t="s">
        <v>494</v>
      </c>
      <c r="AM72" s="770" t="s">
        <v>509</v>
      </c>
      <c r="AN72" s="770" t="s">
        <v>30</v>
      </c>
      <c r="AO72" s="770" t="s">
        <v>493</v>
      </c>
      <c r="AP72" s="770" t="s">
        <v>504</v>
      </c>
      <c r="AQ72" s="770" t="s">
        <v>501</v>
      </c>
      <c r="AR72" s="784" t="s">
        <v>502</v>
      </c>
      <c r="AS72" s="771">
        <v>6288.237521</v>
      </c>
      <c r="AT72" s="771">
        <v>4750.364073</v>
      </c>
      <c r="AU72" s="771">
        <v>8397.702488</v>
      </c>
      <c r="AV72" s="772" t="s">
        <v>233</v>
      </c>
      <c r="AW72" s="714"/>
    </row>
    <row r="73">
      <c r="A73" s="761"/>
      <c r="B73" s="769" t="s">
        <v>493</v>
      </c>
      <c r="C73" s="770" t="s">
        <v>527</v>
      </c>
      <c r="D73" s="770" t="s">
        <v>494</v>
      </c>
      <c r="E73" s="770" t="s">
        <v>505</v>
      </c>
      <c r="F73" s="770" t="s">
        <v>523</v>
      </c>
      <c r="G73" s="770" t="s">
        <v>103</v>
      </c>
      <c r="H73" s="770">
        <v>2019.0</v>
      </c>
      <c r="I73" s="771">
        <v>0.0</v>
      </c>
      <c r="J73" s="771">
        <v>0.0</v>
      </c>
      <c r="K73" s="772">
        <v>0.0</v>
      </c>
      <c r="M73" s="769" t="s">
        <v>493</v>
      </c>
      <c r="N73" s="770" t="s">
        <v>527</v>
      </c>
      <c r="O73" s="770" t="s">
        <v>494</v>
      </c>
      <c r="P73" s="770" t="s">
        <v>505</v>
      </c>
      <c r="Q73" s="770" t="s">
        <v>523</v>
      </c>
      <c r="R73" s="770" t="s">
        <v>497</v>
      </c>
      <c r="S73" s="770">
        <v>2019.0</v>
      </c>
      <c r="T73" s="771">
        <v>0.0</v>
      </c>
      <c r="U73" s="771">
        <v>0.0</v>
      </c>
      <c r="V73" s="772">
        <v>0.0</v>
      </c>
      <c r="X73" s="786" t="s">
        <v>496</v>
      </c>
      <c r="Y73" s="787" t="s">
        <v>494</v>
      </c>
      <c r="Z73" s="787" t="s">
        <v>513</v>
      </c>
      <c r="AA73" s="787" t="s">
        <v>30</v>
      </c>
      <c r="AB73" s="787" t="s">
        <v>493</v>
      </c>
      <c r="AC73" s="787" t="s">
        <v>103</v>
      </c>
      <c r="AD73" s="788" t="s">
        <v>501</v>
      </c>
      <c r="AE73" s="779" t="s">
        <v>502</v>
      </c>
      <c r="AF73" s="789">
        <v>7871.751135</v>
      </c>
      <c r="AG73" s="789">
        <v>5932.057569</v>
      </c>
      <c r="AH73" s="789">
        <v>10469.54577</v>
      </c>
      <c r="AI73" s="790" t="s">
        <v>233</v>
      </c>
      <c r="AK73" s="769" t="s">
        <v>496</v>
      </c>
      <c r="AL73" s="770" t="s">
        <v>494</v>
      </c>
      <c r="AM73" s="770" t="s">
        <v>513</v>
      </c>
      <c r="AN73" s="770" t="s">
        <v>30</v>
      </c>
      <c r="AO73" s="770" t="s">
        <v>493</v>
      </c>
      <c r="AP73" s="770" t="s">
        <v>504</v>
      </c>
      <c r="AQ73" s="770" t="s">
        <v>501</v>
      </c>
      <c r="AR73" s="784" t="s">
        <v>502</v>
      </c>
      <c r="AS73" s="771">
        <v>1006.968781</v>
      </c>
      <c r="AT73" s="771">
        <v>758.8396379</v>
      </c>
      <c r="AU73" s="771">
        <v>1339.283415</v>
      </c>
      <c r="AV73" s="772" t="s">
        <v>233</v>
      </c>
      <c r="AW73" s="714"/>
    </row>
    <row r="74">
      <c r="A74" s="761"/>
      <c r="B74" s="769" t="s">
        <v>493</v>
      </c>
      <c r="C74" s="770" t="s">
        <v>527</v>
      </c>
      <c r="D74" s="770" t="s">
        <v>494</v>
      </c>
      <c r="E74" s="770" t="s">
        <v>508</v>
      </c>
      <c r="F74" s="770" t="s">
        <v>523</v>
      </c>
      <c r="G74" s="770" t="s">
        <v>103</v>
      </c>
      <c r="H74" s="770">
        <v>2019.0</v>
      </c>
      <c r="I74" s="771">
        <v>245.4453868</v>
      </c>
      <c r="J74" s="771">
        <v>466.9861616</v>
      </c>
      <c r="K74" s="772">
        <v>116.3272779</v>
      </c>
      <c r="M74" s="769" t="s">
        <v>493</v>
      </c>
      <c r="N74" s="770" t="s">
        <v>527</v>
      </c>
      <c r="O74" s="770" t="s">
        <v>494</v>
      </c>
      <c r="P74" s="770" t="s">
        <v>508</v>
      </c>
      <c r="Q74" s="770" t="s">
        <v>523</v>
      </c>
      <c r="R74" s="770" t="s">
        <v>497</v>
      </c>
      <c r="S74" s="770">
        <v>2019.0</v>
      </c>
      <c r="T74" s="771">
        <v>55.7494548</v>
      </c>
      <c r="U74" s="771">
        <v>106.0693145</v>
      </c>
      <c r="V74" s="772">
        <v>26.42209905</v>
      </c>
      <c r="X74" s="776" t="s">
        <v>514</v>
      </c>
      <c r="Y74" s="777" t="s">
        <v>494</v>
      </c>
      <c r="Z74" s="777" t="s">
        <v>499</v>
      </c>
      <c r="AA74" s="777" t="s">
        <v>30</v>
      </c>
      <c r="AB74" s="777" t="s">
        <v>493</v>
      </c>
      <c r="AC74" s="777" t="s">
        <v>103</v>
      </c>
      <c r="AD74" s="778" t="s">
        <v>501</v>
      </c>
      <c r="AE74" s="779" t="s">
        <v>502</v>
      </c>
      <c r="AF74" s="780">
        <v>3189.001908</v>
      </c>
      <c r="AG74" s="780">
        <v>2400.638944</v>
      </c>
      <c r="AH74" s="780">
        <v>4218.007388</v>
      </c>
      <c r="AI74" s="782" t="s">
        <v>233</v>
      </c>
      <c r="AK74" s="769" t="s">
        <v>514</v>
      </c>
      <c r="AL74" s="770" t="s">
        <v>494</v>
      </c>
      <c r="AM74" s="770" t="s">
        <v>499</v>
      </c>
      <c r="AN74" s="770" t="s">
        <v>30</v>
      </c>
      <c r="AO74" s="770" t="s">
        <v>493</v>
      </c>
      <c r="AP74" s="770" t="s">
        <v>504</v>
      </c>
      <c r="AQ74" s="770" t="s">
        <v>501</v>
      </c>
      <c r="AR74" s="784" t="s">
        <v>502</v>
      </c>
      <c r="AS74" s="771">
        <v>104678.8051</v>
      </c>
      <c r="AT74" s="771">
        <v>78800.83595</v>
      </c>
      <c r="AU74" s="771">
        <v>138455.8511</v>
      </c>
      <c r="AV74" s="772" t="s">
        <v>233</v>
      </c>
      <c r="AW74" s="714"/>
    </row>
    <row r="75">
      <c r="A75" s="761"/>
      <c r="B75" s="769" t="s">
        <v>493</v>
      </c>
      <c r="C75" s="770" t="s">
        <v>527</v>
      </c>
      <c r="D75" s="770" t="s">
        <v>494</v>
      </c>
      <c r="E75" s="770" t="s">
        <v>512</v>
      </c>
      <c r="F75" s="770" t="s">
        <v>523</v>
      </c>
      <c r="G75" s="770" t="s">
        <v>103</v>
      </c>
      <c r="H75" s="770">
        <v>2019.0</v>
      </c>
      <c r="I75" s="771">
        <v>0.0</v>
      </c>
      <c r="J75" s="771">
        <v>0.0</v>
      </c>
      <c r="K75" s="772">
        <v>0.0</v>
      </c>
      <c r="M75" s="769" t="s">
        <v>493</v>
      </c>
      <c r="N75" s="770" t="s">
        <v>527</v>
      </c>
      <c r="O75" s="770" t="s">
        <v>494</v>
      </c>
      <c r="P75" s="770" t="s">
        <v>512</v>
      </c>
      <c r="Q75" s="770" t="s">
        <v>523</v>
      </c>
      <c r="R75" s="770" t="s">
        <v>497</v>
      </c>
      <c r="S75" s="770">
        <v>2019.0</v>
      </c>
      <c r="T75" s="771">
        <v>0.0</v>
      </c>
      <c r="U75" s="771">
        <v>0.0</v>
      </c>
      <c r="V75" s="772">
        <v>0.0</v>
      </c>
      <c r="X75" s="776" t="s">
        <v>514</v>
      </c>
      <c r="Y75" s="777" t="s">
        <v>494</v>
      </c>
      <c r="Z75" s="777" t="s">
        <v>507</v>
      </c>
      <c r="AA75" s="777" t="s">
        <v>30</v>
      </c>
      <c r="AB75" s="777" t="s">
        <v>493</v>
      </c>
      <c r="AC75" s="777" t="s">
        <v>103</v>
      </c>
      <c r="AD75" s="778" t="s">
        <v>501</v>
      </c>
      <c r="AE75" s="779" t="s">
        <v>502</v>
      </c>
      <c r="AF75" s="780">
        <v>1731.97017</v>
      </c>
      <c r="AG75" s="780">
        <v>1296.770753</v>
      </c>
      <c r="AH75" s="780">
        <v>2323.487096</v>
      </c>
      <c r="AI75" s="782" t="s">
        <v>233</v>
      </c>
      <c r="AK75" s="769" t="s">
        <v>514</v>
      </c>
      <c r="AL75" s="770" t="s">
        <v>494</v>
      </c>
      <c r="AM75" s="770" t="s">
        <v>507</v>
      </c>
      <c r="AN75" s="770" t="s">
        <v>30</v>
      </c>
      <c r="AO75" s="770" t="s">
        <v>493</v>
      </c>
      <c r="AP75" s="770" t="s">
        <v>504</v>
      </c>
      <c r="AQ75" s="770" t="s">
        <v>501</v>
      </c>
      <c r="AR75" s="784" t="s">
        <v>502</v>
      </c>
      <c r="AS75" s="771">
        <v>1211.440553</v>
      </c>
      <c r="AT75" s="771">
        <v>907.0367987</v>
      </c>
      <c r="AU75" s="771">
        <v>1625.181854</v>
      </c>
      <c r="AV75" s="772" t="s">
        <v>233</v>
      </c>
      <c r="AW75" s="714"/>
    </row>
    <row r="76">
      <c r="A76" s="761"/>
      <c r="B76" s="769" t="s">
        <v>493</v>
      </c>
      <c r="C76" s="770" t="s">
        <v>531</v>
      </c>
      <c r="D76" s="770" t="s">
        <v>494</v>
      </c>
      <c r="E76" s="770" t="s">
        <v>495</v>
      </c>
      <c r="F76" s="770" t="s">
        <v>496</v>
      </c>
      <c r="G76" s="770" t="s">
        <v>103</v>
      </c>
      <c r="H76" s="770">
        <v>2019.0</v>
      </c>
      <c r="I76" s="771">
        <v>444.5855174</v>
      </c>
      <c r="J76" s="771">
        <v>602.2369424</v>
      </c>
      <c r="K76" s="772">
        <v>322.0151109</v>
      </c>
      <c r="M76" s="769" t="s">
        <v>493</v>
      </c>
      <c r="N76" s="770" t="s">
        <v>531</v>
      </c>
      <c r="O76" s="770" t="s">
        <v>494</v>
      </c>
      <c r="P76" s="770" t="s">
        <v>495</v>
      </c>
      <c r="Q76" s="770" t="s">
        <v>496</v>
      </c>
      <c r="R76" s="770" t="s">
        <v>497</v>
      </c>
      <c r="S76" s="770">
        <v>2019.0</v>
      </c>
      <c r="T76" s="771">
        <v>680.3929931</v>
      </c>
      <c r="U76" s="771">
        <v>921.6624918</v>
      </c>
      <c r="V76" s="772">
        <v>492.8114312</v>
      </c>
      <c r="X76" s="786" t="s">
        <v>514</v>
      </c>
      <c r="Y76" s="787" t="s">
        <v>494</v>
      </c>
      <c r="Z76" s="787" t="s">
        <v>509</v>
      </c>
      <c r="AA76" s="787" t="s">
        <v>30</v>
      </c>
      <c r="AB76" s="787" t="s">
        <v>493</v>
      </c>
      <c r="AC76" s="787" t="s">
        <v>103</v>
      </c>
      <c r="AD76" s="788" t="s">
        <v>501</v>
      </c>
      <c r="AE76" s="779" t="s">
        <v>502</v>
      </c>
      <c r="AF76" s="789">
        <v>509.2620502</v>
      </c>
      <c r="AG76" s="789">
        <v>385.3717172</v>
      </c>
      <c r="AH76" s="789">
        <v>678.7623423</v>
      </c>
      <c r="AI76" s="790" t="s">
        <v>233</v>
      </c>
      <c r="AK76" s="769" t="s">
        <v>514</v>
      </c>
      <c r="AL76" s="770" t="s">
        <v>494</v>
      </c>
      <c r="AM76" s="770" t="s">
        <v>509</v>
      </c>
      <c r="AN76" s="770" t="s">
        <v>30</v>
      </c>
      <c r="AO76" s="770" t="s">
        <v>493</v>
      </c>
      <c r="AP76" s="770" t="s">
        <v>504</v>
      </c>
      <c r="AQ76" s="770" t="s">
        <v>501</v>
      </c>
      <c r="AR76" s="784" t="s">
        <v>502</v>
      </c>
      <c r="AS76" s="771">
        <v>5648.62259</v>
      </c>
      <c r="AT76" s="771">
        <v>4274.45828</v>
      </c>
      <c r="AU76" s="771">
        <v>7528.682529</v>
      </c>
      <c r="AV76" s="772" t="s">
        <v>233</v>
      </c>
      <c r="AW76" s="714"/>
    </row>
    <row r="77">
      <c r="A77" s="761"/>
      <c r="B77" s="769" t="s">
        <v>493</v>
      </c>
      <c r="C77" s="770" t="s">
        <v>531</v>
      </c>
      <c r="D77" s="770" t="s">
        <v>494</v>
      </c>
      <c r="E77" s="770" t="s">
        <v>505</v>
      </c>
      <c r="F77" s="770" t="s">
        <v>496</v>
      </c>
      <c r="G77" s="770" t="s">
        <v>103</v>
      </c>
      <c r="H77" s="770">
        <v>2019.0</v>
      </c>
      <c r="I77" s="771">
        <v>234.1595234</v>
      </c>
      <c r="J77" s="771">
        <v>320.2997624</v>
      </c>
      <c r="K77" s="772">
        <v>168.4528124</v>
      </c>
      <c r="M77" s="769" t="s">
        <v>493</v>
      </c>
      <c r="N77" s="770" t="s">
        <v>531</v>
      </c>
      <c r="O77" s="770" t="s">
        <v>494</v>
      </c>
      <c r="P77" s="770" t="s">
        <v>505</v>
      </c>
      <c r="Q77" s="770" t="s">
        <v>496</v>
      </c>
      <c r="R77" s="770" t="s">
        <v>497</v>
      </c>
      <c r="S77" s="770">
        <v>2019.0</v>
      </c>
      <c r="T77" s="771">
        <v>91744.81065</v>
      </c>
      <c r="U77" s="771">
        <v>125494.9644</v>
      </c>
      <c r="V77" s="772">
        <v>66000.60998</v>
      </c>
      <c r="X77" s="786" t="s">
        <v>514</v>
      </c>
      <c r="Y77" s="787" t="s">
        <v>494</v>
      </c>
      <c r="Z77" s="787" t="s">
        <v>513</v>
      </c>
      <c r="AA77" s="787" t="s">
        <v>30</v>
      </c>
      <c r="AB77" s="787" t="s">
        <v>493</v>
      </c>
      <c r="AC77" s="787" t="s">
        <v>103</v>
      </c>
      <c r="AD77" s="788" t="s">
        <v>501</v>
      </c>
      <c r="AE77" s="779" t="s">
        <v>502</v>
      </c>
      <c r="AF77" s="789">
        <v>7142.110275</v>
      </c>
      <c r="AG77" s="789">
        <v>5383.708205</v>
      </c>
      <c r="AH77" s="789">
        <v>9451.999168</v>
      </c>
      <c r="AI77" s="790" t="s">
        <v>233</v>
      </c>
      <c r="AK77" s="769" t="s">
        <v>514</v>
      </c>
      <c r="AL77" s="770" t="s">
        <v>494</v>
      </c>
      <c r="AM77" s="770" t="s">
        <v>513</v>
      </c>
      <c r="AN77" s="770" t="s">
        <v>30</v>
      </c>
      <c r="AO77" s="770" t="s">
        <v>493</v>
      </c>
      <c r="AP77" s="770" t="s">
        <v>504</v>
      </c>
      <c r="AQ77" s="770" t="s">
        <v>501</v>
      </c>
      <c r="AR77" s="784" t="s">
        <v>502</v>
      </c>
      <c r="AS77" s="771">
        <v>913.6317899</v>
      </c>
      <c r="AT77" s="771">
        <v>688.6937858</v>
      </c>
      <c r="AU77" s="771">
        <v>1209.116996</v>
      </c>
      <c r="AV77" s="772" t="s">
        <v>233</v>
      </c>
      <c r="AW77" s="714"/>
    </row>
    <row r="78">
      <c r="A78" s="761"/>
      <c r="B78" s="769" t="s">
        <v>493</v>
      </c>
      <c r="C78" s="770" t="s">
        <v>531</v>
      </c>
      <c r="D78" s="770" t="s">
        <v>494</v>
      </c>
      <c r="E78" s="770" t="s">
        <v>508</v>
      </c>
      <c r="F78" s="770" t="s">
        <v>496</v>
      </c>
      <c r="G78" s="770" t="s">
        <v>103</v>
      </c>
      <c r="H78" s="770">
        <v>2019.0</v>
      </c>
      <c r="I78" s="771">
        <v>82.1073518</v>
      </c>
      <c r="J78" s="771">
        <v>111.1078659</v>
      </c>
      <c r="K78" s="772">
        <v>59.43766837</v>
      </c>
      <c r="M78" s="769" t="s">
        <v>493</v>
      </c>
      <c r="N78" s="770" t="s">
        <v>531</v>
      </c>
      <c r="O78" s="770" t="s">
        <v>494</v>
      </c>
      <c r="P78" s="770" t="s">
        <v>508</v>
      </c>
      <c r="Q78" s="770" t="s">
        <v>496</v>
      </c>
      <c r="R78" s="770" t="s">
        <v>497</v>
      </c>
      <c r="S78" s="770">
        <v>2019.0</v>
      </c>
      <c r="T78" s="771">
        <v>671.1306822</v>
      </c>
      <c r="U78" s="771">
        <v>908.175653</v>
      </c>
      <c r="V78" s="772">
        <v>485.8327793</v>
      </c>
      <c r="X78" s="776" t="s">
        <v>518</v>
      </c>
      <c r="Y78" s="777" t="s">
        <v>494</v>
      </c>
      <c r="Z78" s="777" t="s">
        <v>499</v>
      </c>
      <c r="AA78" s="777" t="s">
        <v>30</v>
      </c>
      <c r="AB78" s="777" t="s">
        <v>493</v>
      </c>
      <c r="AC78" s="777" t="s">
        <v>103</v>
      </c>
      <c r="AD78" s="778" t="s">
        <v>501</v>
      </c>
      <c r="AE78" s="779" t="s">
        <v>502</v>
      </c>
      <c r="AF78" s="780">
        <v>24.09495771</v>
      </c>
      <c r="AG78" s="780">
        <v>9.631741285</v>
      </c>
      <c r="AH78" s="780">
        <v>49.76848755</v>
      </c>
      <c r="AI78" s="782" t="s">
        <v>233</v>
      </c>
      <c r="AK78" s="769" t="s">
        <v>518</v>
      </c>
      <c r="AL78" s="770" t="s">
        <v>494</v>
      </c>
      <c r="AM78" s="770" t="s">
        <v>499</v>
      </c>
      <c r="AN78" s="770" t="s">
        <v>30</v>
      </c>
      <c r="AO78" s="770" t="s">
        <v>493</v>
      </c>
      <c r="AP78" s="770" t="s">
        <v>504</v>
      </c>
      <c r="AQ78" s="770" t="s">
        <v>501</v>
      </c>
      <c r="AR78" s="784" t="s">
        <v>502</v>
      </c>
      <c r="AS78" s="771">
        <v>790.9156078</v>
      </c>
      <c r="AT78" s="771">
        <v>316.1613564</v>
      </c>
      <c r="AU78" s="771">
        <v>1633.647756</v>
      </c>
      <c r="AV78" s="772" t="s">
        <v>233</v>
      </c>
      <c r="AW78" s="714"/>
    </row>
    <row r="79">
      <c r="A79" s="761"/>
      <c r="B79" s="769" t="s">
        <v>493</v>
      </c>
      <c r="C79" s="770" t="s">
        <v>531</v>
      </c>
      <c r="D79" s="770" t="s">
        <v>494</v>
      </c>
      <c r="E79" s="770" t="s">
        <v>512</v>
      </c>
      <c r="F79" s="770" t="s">
        <v>496</v>
      </c>
      <c r="G79" s="770" t="s">
        <v>103</v>
      </c>
      <c r="H79" s="770">
        <v>2019.0</v>
      </c>
      <c r="I79" s="771">
        <v>53.08971648</v>
      </c>
      <c r="J79" s="771">
        <v>72.09954903</v>
      </c>
      <c r="K79" s="772">
        <v>38.25684842</v>
      </c>
      <c r="M79" s="769" t="s">
        <v>493</v>
      </c>
      <c r="N79" s="770" t="s">
        <v>531</v>
      </c>
      <c r="O79" s="770" t="s">
        <v>494</v>
      </c>
      <c r="P79" s="770" t="s">
        <v>512</v>
      </c>
      <c r="Q79" s="770" t="s">
        <v>496</v>
      </c>
      <c r="R79" s="770" t="s">
        <v>497</v>
      </c>
      <c r="S79" s="770">
        <v>2019.0</v>
      </c>
      <c r="T79" s="771">
        <v>7001.375827</v>
      </c>
      <c r="U79" s="771">
        <v>9508.358175</v>
      </c>
      <c r="V79" s="772">
        <v>5045.244005</v>
      </c>
      <c r="X79" s="776" t="s">
        <v>518</v>
      </c>
      <c r="Y79" s="777" t="s">
        <v>494</v>
      </c>
      <c r="Z79" s="777" t="s">
        <v>507</v>
      </c>
      <c r="AA79" s="777" t="s">
        <v>30</v>
      </c>
      <c r="AB79" s="777" t="s">
        <v>493</v>
      </c>
      <c r="AC79" s="777" t="s">
        <v>103</v>
      </c>
      <c r="AD79" s="778" t="s">
        <v>501</v>
      </c>
      <c r="AE79" s="779" t="s">
        <v>502</v>
      </c>
      <c r="AF79" s="780">
        <v>315.2501924</v>
      </c>
      <c r="AG79" s="780">
        <v>124.5756485</v>
      </c>
      <c r="AH79" s="780">
        <v>576.7060689</v>
      </c>
      <c r="AI79" s="782" t="s">
        <v>233</v>
      </c>
      <c r="AK79" s="769" t="s">
        <v>518</v>
      </c>
      <c r="AL79" s="770" t="s">
        <v>494</v>
      </c>
      <c r="AM79" s="770" t="s">
        <v>507</v>
      </c>
      <c r="AN79" s="770" t="s">
        <v>30</v>
      </c>
      <c r="AO79" s="770" t="s">
        <v>493</v>
      </c>
      <c r="AP79" s="770" t="s">
        <v>504</v>
      </c>
      <c r="AQ79" s="770" t="s">
        <v>501</v>
      </c>
      <c r="AR79" s="784" t="s">
        <v>502</v>
      </c>
      <c r="AS79" s="771">
        <v>220.5042986</v>
      </c>
      <c r="AT79" s="771">
        <v>87.1354456</v>
      </c>
      <c r="AU79" s="771">
        <v>403.3817275</v>
      </c>
      <c r="AV79" s="772" t="s">
        <v>233</v>
      </c>
      <c r="AW79" s="714"/>
    </row>
    <row r="80">
      <c r="A80" s="761"/>
      <c r="B80" s="769" t="s">
        <v>493</v>
      </c>
      <c r="C80" s="770" t="s">
        <v>531</v>
      </c>
      <c r="D80" s="770" t="s">
        <v>494</v>
      </c>
      <c r="E80" s="770" t="s">
        <v>495</v>
      </c>
      <c r="F80" s="770" t="s">
        <v>514</v>
      </c>
      <c r="G80" s="770" t="s">
        <v>103</v>
      </c>
      <c r="H80" s="770">
        <v>2019.0</v>
      </c>
      <c r="I80" s="771">
        <v>353.5184568</v>
      </c>
      <c r="J80" s="771">
        <v>484.5398671</v>
      </c>
      <c r="K80" s="772">
        <v>254.6124213</v>
      </c>
      <c r="M80" s="769" t="s">
        <v>493</v>
      </c>
      <c r="N80" s="770" t="s">
        <v>531</v>
      </c>
      <c r="O80" s="770" t="s">
        <v>494</v>
      </c>
      <c r="P80" s="770" t="s">
        <v>495</v>
      </c>
      <c r="Q80" s="770" t="s">
        <v>514</v>
      </c>
      <c r="R80" s="770" t="s">
        <v>497</v>
      </c>
      <c r="S80" s="770">
        <v>2019.0</v>
      </c>
      <c r="T80" s="771">
        <v>541.0241034</v>
      </c>
      <c r="U80" s="771">
        <v>741.5390685</v>
      </c>
      <c r="V80" s="772">
        <v>389.6584585</v>
      </c>
      <c r="X80" s="786" t="s">
        <v>518</v>
      </c>
      <c r="Y80" s="787" t="s">
        <v>494</v>
      </c>
      <c r="Z80" s="787" t="s">
        <v>509</v>
      </c>
      <c r="AA80" s="787" t="s">
        <v>30</v>
      </c>
      <c r="AB80" s="787" t="s">
        <v>493</v>
      </c>
      <c r="AC80" s="787" t="s">
        <v>103</v>
      </c>
      <c r="AD80" s="788" t="s">
        <v>501</v>
      </c>
      <c r="AE80" s="779" t="s">
        <v>502</v>
      </c>
      <c r="AF80" s="789">
        <v>32.27285513</v>
      </c>
      <c r="AG80" s="789">
        <v>13.67831945</v>
      </c>
      <c r="AH80" s="789">
        <v>60.58017416</v>
      </c>
      <c r="AI80" s="790" t="s">
        <v>233</v>
      </c>
      <c r="AK80" s="769" t="s">
        <v>518</v>
      </c>
      <c r="AL80" s="770" t="s">
        <v>494</v>
      </c>
      <c r="AM80" s="770" t="s">
        <v>509</v>
      </c>
      <c r="AN80" s="770" t="s">
        <v>30</v>
      </c>
      <c r="AO80" s="770" t="s">
        <v>493</v>
      </c>
      <c r="AP80" s="770" t="s">
        <v>504</v>
      </c>
      <c r="AQ80" s="770" t="s">
        <v>501</v>
      </c>
      <c r="AR80" s="784" t="s">
        <v>502</v>
      </c>
      <c r="AS80" s="771">
        <v>357.963407</v>
      </c>
      <c r="AT80" s="771">
        <v>151.7169092</v>
      </c>
      <c r="AU80" s="771">
        <v>671.9419603</v>
      </c>
      <c r="AV80" s="772" t="s">
        <v>233</v>
      </c>
      <c r="AW80" s="714"/>
    </row>
    <row r="81">
      <c r="A81" s="761"/>
      <c r="B81" s="769" t="s">
        <v>493</v>
      </c>
      <c r="C81" s="770" t="s">
        <v>531</v>
      </c>
      <c r="D81" s="770" t="s">
        <v>494</v>
      </c>
      <c r="E81" s="770" t="s">
        <v>505</v>
      </c>
      <c r="F81" s="770" t="s">
        <v>514</v>
      </c>
      <c r="G81" s="770" t="s">
        <v>103</v>
      </c>
      <c r="H81" s="770">
        <v>2019.0</v>
      </c>
      <c r="I81" s="771">
        <v>214.3578142</v>
      </c>
      <c r="J81" s="771">
        <v>291.0984589</v>
      </c>
      <c r="K81" s="772">
        <v>153.5512486</v>
      </c>
      <c r="M81" s="769" t="s">
        <v>493</v>
      </c>
      <c r="N81" s="770" t="s">
        <v>531</v>
      </c>
      <c r="O81" s="770" t="s">
        <v>494</v>
      </c>
      <c r="P81" s="770" t="s">
        <v>505</v>
      </c>
      <c r="Q81" s="770" t="s">
        <v>514</v>
      </c>
      <c r="R81" s="770" t="s">
        <v>497</v>
      </c>
      <c r="S81" s="770">
        <v>2019.0</v>
      </c>
      <c r="T81" s="771">
        <v>83986.40716</v>
      </c>
      <c r="U81" s="771">
        <v>114053.7553</v>
      </c>
      <c r="V81" s="772">
        <v>60162.10667</v>
      </c>
      <c r="X81" s="786" t="s">
        <v>518</v>
      </c>
      <c r="Y81" s="787" t="s">
        <v>494</v>
      </c>
      <c r="Z81" s="787" t="s">
        <v>513</v>
      </c>
      <c r="AA81" s="787" t="s">
        <v>30</v>
      </c>
      <c r="AB81" s="787" t="s">
        <v>493</v>
      </c>
      <c r="AC81" s="787" t="s">
        <v>103</v>
      </c>
      <c r="AD81" s="788" t="s">
        <v>501</v>
      </c>
      <c r="AE81" s="779" t="s">
        <v>502</v>
      </c>
      <c r="AF81" s="789">
        <v>527.3843021</v>
      </c>
      <c r="AG81" s="789">
        <v>219.5875621</v>
      </c>
      <c r="AH81" s="789">
        <v>975.7314439</v>
      </c>
      <c r="AI81" s="790" t="s">
        <v>233</v>
      </c>
      <c r="AK81" s="769" t="s">
        <v>518</v>
      </c>
      <c r="AL81" s="770" t="s">
        <v>494</v>
      </c>
      <c r="AM81" s="770" t="s">
        <v>513</v>
      </c>
      <c r="AN81" s="770" t="s">
        <v>30</v>
      </c>
      <c r="AO81" s="770" t="s">
        <v>493</v>
      </c>
      <c r="AP81" s="770" t="s">
        <v>504</v>
      </c>
      <c r="AQ81" s="770" t="s">
        <v>501</v>
      </c>
      <c r="AR81" s="784" t="s">
        <v>502</v>
      </c>
      <c r="AS81" s="771">
        <v>67.46396308</v>
      </c>
      <c r="AT81" s="771">
        <v>28.09004197</v>
      </c>
      <c r="AU81" s="771">
        <v>124.8173483</v>
      </c>
      <c r="AV81" s="772" t="s">
        <v>233</v>
      </c>
      <c r="AW81" s="714"/>
    </row>
    <row r="82">
      <c r="A82" s="761"/>
      <c r="B82" s="769" t="s">
        <v>493</v>
      </c>
      <c r="C82" s="770" t="s">
        <v>531</v>
      </c>
      <c r="D82" s="770" t="s">
        <v>494</v>
      </c>
      <c r="E82" s="770" t="s">
        <v>508</v>
      </c>
      <c r="F82" s="770" t="s">
        <v>514</v>
      </c>
      <c r="G82" s="770" t="s">
        <v>103</v>
      </c>
      <c r="H82" s="770">
        <v>2019.0</v>
      </c>
      <c r="I82" s="771">
        <v>52.50365946</v>
      </c>
      <c r="J82" s="771">
        <v>74.36873118</v>
      </c>
      <c r="K82" s="772">
        <v>35.23026335</v>
      </c>
      <c r="M82" s="769" t="s">
        <v>493</v>
      </c>
      <c r="N82" s="770" t="s">
        <v>531</v>
      </c>
      <c r="O82" s="770" t="s">
        <v>494</v>
      </c>
      <c r="P82" s="770" t="s">
        <v>508</v>
      </c>
      <c r="Q82" s="770" t="s">
        <v>514</v>
      </c>
      <c r="R82" s="770" t="s">
        <v>497</v>
      </c>
      <c r="S82" s="770">
        <v>2019.0</v>
      </c>
      <c r="T82" s="771">
        <v>429.1554413</v>
      </c>
      <c r="U82" s="771">
        <v>607.8765933</v>
      </c>
      <c r="V82" s="772">
        <v>287.9658175</v>
      </c>
      <c r="X82" s="776" t="s">
        <v>519</v>
      </c>
      <c r="Y82" s="777" t="s">
        <v>494</v>
      </c>
      <c r="Z82" s="777" t="s">
        <v>499</v>
      </c>
      <c r="AA82" s="777" t="s">
        <v>30</v>
      </c>
      <c r="AB82" s="777" t="s">
        <v>493</v>
      </c>
      <c r="AC82" s="777" t="s">
        <v>103</v>
      </c>
      <c r="AD82" s="778" t="s">
        <v>501</v>
      </c>
      <c r="AE82" s="779" t="s">
        <v>502</v>
      </c>
      <c r="AF82" s="780">
        <v>2662.141716</v>
      </c>
      <c r="AG82" s="780">
        <v>1973.708308</v>
      </c>
      <c r="AH82" s="780">
        <v>3573.137801</v>
      </c>
      <c r="AI82" s="782" t="s">
        <v>233</v>
      </c>
      <c r="AK82" s="769" t="s">
        <v>519</v>
      </c>
      <c r="AL82" s="770" t="s">
        <v>494</v>
      </c>
      <c r="AM82" s="770" t="s">
        <v>499</v>
      </c>
      <c r="AN82" s="770" t="s">
        <v>30</v>
      </c>
      <c r="AO82" s="770" t="s">
        <v>493</v>
      </c>
      <c r="AP82" s="770" t="s">
        <v>504</v>
      </c>
      <c r="AQ82" s="770" t="s">
        <v>501</v>
      </c>
      <c r="AR82" s="784" t="s">
        <v>502</v>
      </c>
      <c r="AS82" s="771">
        <v>87384.64946</v>
      </c>
      <c r="AT82" s="771">
        <v>64786.86227</v>
      </c>
      <c r="AU82" s="771">
        <v>117288.0438</v>
      </c>
      <c r="AV82" s="772" t="s">
        <v>233</v>
      </c>
      <c r="AW82" s="714"/>
    </row>
    <row r="83">
      <c r="A83" s="761"/>
      <c r="B83" s="769" t="s">
        <v>493</v>
      </c>
      <c r="C83" s="770" t="s">
        <v>531</v>
      </c>
      <c r="D83" s="770" t="s">
        <v>494</v>
      </c>
      <c r="E83" s="770" t="s">
        <v>512</v>
      </c>
      <c r="F83" s="770" t="s">
        <v>514</v>
      </c>
      <c r="G83" s="770" t="s">
        <v>103</v>
      </c>
      <c r="H83" s="770">
        <v>2019.0</v>
      </c>
      <c r="I83" s="771">
        <v>45.20261399</v>
      </c>
      <c r="J83" s="771">
        <v>62.53799262</v>
      </c>
      <c r="K83" s="772">
        <v>31.85063782</v>
      </c>
      <c r="M83" s="769" t="s">
        <v>493</v>
      </c>
      <c r="N83" s="770" t="s">
        <v>531</v>
      </c>
      <c r="O83" s="770" t="s">
        <v>494</v>
      </c>
      <c r="P83" s="770" t="s">
        <v>512</v>
      </c>
      <c r="Q83" s="770" t="s">
        <v>514</v>
      </c>
      <c r="R83" s="770" t="s">
        <v>497</v>
      </c>
      <c r="S83" s="770">
        <v>2019.0</v>
      </c>
      <c r="T83" s="771">
        <v>5961.23901</v>
      </c>
      <c r="U83" s="771">
        <v>8247.397403</v>
      </c>
      <c r="V83" s="772">
        <v>4200.404532</v>
      </c>
      <c r="X83" s="776" t="s">
        <v>519</v>
      </c>
      <c r="Y83" s="777" t="s">
        <v>494</v>
      </c>
      <c r="Z83" s="777" t="s">
        <v>507</v>
      </c>
      <c r="AA83" s="777" t="s">
        <v>30</v>
      </c>
      <c r="AB83" s="777" t="s">
        <v>493</v>
      </c>
      <c r="AC83" s="777" t="s">
        <v>103</v>
      </c>
      <c r="AD83" s="778" t="s">
        <v>501</v>
      </c>
      <c r="AE83" s="779" t="s">
        <v>502</v>
      </c>
      <c r="AF83" s="780">
        <v>12.40965662</v>
      </c>
      <c r="AG83" s="780">
        <v>4.877162535</v>
      </c>
      <c r="AH83" s="780">
        <v>24.3231168</v>
      </c>
      <c r="AI83" s="782" t="s">
        <v>233</v>
      </c>
      <c r="AK83" s="769" t="s">
        <v>519</v>
      </c>
      <c r="AL83" s="770" t="s">
        <v>494</v>
      </c>
      <c r="AM83" s="770" t="s">
        <v>507</v>
      </c>
      <c r="AN83" s="770" t="s">
        <v>30</v>
      </c>
      <c r="AO83" s="770" t="s">
        <v>493</v>
      </c>
      <c r="AP83" s="770" t="s">
        <v>504</v>
      </c>
      <c r="AQ83" s="770" t="s">
        <v>501</v>
      </c>
      <c r="AR83" s="784" t="s">
        <v>502</v>
      </c>
      <c r="AS83" s="771">
        <v>8.680034763</v>
      </c>
      <c r="AT83" s="771">
        <v>3.411370809</v>
      </c>
      <c r="AU83" s="771">
        <v>17.01300091</v>
      </c>
      <c r="AV83" s="772" t="s">
        <v>233</v>
      </c>
      <c r="AW83" s="714"/>
    </row>
    <row r="84">
      <c r="A84" s="761"/>
      <c r="B84" s="769" t="s">
        <v>493</v>
      </c>
      <c r="C84" s="770" t="s">
        <v>531</v>
      </c>
      <c r="D84" s="770" t="s">
        <v>494</v>
      </c>
      <c r="E84" s="770" t="s">
        <v>495</v>
      </c>
      <c r="F84" s="770" t="s">
        <v>518</v>
      </c>
      <c r="G84" s="770" t="s">
        <v>103</v>
      </c>
      <c r="H84" s="770">
        <v>2019.0</v>
      </c>
      <c r="I84" s="771">
        <v>10.65485327</v>
      </c>
      <c r="J84" s="771">
        <v>28.55310008</v>
      </c>
      <c r="K84" s="772">
        <v>3.076455184</v>
      </c>
      <c r="M84" s="769" t="s">
        <v>493</v>
      </c>
      <c r="N84" s="770" t="s">
        <v>531</v>
      </c>
      <c r="O84" s="770" t="s">
        <v>494</v>
      </c>
      <c r="P84" s="770" t="s">
        <v>495</v>
      </c>
      <c r="Q84" s="770" t="s">
        <v>518</v>
      </c>
      <c r="R84" s="770" t="s">
        <v>497</v>
      </c>
      <c r="S84" s="770">
        <v>2019.0</v>
      </c>
      <c r="T84" s="771">
        <v>16.30617108</v>
      </c>
      <c r="U84" s="771">
        <v>43.69762051</v>
      </c>
      <c r="V84" s="772">
        <v>4.708202289</v>
      </c>
      <c r="X84" s="786" t="s">
        <v>519</v>
      </c>
      <c r="Y84" s="787" t="s">
        <v>494</v>
      </c>
      <c r="Z84" s="787" t="s">
        <v>509</v>
      </c>
      <c r="AA84" s="787" t="s">
        <v>30</v>
      </c>
      <c r="AB84" s="787" t="s">
        <v>493</v>
      </c>
      <c r="AC84" s="787" t="s">
        <v>103</v>
      </c>
      <c r="AD84" s="788" t="s">
        <v>501</v>
      </c>
      <c r="AE84" s="779" t="s">
        <v>502</v>
      </c>
      <c r="AF84" s="789">
        <v>185.4924038</v>
      </c>
      <c r="AG84" s="789">
        <v>93.08415716</v>
      </c>
      <c r="AH84" s="789">
        <v>279.8331141</v>
      </c>
      <c r="AI84" s="790" t="s">
        <v>233</v>
      </c>
      <c r="AK84" s="769" t="s">
        <v>519</v>
      </c>
      <c r="AL84" s="770" t="s">
        <v>494</v>
      </c>
      <c r="AM84" s="770" t="s">
        <v>509</v>
      </c>
      <c r="AN84" s="770" t="s">
        <v>30</v>
      </c>
      <c r="AO84" s="770" t="s">
        <v>493</v>
      </c>
      <c r="AP84" s="770" t="s">
        <v>504</v>
      </c>
      <c r="AQ84" s="770" t="s">
        <v>501</v>
      </c>
      <c r="AR84" s="784" t="s">
        <v>502</v>
      </c>
      <c r="AS84" s="771">
        <v>2057.440923</v>
      </c>
      <c r="AT84" s="771">
        <v>1032.468987</v>
      </c>
      <c r="AU84" s="771">
        <v>3103.84732</v>
      </c>
      <c r="AV84" s="772" t="s">
        <v>233</v>
      </c>
      <c r="AW84" s="714"/>
    </row>
    <row r="85">
      <c r="A85" s="761"/>
      <c r="B85" s="769" t="s">
        <v>493</v>
      </c>
      <c r="C85" s="770" t="s">
        <v>531</v>
      </c>
      <c r="D85" s="770" t="s">
        <v>494</v>
      </c>
      <c r="E85" s="770" t="s">
        <v>505</v>
      </c>
      <c r="F85" s="770" t="s">
        <v>518</v>
      </c>
      <c r="G85" s="770" t="s">
        <v>103</v>
      </c>
      <c r="H85" s="770">
        <v>2019.0</v>
      </c>
      <c r="I85" s="771">
        <v>0.3635584938</v>
      </c>
      <c r="J85" s="771">
        <v>1.117226653</v>
      </c>
      <c r="K85" s="772">
        <v>0.08137875223</v>
      </c>
      <c r="M85" s="769" t="s">
        <v>493</v>
      </c>
      <c r="N85" s="770" t="s">
        <v>531</v>
      </c>
      <c r="O85" s="770" t="s">
        <v>494</v>
      </c>
      <c r="P85" s="770" t="s">
        <v>505</v>
      </c>
      <c r="Q85" s="770" t="s">
        <v>518</v>
      </c>
      <c r="R85" s="770" t="s">
        <v>497</v>
      </c>
      <c r="S85" s="770">
        <v>2019.0</v>
      </c>
      <c r="T85" s="771">
        <v>142.4439403</v>
      </c>
      <c r="U85" s="771">
        <v>437.7346958</v>
      </c>
      <c r="V85" s="772">
        <v>31.88458067</v>
      </c>
      <c r="X85" s="786" t="s">
        <v>519</v>
      </c>
      <c r="Y85" s="787" t="s">
        <v>494</v>
      </c>
      <c r="Z85" s="787" t="s">
        <v>513</v>
      </c>
      <c r="AA85" s="787" t="s">
        <v>30</v>
      </c>
      <c r="AB85" s="787" t="s">
        <v>493</v>
      </c>
      <c r="AC85" s="787" t="s">
        <v>103</v>
      </c>
      <c r="AD85" s="788" t="s">
        <v>501</v>
      </c>
      <c r="AE85" s="779" t="s">
        <v>502</v>
      </c>
      <c r="AF85" s="789">
        <v>2861.377272</v>
      </c>
      <c r="AG85" s="789">
        <v>2146.276544</v>
      </c>
      <c r="AH85" s="789">
        <v>3866.704515</v>
      </c>
      <c r="AI85" s="790" t="s">
        <v>233</v>
      </c>
      <c r="AK85" s="769" t="s">
        <v>519</v>
      </c>
      <c r="AL85" s="770" t="s">
        <v>494</v>
      </c>
      <c r="AM85" s="770" t="s">
        <v>513</v>
      </c>
      <c r="AN85" s="770" t="s">
        <v>30</v>
      </c>
      <c r="AO85" s="770" t="s">
        <v>493</v>
      </c>
      <c r="AP85" s="770" t="s">
        <v>504</v>
      </c>
      <c r="AQ85" s="770" t="s">
        <v>501</v>
      </c>
      <c r="AR85" s="784" t="s">
        <v>502</v>
      </c>
      <c r="AS85" s="771">
        <v>366.0326064</v>
      </c>
      <c r="AT85" s="771">
        <v>274.5556152</v>
      </c>
      <c r="AU85" s="771">
        <v>494.6359033</v>
      </c>
      <c r="AV85" s="772" t="s">
        <v>233</v>
      </c>
      <c r="AW85" s="714"/>
    </row>
    <row r="86">
      <c r="A86" s="761"/>
      <c r="B86" s="769" t="s">
        <v>493</v>
      </c>
      <c r="C86" s="770" t="s">
        <v>531</v>
      </c>
      <c r="D86" s="770" t="s">
        <v>494</v>
      </c>
      <c r="E86" s="770" t="s">
        <v>508</v>
      </c>
      <c r="F86" s="770" t="s">
        <v>518</v>
      </c>
      <c r="G86" s="770" t="s">
        <v>103</v>
      </c>
      <c r="H86" s="770">
        <v>2019.0</v>
      </c>
      <c r="I86" s="771">
        <v>5.197900016</v>
      </c>
      <c r="J86" s="771">
        <v>14.56055989</v>
      </c>
      <c r="K86" s="772">
        <v>1.278603653</v>
      </c>
      <c r="M86" s="769" t="s">
        <v>493</v>
      </c>
      <c r="N86" s="770" t="s">
        <v>531</v>
      </c>
      <c r="O86" s="770" t="s">
        <v>494</v>
      </c>
      <c r="P86" s="770" t="s">
        <v>508</v>
      </c>
      <c r="Q86" s="770" t="s">
        <v>518</v>
      </c>
      <c r="R86" s="770" t="s">
        <v>497</v>
      </c>
      <c r="S86" s="770">
        <v>2019.0</v>
      </c>
      <c r="T86" s="771">
        <v>42.48669708</v>
      </c>
      <c r="U86" s="771">
        <v>119.01539</v>
      </c>
      <c r="V86" s="772">
        <v>10.45107561</v>
      </c>
      <c r="X86" s="776" t="s">
        <v>521</v>
      </c>
      <c r="Y86" s="777" t="s">
        <v>494</v>
      </c>
      <c r="Z86" s="777" t="s">
        <v>499</v>
      </c>
      <c r="AA86" s="777" t="s">
        <v>30</v>
      </c>
      <c r="AB86" s="777" t="s">
        <v>493</v>
      </c>
      <c r="AC86" s="777" t="s">
        <v>103</v>
      </c>
      <c r="AD86" s="778" t="s">
        <v>501</v>
      </c>
      <c r="AE86" s="779" t="s">
        <v>502</v>
      </c>
      <c r="AF86" s="780">
        <v>0.0</v>
      </c>
      <c r="AG86" s="780">
        <v>0.0</v>
      </c>
      <c r="AH86" s="780">
        <v>0.0</v>
      </c>
      <c r="AI86" s="782" t="s">
        <v>233</v>
      </c>
      <c r="AK86" s="769" t="s">
        <v>521</v>
      </c>
      <c r="AL86" s="770" t="s">
        <v>494</v>
      </c>
      <c r="AM86" s="770" t="s">
        <v>499</v>
      </c>
      <c r="AN86" s="770" t="s">
        <v>30</v>
      </c>
      <c r="AO86" s="770" t="s">
        <v>493</v>
      </c>
      <c r="AP86" s="770" t="s">
        <v>504</v>
      </c>
      <c r="AQ86" s="770" t="s">
        <v>501</v>
      </c>
      <c r="AR86" s="784" t="s">
        <v>502</v>
      </c>
      <c r="AS86" s="771">
        <v>0.0</v>
      </c>
      <c r="AT86" s="771">
        <v>0.0</v>
      </c>
      <c r="AU86" s="771">
        <v>0.0</v>
      </c>
      <c r="AV86" s="772" t="s">
        <v>233</v>
      </c>
      <c r="AW86" s="714"/>
    </row>
    <row r="87">
      <c r="A87" s="761"/>
      <c r="B87" s="769" t="s">
        <v>493</v>
      </c>
      <c r="C87" s="770" t="s">
        <v>531</v>
      </c>
      <c r="D87" s="770" t="s">
        <v>494</v>
      </c>
      <c r="E87" s="770" t="s">
        <v>512</v>
      </c>
      <c r="F87" s="770" t="s">
        <v>518</v>
      </c>
      <c r="G87" s="770" t="s">
        <v>103</v>
      </c>
      <c r="H87" s="770">
        <v>2019.0</v>
      </c>
      <c r="I87" s="771">
        <v>0.6272813311</v>
      </c>
      <c r="J87" s="771">
        <v>1.990377396</v>
      </c>
      <c r="K87" s="772">
        <v>0.147065803</v>
      </c>
      <c r="M87" s="769" t="s">
        <v>493</v>
      </c>
      <c r="N87" s="770" t="s">
        <v>531</v>
      </c>
      <c r="O87" s="770" t="s">
        <v>494</v>
      </c>
      <c r="P87" s="770" t="s">
        <v>512</v>
      </c>
      <c r="Q87" s="770" t="s">
        <v>518</v>
      </c>
      <c r="R87" s="770" t="s">
        <v>497</v>
      </c>
      <c r="S87" s="770">
        <v>2019.0</v>
      </c>
      <c r="T87" s="771">
        <v>82.72472787</v>
      </c>
      <c r="U87" s="771">
        <v>262.4873725</v>
      </c>
      <c r="V87" s="772">
        <v>19.39477222</v>
      </c>
      <c r="X87" s="776" t="s">
        <v>521</v>
      </c>
      <c r="Y87" s="777" t="s">
        <v>494</v>
      </c>
      <c r="Z87" s="777" t="s">
        <v>507</v>
      </c>
      <c r="AA87" s="777" t="s">
        <v>30</v>
      </c>
      <c r="AB87" s="777" t="s">
        <v>493</v>
      </c>
      <c r="AC87" s="777" t="s">
        <v>103</v>
      </c>
      <c r="AD87" s="778" t="s">
        <v>501</v>
      </c>
      <c r="AE87" s="779" t="s">
        <v>502</v>
      </c>
      <c r="AF87" s="780">
        <v>4.423358327</v>
      </c>
      <c r="AG87" s="780">
        <v>1.160202854</v>
      </c>
      <c r="AH87" s="780">
        <v>12.0543104</v>
      </c>
      <c r="AI87" s="782" t="s">
        <v>233</v>
      </c>
      <c r="AK87" s="769" t="s">
        <v>521</v>
      </c>
      <c r="AL87" s="770" t="s">
        <v>494</v>
      </c>
      <c r="AM87" s="770" t="s">
        <v>507</v>
      </c>
      <c r="AN87" s="770" t="s">
        <v>30</v>
      </c>
      <c r="AO87" s="770" t="s">
        <v>493</v>
      </c>
      <c r="AP87" s="770" t="s">
        <v>504</v>
      </c>
      <c r="AQ87" s="770" t="s">
        <v>501</v>
      </c>
      <c r="AR87" s="784" t="s">
        <v>502</v>
      </c>
      <c r="AS87" s="771">
        <v>3.093953783</v>
      </c>
      <c r="AT87" s="771">
        <v>0.8115132763</v>
      </c>
      <c r="AU87" s="771">
        <v>8.431484973</v>
      </c>
      <c r="AV87" s="772" t="s">
        <v>233</v>
      </c>
      <c r="AW87" s="714"/>
    </row>
    <row r="88">
      <c r="A88" s="761"/>
      <c r="B88" s="769" t="s">
        <v>493</v>
      </c>
      <c r="C88" s="770" t="s">
        <v>531</v>
      </c>
      <c r="D88" s="770" t="s">
        <v>494</v>
      </c>
      <c r="E88" s="770" t="s">
        <v>495</v>
      </c>
      <c r="F88" s="770" t="s">
        <v>519</v>
      </c>
      <c r="G88" s="770" t="s">
        <v>103</v>
      </c>
      <c r="H88" s="770">
        <v>2019.0</v>
      </c>
      <c r="I88" s="771">
        <v>234.8879358</v>
      </c>
      <c r="J88" s="771">
        <v>321.5825283</v>
      </c>
      <c r="K88" s="772">
        <v>167.3060794</v>
      </c>
      <c r="M88" s="769" t="s">
        <v>493</v>
      </c>
      <c r="N88" s="770" t="s">
        <v>531</v>
      </c>
      <c r="O88" s="770" t="s">
        <v>494</v>
      </c>
      <c r="P88" s="770" t="s">
        <v>495</v>
      </c>
      <c r="Q88" s="770" t="s">
        <v>519</v>
      </c>
      <c r="R88" s="770" t="s">
        <v>497</v>
      </c>
      <c r="S88" s="770">
        <v>2019.0</v>
      </c>
      <c r="T88" s="771">
        <v>359.4721363</v>
      </c>
      <c r="U88" s="771">
        <v>492.1494075</v>
      </c>
      <c r="V88" s="772">
        <v>256.044967</v>
      </c>
      <c r="X88" s="786" t="s">
        <v>521</v>
      </c>
      <c r="Y88" s="787" t="s">
        <v>494</v>
      </c>
      <c r="Z88" s="787" t="s">
        <v>509</v>
      </c>
      <c r="AA88" s="787" t="s">
        <v>30</v>
      </c>
      <c r="AB88" s="787" t="s">
        <v>493</v>
      </c>
      <c r="AC88" s="787" t="s">
        <v>103</v>
      </c>
      <c r="AD88" s="788" t="s">
        <v>501</v>
      </c>
      <c r="AE88" s="779" t="s">
        <v>502</v>
      </c>
      <c r="AF88" s="789">
        <v>0.0</v>
      </c>
      <c r="AG88" s="789">
        <v>0.0</v>
      </c>
      <c r="AH88" s="789">
        <v>0.0</v>
      </c>
      <c r="AI88" s="790" t="s">
        <v>233</v>
      </c>
      <c r="AK88" s="769" t="s">
        <v>521</v>
      </c>
      <c r="AL88" s="770" t="s">
        <v>494</v>
      </c>
      <c r="AM88" s="770" t="s">
        <v>509</v>
      </c>
      <c r="AN88" s="770" t="s">
        <v>30</v>
      </c>
      <c r="AO88" s="770" t="s">
        <v>493</v>
      </c>
      <c r="AP88" s="770" t="s">
        <v>504</v>
      </c>
      <c r="AQ88" s="770" t="s">
        <v>501</v>
      </c>
      <c r="AR88" s="784" t="s">
        <v>502</v>
      </c>
      <c r="AS88" s="771">
        <v>0.0</v>
      </c>
      <c r="AT88" s="771">
        <v>0.0</v>
      </c>
      <c r="AU88" s="771">
        <v>0.0</v>
      </c>
      <c r="AV88" s="772" t="s">
        <v>233</v>
      </c>
      <c r="AW88" s="714"/>
    </row>
    <row r="89">
      <c r="A89" s="761"/>
      <c r="B89" s="769" t="s">
        <v>493</v>
      </c>
      <c r="C89" s="770" t="s">
        <v>531</v>
      </c>
      <c r="D89" s="770" t="s">
        <v>494</v>
      </c>
      <c r="E89" s="770" t="s">
        <v>505</v>
      </c>
      <c r="F89" s="770" t="s">
        <v>519</v>
      </c>
      <c r="G89" s="770" t="s">
        <v>103</v>
      </c>
      <c r="H89" s="770">
        <v>2019.0</v>
      </c>
      <c r="I89" s="771">
        <v>194.4718136</v>
      </c>
      <c r="J89" s="771">
        <v>267.1662263</v>
      </c>
      <c r="K89" s="772">
        <v>139.0196237</v>
      </c>
      <c r="M89" s="769" t="s">
        <v>493</v>
      </c>
      <c r="N89" s="770" t="s">
        <v>531</v>
      </c>
      <c r="O89" s="770" t="s">
        <v>494</v>
      </c>
      <c r="P89" s="770" t="s">
        <v>505</v>
      </c>
      <c r="Q89" s="770" t="s">
        <v>519</v>
      </c>
      <c r="R89" s="770" t="s">
        <v>497</v>
      </c>
      <c r="S89" s="770">
        <v>2019.0</v>
      </c>
      <c r="T89" s="771">
        <v>76194.97791</v>
      </c>
      <c r="U89" s="771">
        <v>104676.9932</v>
      </c>
      <c r="V89" s="772">
        <v>54468.5472</v>
      </c>
      <c r="X89" s="786" t="s">
        <v>521</v>
      </c>
      <c r="Y89" s="787" t="s">
        <v>494</v>
      </c>
      <c r="Z89" s="787" t="s">
        <v>513</v>
      </c>
      <c r="AA89" s="787" t="s">
        <v>30</v>
      </c>
      <c r="AB89" s="787" t="s">
        <v>493</v>
      </c>
      <c r="AC89" s="787" t="s">
        <v>103</v>
      </c>
      <c r="AD89" s="788" t="s">
        <v>501</v>
      </c>
      <c r="AE89" s="779" t="s">
        <v>502</v>
      </c>
      <c r="AF89" s="789">
        <v>17.85969748</v>
      </c>
      <c r="AG89" s="789">
        <v>3.93208744</v>
      </c>
      <c r="AH89" s="789">
        <v>52.15625699</v>
      </c>
      <c r="AI89" s="790" t="s">
        <v>233</v>
      </c>
      <c r="AK89" s="769" t="s">
        <v>521</v>
      </c>
      <c r="AL89" s="770" t="s">
        <v>494</v>
      </c>
      <c r="AM89" s="770" t="s">
        <v>513</v>
      </c>
      <c r="AN89" s="770" t="s">
        <v>30</v>
      </c>
      <c r="AO89" s="770" t="s">
        <v>493</v>
      </c>
      <c r="AP89" s="770" t="s">
        <v>504</v>
      </c>
      <c r="AQ89" s="770" t="s">
        <v>501</v>
      </c>
      <c r="AR89" s="784" t="s">
        <v>502</v>
      </c>
      <c r="AS89" s="771">
        <v>2.284645118</v>
      </c>
      <c r="AT89" s="771">
        <v>0.5029998065</v>
      </c>
      <c r="AU89" s="771">
        <v>6.671923646</v>
      </c>
      <c r="AV89" s="772" t="s">
        <v>233</v>
      </c>
      <c r="AW89" s="714"/>
    </row>
    <row r="90">
      <c r="A90" s="761"/>
      <c r="B90" s="769" t="s">
        <v>493</v>
      </c>
      <c r="C90" s="770" t="s">
        <v>531</v>
      </c>
      <c r="D90" s="770" t="s">
        <v>494</v>
      </c>
      <c r="E90" s="770" t="s">
        <v>508</v>
      </c>
      <c r="F90" s="770" t="s">
        <v>519</v>
      </c>
      <c r="G90" s="770" t="s">
        <v>103</v>
      </c>
      <c r="H90" s="770">
        <v>2019.0</v>
      </c>
      <c r="I90" s="771">
        <v>6.520497475</v>
      </c>
      <c r="J90" s="771">
        <v>11.13358386</v>
      </c>
      <c r="K90" s="772">
        <v>3.465304839</v>
      </c>
      <c r="M90" s="769" t="s">
        <v>493</v>
      </c>
      <c r="N90" s="770" t="s">
        <v>531</v>
      </c>
      <c r="O90" s="770" t="s">
        <v>494</v>
      </c>
      <c r="P90" s="770" t="s">
        <v>508</v>
      </c>
      <c r="Q90" s="770" t="s">
        <v>519</v>
      </c>
      <c r="R90" s="770" t="s">
        <v>497</v>
      </c>
      <c r="S90" s="770">
        <v>2019.0</v>
      </c>
      <c r="T90" s="771">
        <v>53.29737012</v>
      </c>
      <c r="U90" s="771">
        <v>91.00390611</v>
      </c>
      <c r="V90" s="772">
        <v>28.32477665</v>
      </c>
      <c r="X90" s="776" t="s">
        <v>523</v>
      </c>
      <c r="Y90" s="777" t="s">
        <v>494</v>
      </c>
      <c r="Z90" s="777" t="s">
        <v>507</v>
      </c>
      <c r="AA90" s="777" t="s">
        <v>30</v>
      </c>
      <c r="AB90" s="777" t="s">
        <v>493</v>
      </c>
      <c r="AC90" s="777" t="s">
        <v>103</v>
      </c>
      <c r="AD90" s="778" t="s">
        <v>501</v>
      </c>
      <c r="AE90" s="779" t="s">
        <v>502</v>
      </c>
      <c r="AF90" s="780">
        <v>15.29420849</v>
      </c>
      <c r="AG90" s="780">
        <v>5.18835206</v>
      </c>
      <c r="AH90" s="780">
        <v>31.48576905</v>
      </c>
      <c r="AI90" s="782" t="s">
        <v>233</v>
      </c>
      <c r="AK90" s="769" t="s">
        <v>523</v>
      </c>
      <c r="AL90" s="770" t="s">
        <v>494</v>
      </c>
      <c r="AM90" s="770" t="s">
        <v>507</v>
      </c>
      <c r="AN90" s="770" t="s">
        <v>30</v>
      </c>
      <c r="AO90" s="770" t="s">
        <v>493</v>
      </c>
      <c r="AP90" s="770" t="s">
        <v>504</v>
      </c>
      <c r="AQ90" s="770" t="s">
        <v>501</v>
      </c>
      <c r="AR90" s="784" t="s">
        <v>502</v>
      </c>
      <c r="AS90" s="771">
        <v>10.69765791</v>
      </c>
      <c r="AT90" s="771">
        <v>3.629034841</v>
      </c>
      <c r="AU90" s="771">
        <v>22.02297599</v>
      </c>
      <c r="AV90" s="772" t="s">
        <v>233</v>
      </c>
      <c r="AW90" s="714"/>
    </row>
    <row r="91">
      <c r="A91" s="761"/>
      <c r="B91" s="769" t="s">
        <v>493</v>
      </c>
      <c r="C91" s="770" t="s">
        <v>531</v>
      </c>
      <c r="D91" s="770" t="s">
        <v>494</v>
      </c>
      <c r="E91" s="770" t="s">
        <v>512</v>
      </c>
      <c r="F91" s="770" t="s">
        <v>519</v>
      </c>
      <c r="G91" s="770" t="s">
        <v>103</v>
      </c>
      <c r="H91" s="770">
        <v>2019.0</v>
      </c>
      <c r="I91" s="771">
        <v>33.33649847</v>
      </c>
      <c r="J91" s="771">
        <v>46.50600625</v>
      </c>
      <c r="K91" s="772">
        <v>22.79112623</v>
      </c>
      <c r="M91" s="769" t="s">
        <v>493</v>
      </c>
      <c r="N91" s="770" t="s">
        <v>531</v>
      </c>
      <c r="O91" s="770" t="s">
        <v>494</v>
      </c>
      <c r="P91" s="770" t="s">
        <v>512</v>
      </c>
      <c r="Q91" s="770" t="s">
        <v>519</v>
      </c>
      <c r="R91" s="770" t="s">
        <v>497</v>
      </c>
      <c r="S91" s="770">
        <v>2019.0</v>
      </c>
      <c r="T91" s="771">
        <v>4396.357148</v>
      </c>
      <c r="U91" s="771">
        <v>6133.128025</v>
      </c>
      <c r="V91" s="772">
        <v>3005.652523</v>
      </c>
      <c r="X91" s="786" t="s">
        <v>523</v>
      </c>
      <c r="Y91" s="787" t="s">
        <v>494</v>
      </c>
      <c r="Z91" s="787" t="s">
        <v>513</v>
      </c>
      <c r="AA91" s="787" t="s">
        <v>30</v>
      </c>
      <c r="AB91" s="787" t="s">
        <v>493</v>
      </c>
      <c r="AC91" s="787" t="s">
        <v>103</v>
      </c>
      <c r="AD91" s="788" t="s">
        <v>501</v>
      </c>
      <c r="AE91" s="779" t="s">
        <v>502</v>
      </c>
      <c r="AF91" s="789">
        <v>22.19935276</v>
      </c>
      <c r="AG91" s="789">
        <v>7.935402367</v>
      </c>
      <c r="AH91" s="789">
        <v>43.66031078</v>
      </c>
      <c r="AI91" s="790" t="s">
        <v>233</v>
      </c>
      <c r="AK91" s="769" t="s">
        <v>523</v>
      </c>
      <c r="AL91" s="770" t="s">
        <v>494</v>
      </c>
      <c r="AM91" s="770" t="s">
        <v>513</v>
      </c>
      <c r="AN91" s="770" t="s">
        <v>30</v>
      </c>
      <c r="AO91" s="770" t="s">
        <v>493</v>
      </c>
      <c r="AP91" s="770" t="s">
        <v>504</v>
      </c>
      <c r="AQ91" s="770" t="s">
        <v>501</v>
      </c>
      <c r="AR91" s="784" t="s">
        <v>502</v>
      </c>
      <c r="AS91" s="771">
        <v>2.839781747</v>
      </c>
      <c r="AT91" s="771">
        <v>1.015111163</v>
      </c>
      <c r="AU91" s="771">
        <v>5.585106692</v>
      </c>
      <c r="AV91" s="772" t="s">
        <v>233</v>
      </c>
      <c r="AW91" s="714"/>
    </row>
    <row r="92">
      <c r="A92" s="761"/>
      <c r="B92" s="769" t="s">
        <v>493</v>
      </c>
      <c r="C92" s="770" t="s">
        <v>531</v>
      </c>
      <c r="D92" s="770" t="s">
        <v>494</v>
      </c>
      <c r="E92" s="770" t="s">
        <v>495</v>
      </c>
      <c r="F92" s="770" t="s">
        <v>521</v>
      </c>
      <c r="G92" s="770" t="s">
        <v>103</v>
      </c>
      <c r="H92" s="770">
        <v>2019.0</v>
      </c>
      <c r="I92" s="771">
        <v>0.3883681221</v>
      </c>
      <c r="J92" s="771">
        <v>1.063887944</v>
      </c>
      <c r="K92" s="772">
        <v>0.101085467</v>
      </c>
      <c r="M92" s="769" t="s">
        <v>493</v>
      </c>
      <c r="N92" s="770" t="s">
        <v>531</v>
      </c>
      <c r="O92" s="770" t="s">
        <v>494</v>
      </c>
      <c r="P92" s="770" t="s">
        <v>495</v>
      </c>
      <c r="Q92" s="770" t="s">
        <v>521</v>
      </c>
      <c r="R92" s="770" t="s">
        <v>497</v>
      </c>
      <c r="S92" s="770">
        <v>2019.0</v>
      </c>
      <c r="T92" s="771">
        <v>0.5943579777</v>
      </c>
      <c r="U92" s="771">
        <v>1.628172476</v>
      </c>
      <c r="V92" s="772">
        <v>0.1547010434</v>
      </c>
      <c r="X92" s="776" t="s">
        <v>496</v>
      </c>
      <c r="Y92" s="777" t="s">
        <v>494</v>
      </c>
      <c r="Z92" s="777" t="s">
        <v>499</v>
      </c>
      <c r="AA92" s="777" t="s">
        <v>535</v>
      </c>
      <c r="AB92" s="777" t="s">
        <v>493</v>
      </c>
      <c r="AC92" s="777" t="s">
        <v>103</v>
      </c>
      <c r="AD92" s="778" t="s">
        <v>501</v>
      </c>
      <c r="AE92" s="779" t="s">
        <v>502</v>
      </c>
      <c r="AF92" s="780">
        <v>12038.667</v>
      </c>
      <c r="AG92" s="780">
        <v>9846.928003</v>
      </c>
      <c r="AH92" s="780">
        <v>14895.08663</v>
      </c>
      <c r="AI92" s="782" t="s">
        <v>233</v>
      </c>
      <c r="AK92" s="769" t="s">
        <v>496</v>
      </c>
      <c r="AL92" s="770" t="s">
        <v>494</v>
      </c>
      <c r="AM92" s="770" t="s">
        <v>499</v>
      </c>
      <c r="AN92" s="770" t="s">
        <v>535</v>
      </c>
      <c r="AO92" s="770" t="s">
        <v>493</v>
      </c>
      <c r="AP92" s="770" t="s">
        <v>504</v>
      </c>
      <c r="AQ92" s="770" t="s">
        <v>501</v>
      </c>
      <c r="AR92" s="784" t="s">
        <v>502</v>
      </c>
      <c r="AS92" s="771">
        <v>188519.2627</v>
      </c>
      <c r="AT92" s="771">
        <v>154197.7702</v>
      </c>
      <c r="AU92" s="771">
        <v>233249.3082</v>
      </c>
      <c r="AV92" s="772" t="s">
        <v>233</v>
      </c>
      <c r="AW92" s="714"/>
    </row>
    <row r="93">
      <c r="A93" s="761"/>
      <c r="B93" s="769" t="s">
        <v>493</v>
      </c>
      <c r="C93" s="770" t="s">
        <v>531</v>
      </c>
      <c r="D93" s="770" t="s">
        <v>494</v>
      </c>
      <c r="E93" s="770" t="s">
        <v>505</v>
      </c>
      <c r="F93" s="770" t="s">
        <v>521</v>
      </c>
      <c r="G93" s="770" t="s">
        <v>103</v>
      </c>
      <c r="H93" s="770">
        <v>2019.0</v>
      </c>
      <c r="I93" s="771">
        <v>0.0</v>
      </c>
      <c r="J93" s="771">
        <v>0.0</v>
      </c>
      <c r="K93" s="772">
        <v>0.0</v>
      </c>
      <c r="M93" s="769" t="s">
        <v>493</v>
      </c>
      <c r="N93" s="770" t="s">
        <v>531</v>
      </c>
      <c r="O93" s="770" t="s">
        <v>494</v>
      </c>
      <c r="P93" s="770" t="s">
        <v>505</v>
      </c>
      <c r="Q93" s="770" t="s">
        <v>521</v>
      </c>
      <c r="R93" s="770" t="s">
        <v>497</v>
      </c>
      <c r="S93" s="770">
        <v>2019.0</v>
      </c>
      <c r="T93" s="771">
        <v>0.0</v>
      </c>
      <c r="U93" s="771">
        <v>0.0</v>
      </c>
      <c r="V93" s="772">
        <v>0.0</v>
      </c>
      <c r="X93" s="776" t="s">
        <v>496</v>
      </c>
      <c r="Y93" s="777" t="s">
        <v>494</v>
      </c>
      <c r="Z93" s="777" t="s">
        <v>507</v>
      </c>
      <c r="AA93" s="777" t="s">
        <v>535</v>
      </c>
      <c r="AB93" s="777" t="s">
        <v>493</v>
      </c>
      <c r="AC93" s="777" t="s">
        <v>103</v>
      </c>
      <c r="AD93" s="778" t="s">
        <v>501</v>
      </c>
      <c r="AE93" s="779" t="s">
        <v>502</v>
      </c>
      <c r="AF93" s="780">
        <v>13484.15271</v>
      </c>
      <c r="AG93" s="780">
        <v>11048.13217</v>
      </c>
      <c r="AH93" s="780">
        <v>16666.51719</v>
      </c>
      <c r="AI93" s="782" t="s">
        <v>233</v>
      </c>
      <c r="AK93" s="769" t="s">
        <v>496</v>
      </c>
      <c r="AL93" s="770" t="s">
        <v>494</v>
      </c>
      <c r="AM93" s="770" t="s">
        <v>507</v>
      </c>
      <c r="AN93" s="770" t="s">
        <v>535</v>
      </c>
      <c r="AO93" s="770" t="s">
        <v>493</v>
      </c>
      <c r="AP93" s="770" t="s">
        <v>504</v>
      </c>
      <c r="AQ93" s="770" t="s">
        <v>501</v>
      </c>
      <c r="AR93" s="784" t="s">
        <v>502</v>
      </c>
      <c r="AS93" s="771">
        <v>4674.498708</v>
      </c>
      <c r="AT93" s="771">
        <v>3830.012956</v>
      </c>
      <c r="AU93" s="771">
        <v>5777.71661</v>
      </c>
      <c r="AV93" s="772" t="s">
        <v>233</v>
      </c>
      <c r="AW93" s="714"/>
    </row>
    <row r="94">
      <c r="A94" s="761"/>
      <c r="B94" s="769" t="s">
        <v>493</v>
      </c>
      <c r="C94" s="770" t="s">
        <v>531</v>
      </c>
      <c r="D94" s="770" t="s">
        <v>494</v>
      </c>
      <c r="E94" s="770" t="s">
        <v>508</v>
      </c>
      <c r="F94" s="770" t="s">
        <v>521</v>
      </c>
      <c r="G94" s="770" t="s">
        <v>103</v>
      </c>
      <c r="H94" s="770">
        <v>2019.0</v>
      </c>
      <c r="I94" s="771">
        <v>0.09901057617</v>
      </c>
      <c r="J94" s="771">
        <v>0.2601191172</v>
      </c>
      <c r="K94" s="772">
        <v>0.0253977923</v>
      </c>
      <c r="M94" s="769" t="s">
        <v>493</v>
      </c>
      <c r="N94" s="770" t="s">
        <v>531</v>
      </c>
      <c r="O94" s="770" t="s">
        <v>494</v>
      </c>
      <c r="P94" s="770" t="s">
        <v>508</v>
      </c>
      <c r="Q94" s="770" t="s">
        <v>521</v>
      </c>
      <c r="R94" s="770" t="s">
        <v>497</v>
      </c>
      <c r="S94" s="770">
        <v>2019.0</v>
      </c>
      <c r="T94" s="771">
        <v>0.8092945891</v>
      </c>
      <c r="U94" s="771">
        <v>2.126166741</v>
      </c>
      <c r="V94" s="772">
        <v>0.2075969728</v>
      </c>
      <c r="X94" s="786" t="s">
        <v>496</v>
      </c>
      <c r="Y94" s="787" t="s">
        <v>494</v>
      </c>
      <c r="Z94" s="787" t="s">
        <v>509</v>
      </c>
      <c r="AA94" s="787" t="s">
        <v>535</v>
      </c>
      <c r="AB94" s="787" t="s">
        <v>493</v>
      </c>
      <c r="AC94" s="787" t="s">
        <v>103</v>
      </c>
      <c r="AD94" s="788" t="s">
        <v>501</v>
      </c>
      <c r="AE94" s="779" t="s">
        <v>502</v>
      </c>
      <c r="AF94" s="789">
        <v>3514.290869</v>
      </c>
      <c r="AG94" s="789">
        <v>2869.735522</v>
      </c>
      <c r="AH94" s="789">
        <v>4338.636617</v>
      </c>
      <c r="AI94" s="790" t="s">
        <v>233</v>
      </c>
      <c r="AK94" s="769" t="s">
        <v>496</v>
      </c>
      <c r="AL94" s="770" t="s">
        <v>494</v>
      </c>
      <c r="AM94" s="770" t="s">
        <v>509</v>
      </c>
      <c r="AN94" s="770" t="s">
        <v>535</v>
      </c>
      <c r="AO94" s="770" t="s">
        <v>493</v>
      </c>
      <c r="AP94" s="770" t="s">
        <v>504</v>
      </c>
      <c r="AQ94" s="770" t="s">
        <v>501</v>
      </c>
      <c r="AR94" s="784" t="s">
        <v>502</v>
      </c>
      <c r="AS94" s="771">
        <v>18789.06384</v>
      </c>
      <c r="AT94" s="771">
        <v>15342.9656</v>
      </c>
      <c r="AU94" s="771">
        <v>23196.40673</v>
      </c>
      <c r="AV94" s="772" t="s">
        <v>233</v>
      </c>
      <c r="AW94" s="714"/>
    </row>
    <row r="95">
      <c r="A95" s="761"/>
      <c r="B95" s="769" t="s">
        <v>493</v>
      </c>
      <c r="C95" s="770" t="s">
        <v>531</v>
      </c>
      <c r="D95" s="770" t="s">
        <v>494</v>
      </c>
      <c r="E95" s="770" t="s">
        <v>512</v>
      </c>
      <c r="F95" s="770" t="s">
        <v>521</v>
      </c>
      <c r="G95" s="770" t="s">
        <v>103</v>
      </c>
      <c r="H95" s="770">
        <v>2019.0</v>
      </c>
      <c r="I95" s="771">
        <v>0.0</v>
      </c>
      <c r="J95" s="771">
        <v>0.0</v>
      </c>
      <c r="K95" s="772">
        <v>0.0</v>
      </c>
      <c r="M95" s="769" t="s">
        <v>493</v>
      </c>
      <c r="N95" s="770" t="s">
        <v>531</v>
      </c>
      <c r="O95" s="770" t="s">
        <v>494</v>
      </c>
      <c r="P95" s="770" t="s">
        <v>512</v>
      </c>
      <c r="Q95" s="770" t="s">
        <v>521</v>
      </c>
      <c r="R95" s="770" t="s">
        <v>497</v>
      </c>
      <c r="S95" s="770">
        <v>2019.0</v>
      </c>
      <c r="T95" s="771">
        <v>0.0</v>
      </c>
      <c r="U95" s="771">
        <v>0.0</v>
      </c>
      <c r="V95" s="772">
        <v>0.0</v>
      </c>
      <c r="X95" s="786" t="s">
        <v>496</v>
      </c>
      <c r="Y95" s="787" t="s">
        <v>494</v>
      </c>
      <c r="Z95" s="787" t="s">
        <v>513</v>
      </c>
      <c r="AA95" s="787" t="s">
        <v>535</v>
      </c>
      <c r="AB95" s="787" t="s">
        <v>493</v>
      </c>
      <c r="AC95" s="787" t="s">
        <v>103</v>
      </c>
      <c r="AD95" s="788" t="s">
        <v>501</v>
      </c>
      <c r="AE95" s="779" t="s">
        <v>502</v>
      </c>
      <c r="AF95" s="789">
        <v>50343.16943</v>
      </c>
      <c r="AG95" s="789">
        <v>41340.19693</v>
      </c>
      <c r="AH95" s="789">
        <v>61963.14559</v>
      </c>
      <c r="AI95" s="790" t="s">
        <v>233</v>
      </c>
      <c r="AK95" s="769" t="s">
        <v>496</v>
      </c>
      <c r="AL95" s="770" t="s">
        <v>494</v>
      </c>
      <c r="AM95" s="770" t="s">
        <v>513</v>
      </c>
      <c r="AN95" s="770" t="s">
        <v>535</v>
      </c>
      <c r="AO95" s="770" t="s">
        <v>493</v>
      </c>
      <c r="AP95" s="770" t="s">
        <v>504</v>
      </c>
      <c r="AQ95" s="770" t="s">
        <v>501</v>
      </c>
      <c r="AR95" s="784" t="s">
        <v>502</v>
      </c>
      <c r="AS95" s="771">
        <v>3581.529029</v>
      </c>
      <c r="AT95" s="771">
        <v>2941.036829</v>
      </c>
      <c r="AU95" s="771">
        <v>4408.200898</v>
      </c>
      <c r="AV95" s="772" t="s">
        <v>233</v>
      </c>
      <c r="AW95" s="714"/>
    </row>
    <row r="96">
      <c r="A96" s="761"/>
      <c r="B96" s="769" t="s">
        <v>493</v>
      </c>
      <c r="C96" s="770" t="s">
        <v>531</v>
      </c>
      <c r="D96" s="770" t="s">
        <v>494</v>
      </c>
      <c r="E96" s="770" t="s">
        <v>495</v>
      </c>
      <c r="F96" s="770" t="s">
        <v>523</v>
      </c>
      <c r="G96" s="770" t="s">
        <v>103</v>
      </c>
      <c r="H96" s="770">
        <v>2019.0</v>
      </c>
      <c r="I96" s="771">
        <v>3.230852942</v>
      </c>
      <c r="J96" s="771">
        <v>7.981712471</v>
      </c>
      <c r="K96" s="772">
        <v>1.164041909</v>
      </c>
      <c r="M96" s="769" t="s">
        <v>493</v>
      </c>
      <c r="N96" s="770" t="s">
        <v>531</v>
      </c>
      <c r="O96" s="770" t="s">
        <v>494</v>
      </c>
      <c r="P96" s="770" t="s">
        <v>495</v>
      </c>
      <c r="Q96" s="770" t="s">
        <v>523</v>
      </c>
      <c r="R96" s="770" t="s">
        <v>497</v>
      </c>
      <c r="S96" s="770">
        <v>2019.0</v>
      </c>
      <c r="T96" s="771">
        <v>4.944492382</v>
      </c>
      <c r="U96" s="771">
        <v>12.21520051</v>
      </c>
      <c r="V96" s="772">
        <v>1.781447951</v>
      </c>
      <c r="X96" s="776" t="s">
        <v>514</v>
      </c>
      <c r="Y96" s="777" t="s">
        <v>494</v>
      </c>
      <c r="Z96" s="777" t="s">
        <v>499</v>
      </c>
      <c r="AA96" s="777" t="s">
        <v>535</v>
      </c>
      <c r="AB96" s="777" t="s">
        <v>493</v>
      </c>
      <c r="AC96" s="777" t="s">
        <v>103</v>
      </c>
      <c r="AD96" s="778" t="s">
        <v>501</v>
      </c>
      <c r="AE96" s="779" t="s">
        <v>502</v>
      </c>
      <c r="AF96" s="780">
        <v>11160.63</v>
      </c>
      <c r="AG96" s="780">
        <v>8998.915614</v>
      </c>
      <c r="AH96" s="780">
        <v>13802.05483</v>
      </c>
      <c r="AI96" s="782" t="s">
        <v>233</v>
      </c>
      <c r="AK96" s="769" t="s">
        <v>514</v>
      </c>
      <c r="AL96" s="770" t="s">
        <v>494</v>
      </c>
      <c r="AM96" s="770" t="s">
        <v>499</v>
      </c>
      <c r="AN96" s="770" t="s">
        <v>535</v>
      </c>
      <c r="AO96" s="770" t="s">
        <v>493</v>
      </c>
      <c r="AP96" s="770" t="s">
        <v>504</v>
      </c>
      <c r="AQ96" s="770" t="s">
        <v>501</v>
      </c>
      <c r="AR96" s="784" t="s">
        <v>502</v>
      </c>
      <c r="AS96" s="771">
        <v>174769.66</v>
      </c>
      <c r="AT96" s="771">
        <v>140918.3373</v>
      </c>
      <c r="AU96" s="771">
        <v>216132.9988</v>
      </c>
      <c r="AV96" s="772" t="s">
        <v>233</v>
      </c>
      <c r="AW96" s="714"/>
    </row>
    <row r="97">
      <c r="A97" s="761"/>
      <c r="B97" s="769" t="s">
        <v>493</v>
      </c>
      <c r="C97" s="770" t="s">
        <v>531</v>
      </c>
      <c r="D97" s="770" t="s">
        <v>494</v>
      </c>
      <c r="E97" s="770" t="s">
        <v>505</v>
      </c>
      <c r="F97" s="770" t="s">
        <v>523</v>
      </c>
      <c r="G97" s="770" t="s">
        <v>103</v>
      </c>
      <c r="H97" s="770">
        <v>2019.0</v>
      </c>
      <c r="I97" s="771">
        <v>0.0</v>
      </c>
      <c r="J97" s="771">
        <v>0.0</v>
      </c>
      <c r="K97" s="772">
        <v>0.0</v>
      </c>
      <c r="M97" s="769" t="s">
        <v>493</v>
      </c>
      <c r="N97" s="770" t="s">
        <v>531</v>
      </c>
      <c r="O97" s="770" t="s">
        <v>494</v>
      </c>
      <c r="P97" s="770" t="s">
        <v>505</v>
      </c>
      <c r="Q97" s="770" t="s">
        <v>523</v>
      </c>
      <c r="R97" s="770" t="s">
        <v>497</v>
      </c>
      <c r="S97" s="770">
        <v>2019.0</v>
      </c>
      <c r="T97" s="771">
        <v>0.0</v>
      </c>
      <c r="U97" s="771">
        <v>0.0</v>
      </c>
      <c r="V97" s="772">
        <v>0.0</v>
      </c>
      <c r="X97" s="776" t="s">
        <v>514</v>
      </c>
      <c r="Y97" s="777" t="s">
        <v>494</v>
      </c>
      <c r="Z97" s="777" t="s">
        <v>507</v>
      </c>
      <c r="AA97" s="777" t="s">
        <v>535</v>
      </c>
      <c r="AB97" s="777" t="s">
        <v>493</v>
      </c>
      <c r="AC97" s="777" t="s">
        <v>103</v>
      </c>
      <c r="AD97" s="778" t="s">
        <v>501</v>
      </c>
      <c r="AE97" s="779" t="s">
        <v>502</v>
      </c>
      <c r="AF97" s="780">
        <v>11588.01189</v>
      </c>
      <c r="AG97" s="780">
        <v>9262.446627</v>
      </c>
      <c r="AH97" s="780">
        <v>14521.20565</v>
      </c>
      <c r="AI97" s="782" t="s">
        <v>233</v>
      </c>
      <c r="AK97" s="769" t="s">
        <v>514</v>
      </c>
      <c r="AL97" s="770" t="s">
        <v>494</v>
      </c>
      <c r="AM97" s="770" t="s">
        <v>507</v>
      </c>
      <c r="AN97" s="770" t="s">
        <v>535</v>
      </c>
      <c r="AO97" s="770" t="s">
        <v>493</v>
      </c>
      <c r="AP97" s="770" t="s">
        <v>504</v>
      </c>
      <c r="AQ97" s="770" t="s">
        <v>501</v>
      </c>
      <c r="AR97" s="784" t="s">
        <v>502</v>
      </c>
      <c r="AS97" s="771">
        <v>4017.170955</v>
      </c>
      <c r="AT97" s="771">
        <v>3210.976302</v>
      </c>
      <c r="AU97" s="771">
        <v>5034.009812</v>
      </c>
      <c r="AV97" s="772" t="s">
        <v>233</v>
      </c>
      <c r="AW97" s="714"/>
    </row>
    <row r="98">
      <c r="A98" s="761"/>
      <c r="B98" s="769" t="s">
        <v>493</v>
      </c>
      <c r="C98" s="770" t="s">
        <v>531</v>
      </c>
      <c r="D98" s="770" t="s">
        <v>494</v>
      </c>
      <c r="E98" s="770" t="s">
        <v>508</v>
      </c>
      <c r="F98" s="770" t="s">
        <v>523</v>
      </c>
      <c r="G98" s="770" t="s">
        <v>103</v>
      </c>
      <c r="H98" s="770">
        <v>2019.0</v>
      </c>
      <c r="I98" s="771">
        <v>1.997753415</v>
      </c>
      <c r="J98" s="771">
        <v>5.16598093</v>
      </c>
      <c r="K98" s="772">
        <v>0.6128633478</v>
      </c>
      <c r="M98" s="769" t="s">
        <v>493</v>
      </c>
      <c r="N98" s="770" t="s">
        <v>531</v>
      </c>
      <c r="O98" s="770" t="s">
        <v>494</v>
      </c>
      <c r="P98" s="770" t="s">
        <v>508</v>
      </c>
      <c r="Q98" s="770" t="s">
        <v>523</v>
      </c>
      <c r="R98" s="770" t="s">
        <v>497</v>
      </c>
      <c r="S98" s="770">
        <v>2019.0</v>
      </c>
      <c r="T98" s="771">
        <v>16.32927604</v>
      </c>
      <c r="U98" s="771">
        <v>42.22579623</v>
      </c>
      <c r="V98" s="772">
        <v>5.00943445</v>
      </c>
      <c r="X98" s="786" t="s">
        <v>514</v>
      </c>
      <c r="Y98" s="787" t="s">
        <v>494</v>
      </c>
      <c r="Z98" s="787" t="s">
        <v>509</v>
      </c>
      <c r="AA98" s="787" t="s">
        <v>535</v>
      </c>
      <c r="AB98" s="787" t="s">
        <v>493</v>
      </c>
      <c r="AC98" s="787" t="s">
        <v>103</v>
      </c>
      <c r="AD98" s="788" t="s">
        <v>501</v>
      </c>
      <c r="AE98" s="779" t="s">
        <v>502</v>
      </c>
      <c r="AF98" s="789">
        <v>3113.036548</v>
      </c>
      <c r="AG98" s="789">
        <v>2495.663368</v>
      </c>
      <c r="AH98" s="789">
        <v>3893.457796</v>
      </c>
      <c r="AI98" s="790" t="s">
        <v>233</v>
      </c>
      <c r="AK98" s="769" t="s">
        <v>514</v>
      </c>
      <c r="AL98" s="770" t="s">
        <v>494</v>
      </c>
      <c r="AM98" s="770" t="s">
        <v>509</v>
      </c>
      <c r="AN98" s="770" t="s">
        <v>535</v>
      </c>
      <c r="AO98" s="770" t="s">
        <v>493</v>
      </c>
      <c r="AP98" s="770" t="s">
        <v>504</v>
      </c>
      <c r="AQ98" s="770" t="s">
        <v>501</v>
      </c>
      <c r="AR98" s="784" t="s">
        <v>502</v>
      </c>
      <c r="AS98" s="771">
        <v>16643.76815</v>
      </c>
      <c r="AT98" s="771">
        <v>13342.99866</v>
      </c>
      <c r="AU98" s="771">
        <v>20816.26986</v>
      </c>
      <c r="AV98" s="772" t="s">
        <v>233</v>
      </c>
      <c r="AW98" s="714"/>
    </row>
    <row r="99">
      <c r="A99" s="761"/>
      <c r="B99" s="769" t="s">
        <v>493</v>
      </c>
      <c r="C99" s="770" t="s">
        <v>531</v>
      </c>
      <c r="D99" s="770" t="s">
        <v>494</v>
      </c>
      <c r="E99" s="770" t="s">
        <v>512</v>
      </c>
      <c r="F99" s="770" t="s">
        <v>523</v>
      </c>
      <c r="G99" s="770" t="s">
        <v>103</v>
      </c>
      <c r="H99" s="770">
        <v>2019.0</v>
      </c>
      <c r="I99" s="771">
        <v>0.0</v>
      </c>
      <c r="J99" s="771">
        <v>0.0</v>
      </c>
      <c r="K99" s="772">
        <v>0.0</v>
      </c>
      <c r="M99" s="769" t="s">
        <v>493</v>
      </c>
      <c r="N99" s="770" t="s">
        <v>531</v>
      </c>
      <c r="O99" s="770" t="s">
        <v>494</v>
      </c>
      <c r="P99" s="770" t="s">
        <v>512</v>
      </c>
      <c r="Q99" s="770" t="s">
        <v>523</v>
      </c>
      <c r="R99" s="770" t="s">
        <v>497</v>
      </c>
      <c r="S99" s="770">
        <v>2019.0</v>
      </c>
      <c r="T99" s="771">
        <v>0.0</v>
      </c>
      <c r="U99" s="771">
        <v>0.0</v>
      </c>
      <c r="V99" s="772">
        <v>0.0</v>
      </c>
      <c r="X99" s="786" t="s">
        <v>514</v>
      </c>
      <c r="Y99" s="787" t="s">
        <v>494</v>
      </c>
      <c r="Z99" s="787" t="s">
        <v>513</v>
      </c>
      <c r="AA99" s="787" t="s">
        <v>535</v>
      </c>
      <c r="AB99" s="787" t="s">
        <v>493</v>
      </c>
      <c r="AC99" s="787" t="s">
        <v>103</v>
      </c>
      <c r="AD99" s="788" t="s">
        <v>501</v>
      </c>
      <c r="AE99" s="779" t="s">
        <v>502</v>
      </c>
      <c r="AF99" s="789">
        <v>43920.55722</v>
      </c>
      <c r="AG99" s="789">
        <v>35536.33866</v>
      </c>
      <c r="AH99" s="789">
        <v>54047.96768</v>
      </c>
      <c r="AI99" s="790" t="s">
        <v>233</v>
      </c>
      <c r="AK99" s="769" t="s">
        <v>514</v>
      </c>
      <c r="AL99" s="770" t="s">
        <v>494</v>
      </c>
      <c r="AM99" s="770" t="s">
        <v>513</v>
      </c>
      <c r="AN99" s="770" t="s">
        <v>535</v>
      </c>
      <c r="AO99" s="770" t="s">
        <v>493</v>
      </c>
      <c r="AP99" s="770" t="s">
        <v>504</v>
      </c>
      <c r="AQ99" s="770" t="s">
        <v>501</v>
      </c>
      <c r="AR99" s="784" t="s">
        <v>502</v>
      </c>
      <c r="AS99" s="771">
        <v>3124.609604</v>
      </c>
      <c r="AT99" s="771">
        <v>2528.136983</v>
      </c>
      <c r="AU99" s="771">
        <v>3845.09691</v>
      </c>
      <c r="AV99" s="772" t="s">
        <v>233</v>
      </c>
      <c r="AW99" s="714"/>
    </row>
    <row r="100">
      <c r="A100" s="761"/>
      <c r="B100" s="769" t="s">
        <v>493</v>
      </c>
      <c r="C100" s="770" t="s">
        <v>538</v>
      </c>
      <c r="D100" s="770" t="s">
        <v>494</v>
      </c>
      <c r="E100" s="770" t="s">
        <v>495</v>
      </c>
      <c r="F100" s="770" t="s">
        <v>496</v>
      </c>
      <c r="G100" s="770" t="s">
        <v>103</v>
      </c>
      <c r="H100" s="770">
        <v>2019.0</v>
      </c>
      <c r="I100" s="771">
        <v>2002.730593</v>
      </c>
      <c r="J100" s="771">
        <v>2751.016557</v>
      </c>
      <c r="K100" s="772">
        <v>1464.065058</v>
      </c>
      <c r="M100" s="769" t="s">
        <v>493</v>
      </c>
      <c r="N100" s="770" t="s">
        <v>538</v>
      </c>
      <c r="O100" s="770" t="s">
        <v>494</v>
      </c>
      <c r="P100" s="770" t="s">
        <v>495</v>
      </c>
      <c r="Q100" s="770" t="s">
        <v>496</v>
      </c>
      <c r="R100" s="770" t="s">
        <v>497</v>
      </c>
      <c r="S100" s="770">
        <v>2019.0</v>
      </c>
      <c r="T100" s="771">
        <v>846.7891787</v>
      </c>
      <c r="U100" s="771">
        <v>1163.177444</v>
      </c>
      <c r="V100" s="772">
        <v>619.0320619</v>
      </c>
      <c r="X100" s="776" t="s">
        <v>518</v>
      </c>
      <c r="Y100" s="777" t="s">
        <v>494</v>
      </c>
      <c r="Z100" s="777" t="s">
        <v>499</v>
      </c>
      <c r="AA100" s="777" t="s">
        <v>535</v>
      </c>
      <c r="AB100" s="777" t="s">
        <v>493</v>
      </c>
      <c r="AC100" s="777" t="s">
        <v>103</v>
      </c>
      <c r="AD100" s="778" t="s">
        <v>501</v>
      </c>
      <c r="AE100" s="779" t="s">
        <v>502</v>
      </c>
      <c r="AF100" s="780">
        <v>133.5378408</v>
      </c>
      <c r="AG100" s="780">
        <v>60.44919069</v>
      </c>
      <c r="AH100" s="780">
        <v>260.199798</v>
      </c>
      <c r="AI100" s="782" t="s">
        <v>233</v>
      </c>
      <c r="AK100" s="769" t="s">
        <v>518</v>
      </c>
      <c r="AL100" s="770" t="s">
        <v>494</v>
      </c>
      <c r="AM100" s="770" t="s">
        <v>499</v>
      </c>
      <c r="AN100" s="770" t="s">
        <v>535</v>
      </c>
      <c r="AO100" s="770" t="s">
        <v>493</v>
      </c>
      <c r="AP100" s="770" t="s">
        <v>504</v>
      </c>
      <c r="AQ100" s="770" t="s">
        <v>501</v>
      </c>
      <c r="AR100" s="784" t="s">
        <v>502</v>
      </c>
      <c r="AS100" s="771">
        <v>2091.13312</v>
      </c>
      <c r="AT100" s="771">
        <v>946.6028805</v>
      </c>
      <c r="AU100" s="771">
        <v>4074.593481</v>
      </c>
      <c r="AV100" s="772" t="s">
        <v>233</v>
      </c>
      <c r="AW100" s="714"/>
    </row>
    <row r="101">
      <c r="A101" s="761"/>
      <c r="B101" s="769" t="s">
        <v>493</v>
      </c>
      <c r="C101" s="770" t="s">
        <v>538</v>
      </c>
      <c r="D101" s="770" t="s">
        <v>494</v>
      </c>
      <c r="E101" s="770" t="s">
        <v>505</v>
      </c>
      <c r="F101" s="770" t="s">
        <v>496</v>
      </c>
      <c r="G101" s="770" t="s">
        <v>103</v>
      </c>
      <c r="H101" s="770">
        <v>2019.0</v>
      </c>
      <c r="I101" s="771">
        <v>857.8524669</v>
      </c>
      <c r="J101" s="771">
        <v>1213.083581</v>
      </c>
      <c r="K101" s="772">
        <v>614.3376055</v>
      </c>
      <c r="M101" s="769" t="s">
        <v>493</v>
      </c>
      <c r="N101" s="770" t="s">
        <v>538</v>
      </c>
      <c r="O101" s="770" t="s">
        <v>494</v>
      </c>
      <c r="P101" s="770" t="s">
        <v>505</v>
      </c>
      <c r="Q101" s="770" t="s">
        <v>496</v>
      </c>
      <c r="R101" s="770" t="s">
        <v>497</v>
      </c>
      <c r="S101" s="770">
        <v>2019.0</v>
      </c>
      <c r="T101" s="771">
        <v>93521.26216</v>
      </c>
      <c r="U101" s="771">
        <v>132247.8071</v>
      </c>
      <c r="V101" s="772">
        <v>66973.78684</v>
      </c>
      <c r="X101" s="776" t="s">
        <v>518</v>
      </c>
      <c r="Y101" s="777" t="s">
        <v>494</v>
      </c>
      <c r="Z101" s="777" t="s">
        <v>507</v>
      </c>
      <c r="AA101" s="777" t="s">
        <v>535</v>
      </c>
      <c r="AB101" s="777" t="s">
        <v>493</v>
      </c>
      <c r="AC101" s="777" t="s">
        <v>103</v>
      </c>
      <c r="AD101" s="778" t="s">
        <v>501</v>
      </c>
      <c r="AE101" s="779" t="s">
        <v>502</v>
      </c>
      <c r="AF101" s="780">
        <v>4742.818115</v>
      </c>
      <c r="AG101" s="780">
        <v>2802.581691</v>
      </c>
      <c r="AH101" s="780">
        <v>7248.17004</v>
      </c>
      <c r="AI101" s="782" t="s">
        <v>233</v>
      </c>
      <c r="AK101" s="769" t="s">
        <v>518</v>
      </c>
      <c r="AL101" s="770" t="s">
        <v>494</v>
      </c>
      <c r="AM101" s="770" t="s">
        <v>507</v>
      </c>
      <c r="AN101" s="770" t="s">
        <v>535</v>
      </c>
      <c r="AO101" s="770" t="s">
        <v>493</v>
      </c>
      <c r="AP101" s="770" t="s">
        <v>504</v>
      </c>
      <c r="AQ101" s="770" t="s">
        <v>501</v>
      </c>
      <c r="AR101" s="784" t="s">
        <v>502</v>
      </c>
      <c r="AS101" s="771">
        <v>1644.174286</v>
      </c>
      <c r="AT101" s="771">
        <v>971.5600807</v>
      </c>
      <c r="AU101" s="771">
        <v>2512.694881</v>
      </c>
      <c r="AV101" s="772" t="s">
        <v>233</v>
      </c>
      <c r="AW101" s="714"/>
    </row>
    <row r="102">
      <c r="A102" s="761"/>
      <c r="B102" s="769" t="s">
        <v>493</v>
      </c>
      <c r="C102" s="770" t="s">
        <v>538</v>
      </c>
      <c r="D102" s="770" t="s">
        <v>494</v>
      </c>
      <c r="E102" s="770" t="s">
        <v>508</v>
      </c>
      <c r="F102" s="770" t="s">
        <v>496</v>
      </c>
      <c r="G102" s="770" t="s">
        <v>103</v>
      </c>
      <c r="H102" s="770">
        <v>2019.0</v>
      </c>
      <c r="I102" s="771">
        <v>461.1152671</v>
      </c>
      <c r="J102" s="771">
        <v>642.9490197</v>
      </c>
      <c r="K102" s="772">
        <v>334.024677</v>
      </c>
      <c r="M102" s="769" t="s">
        <v>493</v>
      </c>
      <c r="N102" s="770" t="s">
        <v>538</v>
      </c>
      <c r="O102" s="770" t="s">
        <v>494</v>
      </c>
      <c r="P102" s="770" t="s">
        <v>508</v>
      </c>
      <c r="Q102" s="770" t="s">
        <v>496</v>
      </c>
      <c r="R102" s="770" t="s">
        <v>497</v>
      </c>
      <c r="S102" s="770">
        <v>2019.0</v>
      </c>
      <c r="T102" s="771">
        <v>1063.088238</v>
      </c>
      <c r="U102" s="771">
        <v>1482.300823</v>
      </c>
      <c r="V102" s="772">
        <v>770.084468</v>
      </c>
      <c r="X102" s="786" t="s">
        <v>518</v>
      </c>
      <c r="Y102" s="787" t="s">
        <v>494</v>
      </c>
      <c r="Z102" s="787" t="s">
        <v>509</v>
      </c>
      <c r="AA102" s="787" t="s">
        <v>535</v>
      </c>
      <c r="AB102" s="787" t="s">
        <v>493</v>
      </c>
      <c r="AC102" s="787" t="s">
        <v>103</v>
      </c>
      <c r="AD102" s="788" t="s">
        <v>501</v>
      </c>
      <c r="AE102" s="779" t="s">
        <v>502</v>
      </c>
      <c r="AF102" s="789">
        <v>365.3474735</v>
      </c>
      <c r="AG102" s="789">
        <v>197.1172261</v>
      </c>
      <c r="AH102" s="789">
        <v>635.4359663</v>
      </c>
      <c r="AI102" s="790" t="s">
        <v>233</v>
      </c>
      <c r="AK102" s="769" t="s">
        <v>518</v>
      </c>
      <c r="AL102" s="770" t="s">
        <v>494</v>
      </c>
      <c r="AM102" s="770" t="s">
        <v>509</v>
      </c>
      <c r="AN102" s="770" t="s">
        <v>535</v>
      </c>
      <c r="AO102" s="770" t="s">
        <v>493</v>
      </c>
      <c r="AP102" s="770" t="s">
        <v>504</v>
      </c>
      <c r="AQ102" s="770" t="s">
        <v>501</v>
      </c>
      <c r="AR102" s="784" t="s">
        <v>502</v>
      </c>
      <c r="AS102" s="771">
        <v>1953.320672</v>
      </c>
      <c r="AT102" s="771">
        <v>1053.882073</v>
      </c>
      <c r="AU102" s="771">
        <v>3397.341706</v>
      </c>
      <c r="AV102" s="772" t="s">
        <v>233</v>
      </c>
      <c r="AW102" s="714"/>
    </row>
    <row r="103">
      <c r="A103" s="761"/>
      <c r="B103" s="769" t="s">
        <v>493</v>
      </c>
      <c r="C103" s="770" t="s">
        <v>538</v>
      </c>
      <c r="D103" s="770" t="s">
        <v>494</v>
      </c>
      <c r="E103" s="770" t="s">
        <v>512</v>
      </c>
      <c r="F103" s="770" t="s">
        <v>496</v>
      </c>
      <c r="G103" s="770" t="s">
        <v>103</v>
      </c>
      <c r="H103" s="770">
        <v>2019.0</v>
      </c>
      <c r="I103" s="771">
        <v>146.1795975</v>
      </c>
      <c r="J103" s="771">
        <v>181.1364876</v>
      </c>
      <c r="K103" s="772">
        <v>117.0211877</v>
      </c>
      <c r="M103" s="769" t="s">
        <v>493</v>
      </c>
      <c r="N103" s="770" t="s">
        <v>538</v>
      </c>
      <c r="O103" s="770" t="s">
        <v>494</v>
      </c>
      <c r="P103" s="770" t="s">
        <v>512</v>
      </c>
      <c r="Q103" s="770" t="s">
        <v>496</v>
      </c>
      <c r="R103" s="770" t="s">
        <v>497</v>
      </c>
      <c r="S103" s="770">
        <v>2019.0</v>
      </c>
      <c r="T103" s="771">
        <v>5368.976283</v>
      </c>
      <c r="U103" s="771">
        <v>6652.894948</v>
      </c>
      <c r="V103" s="772">
        <v>4298.027852</v>
      </c>
      <c r="X103" s="786" t="s">
        <v>518</v>
      </c>
      <c r="Y103" s="787" t="s">
        <v>494</v>
      </c>
      <c r="Z103" s="787" t="s">
        <v>513</v>
      </c>
      <c r="AA103" s="787" t="s">
        <v>535</v>
      </c>
      <c r="AB103" s="787" t="s">
        <v>493</v>
      </c>
      <c r="AC103" s="787" t="s">
        <v>103</v>
      </c>
      <c r="AD103" s="788" t="s">
        <v>501</v>
      </c>
      <c r="AE103" s="779" t="s">
        <v>502</v>
      </c>
      <c r="AF103" s="789">
        <v>10838.59819</v>
      </c>
      <c r="AG103" s="789">
        <v>7251.812342</v>
      </c>
      <c r="AH103" s="789">
        <v>15669.03256</v>
      </c>
      <c r="AI103" s="790" t="s">
        <v>233</v>
      </c>
      <c r="AK103" s="769" t="s">
        <v>518</v>
      </c>
      <c r="AL103" s="770" t="s">
        <v>494</v>
      </c>
      <c r="AM103" s="770" t="s">
        <v>513</v>
      </c>
      <c r="AN103" s="770" t="s">
        <v>535</v>
      </c>
      <c r="AO103" s="770" t="s">
        <v>493</v>
      </c>
      <c r="AP103" s="770" t="s">
        <v>504</v>
      </c>
      <c r="AQ103" s="770" t="s">
        <v>501</v>
      </c>
      <c r="AR103" s="784" t="s">
        <v>502</v>
      </c>
      <c r="AS103" s="771">
        <v>771.0828402</v>
      </c>
      <c r="AT103" s="771">
        <v>515.9106332</v>
      </c>
      <c r="AU103" s="771">
        <v>1114.731067</v>
      </c>
      <c r="AV103" s="772" t="s">
        <v>233</v>
      </c>
      <c r="AW103" s="714"/>
    </row>
    <row r="104">
      <c r="A104" s="761"/>
      <c r="B104" s="769" t="s">
        <v>493</v>
      </c>
      <c r="C104" s="770" t="s">
        <v>538</v>
      </c>
      <c r="D104" s="770" t="s">
        <v>494</v>
      </c>
      <c r="E104" s="770" t="s">
        <v>495</v>
      </c>
      <c r="F104" s="770" t="s">
        <v>514</v>
      </c>
      <c r="G104" s="770" t="s">
        <v>103</v>
      </c>
      <c r="H104" s="770">
        <v>2019.0</v>
      </c>
      <c r="I104" s="771">
        <v>1709.52303</v>
      </c>
      <c r="J104" s="771">
        <v>2344.905672</v>
      </c>
      <c r="K104" s="772">
        <v>1255.07831</v>
      </c>
      <c r="M104" s="769" t="s">
        <v>493</v>
      </c>
      <c r="N104" s="770" t="s">
        <v>538</v>
      </c>
      <c r="O104" s="770" t="s">
        <v>494</v>
      </c>
      <c r="P104" s="770" t="s">
        <v>495</v>
      </c>
      <c r="Q104" s="770" t="s">
        <v>514</v>
      </c>
      <c r="R104" s="770" t="s">
        <v>497</v>
      </c>
      <c r="S104" s="770">
        <v>2019.0</v>
      </c>
      <c r="T104" s="771">
        <v>722.8159433</v>
      </c>
      <c r="U104" s="771">
        <v>991.4667283</v>
      </c>
      <c r="V104" s="772">
        <v>530.6688456</v>
      </c>
      <c r="X104" s="769" t="s">
        <v>519</v>
      </c>
      <c r="Y104" s="770" t="s">
        <v>494</v>
      </c>
      <c r="Z104" s="770" t="s">
        <v>499</v>
      </c>
      <c r="AA104" s="770" t="s">
        <v>535</v>
      </c>
      <c r="AB104" s="770" t="s">
        <v>493</v>
      </c>
      <c r="AC104" s="770" t="s">
        <v>103</v>
      </c>
      <c r="AD104" s="770" t="s">
        <v>501</v>
      </c>
      <c r="AE104" s="779" t="s">
        <v>502</v>
      </c>
      <c r="AF104" s="771">
        <v>9296.383603</v>
      </c>
      <c r="AG104" s="771">
        <v>7372.581106</v>
      </c>
      <c r="AH104" s="771">
        <v>11554.834</v>
      </c>
      <c r="AI104" s="772" t="s">
        <v>233</v>
      </c>
      <c r="AK104" s="769" t="s">
        <v>519</v>
      </c>
      <c r="AL104" s="770" t="s">
        <v>494</v>
      </c>
      <c r="AM104" s="770" t="s">
        <v>499</v>
      </c>
      <c r="AN104" s="770" t="s">
        <v>535</v>
      </c>
      <c r="AO104" s="770" t="s">
        <v>493</v>
      </c>
      <c r="AP104" s="770" t="s">
        <v>504</v>
      </c>
      <c r="AQ104" s="770" t="s">
        <v>501</v>
      </c>
      <c r="AR104" s="784" t="s">
        <v>502</v>
      </c>
      <c r="AS104" s="771">
        <v>145576.5312</v>
      </c>
      <c r="AT104" s="771">
        <v>115450.7849</v>
      </c>
      <c r="AU104" s="771">
        <v>180942.6897</v>
      </c>
      <c r="AV104" s="772" t="s">
        <v>233</v>
      </c>
      <c r="AW104" s="714"/>
    </row>
    <row r="105">
      <c r="A105" s="197"/>
      <c r="B105" s="769" t="s">
        <v>493</v>
      </c>
      <c r="C105" s="770" t="s">
        <v>538</v>
      </c>
      <c r="D105" s="770" t="s">
        <v>494</v>
      </c>
      <c r="E105" s="770" t="s">
        <v>505</v>
      </c>
      <c r="F105" s="770" t="s">
        <v>514</v>
      </c>
      <c r="G105" s="770" t="s">
        <v>103</v>
      </c>
      <c r="H105" s="770">
        <v>2019.0</v>
      </c>
      <c r="I105" s="771">
        <v>801.1172999</v>
      </c>
      <c r="J105" s="771">
        <v>1128.969839</v>
      </c>
      <c r="K105" s="772">
        <v>571.2947215</v>
      </c>
      <c r="M105" s="769" t="s">
        <v>493</v>
      </c>
      <c r="N105" s="770" t="s">
        <v>538</v>
      </c>
      <c r="O105" s="770" t="s">
        <v>494</v>
      </c>
      <c r="P105" s="770" t="s">
        <v>505</v>
      </c>
      <c r="Q105" s="770" t="s">
        <v>514</v>
      </c>
      <c r="R105" s="770" t="s">
        <v>497</v>
      </c>
      <c r="S105" s="770">
        <v>2019.0</v>
      </c>
      <c r="T105" s="771">
        <v>87336.11421</v>
      </c>
      <c r="U105" s="771">
        <v>123077.9048</v>
      </c>
      <c r="V105" s="772">
        <v>62281.34263</v>
      </c>
      <c r="X105" s="769" t="s">
        <v>519</v>
      </c>
      <c r="Y105" s="770" t="s">
        <v>494</v>
      </c>
      <c r="Z105" s="770" t="s">
        <v>507</v>
      </c>
      <c r="AA105" s="770" t="s">
        <v>535</v>
      </c>
      <c r="AB105" s="770" t="s">
        <v>493</v>
      </c>
      <c r="AC105" s="770" t="s">
        <v>103</v>
      </c>
      <c r="AD105" s="770" t="s">
        <v>501</v>
      </c>
      <c r="AE105" s="779" t="s">
        <v>502</v>
      </c>
      <c r="AF105" s="771">
        <v>70.74402415</v>
      </c>
      <c r="AG105" s="771">
        <v>42.39412981</v>
      </c>
      <c r="AH105" s="771">
        <v>115.3090943</v>
      </c>
      <c r="AI105" s="772" t="s">
        <v>233</v>
      </c>
      <c r="AK105" s="769" t="s">
        <v>519</v>
      </c>
      <c r="AL105" s="770" t="s">
        <v>494</v>
      </c>
      <c r="AM105" s="770" t="s">
        <v>507</v>
      </c>
      <c r="AN105" s="770" t="s">
        <v>535</v>
      </c>
      <c r="AO105" s="770" t="s">
        <v>493</v>
      </c>
      <c r="AP105" s="770" t="s">
        <v>504</v>
      </c>
      <c r="AQ105" s="770" t="s">
        <v>501</v>
      </c>
      <c r="AR105" s="784" t="s">
        <v>502</v>
      </c>
      <c r="AS105" s="771">
        <v>24.52455536</v>
      </c>
      <c r="AT105" s="771">
        <v>14.69660789</v>
      </c>
      <c r="AU105" s="771">
        <v>39.97375467</v>
      </c>
      <c r="AV105" s="772" t="s">
        <v>233</v>
      </c>
      <c r="AW105" s="714"/>
    </row>
    <row r="106">
      <c r="A106" s="197"/>
      <c r="B106" s="769" t="s">
        <v>493</v>
      </c>
      <c r="C106" s="770" t="s">
        <v>538</v>
      </c>
      <c r="D106" s="770" t="s">
        <v>494</v>
      </c>
      <c r="E106" s="770" t="s">
        <v>508</v>
      </c>
      <c r="F106" s="770" t="s">
        <v>514</v>
      </c>
      <c r="G106" s="770" t="s">
        <v>103</v>
      </c>
      <c r="H106" s="770">
        <v>2019.0</v>
      </c>
      <c r="I106" s="771">
        <v>392.7975278</v>
      </c>
      <c r="J106" s="771">
        <v>547.2906138</v>
      </c>
      <c r="K106" s="772">
        <v>281.4704339</v>
      </c>
      <c r="M106" s="769" t="s">
        <v>493</v>
      </c>
      <c r="N106" s="770" t="s">
        <v>538</v>
      </c>
      <c r="O106" s="770" t="s">
        <v>494</v>
      </c>
      <c r="P106" s="770" t="s">
        <v>508</v>
      </c>
      <c r="Q106" s="770" t="s">
        <v>514</v>
      </c>
      <c r="R106" s="770" t="s">
        <v>497</v>
      </c>
      <c r="S106" s="770">
        <v>2019.0</v>
      </c>
      <c r="T106" s="771">
        <v>905.5836172</v>
      </c>
      <c r="U106" s="771">
        <v>1261.763068</v>
      </c>
      <c r="V106" s="772">
        <v>648.9221434</v>
      </c>
      <c r="X106" s="769" t="s">
        <v>519</v>
      </c>
      <c r="Y106" s="770" t="s">
        <v>494</v>
      </c>
      <c r="Z106" s="770" t="s">
        <v>509</v>
      </c>
      <c r="AA106" s="770" t="s">
        <v>535</v>
      </c>
      <c r="AB106" s="770" t="s">
        <v>493</v>
      </c>
      <c r="AC106" s="770" t="s">
        <v>103</v>
      </c>
      <c r="AD106" s="770" t="s">
        <v>501</v>
      </c>
      <c r="AE106" s="779" t="s">
        <v>502</v>
      </c>
      <c r="AF106" s="771">
        <v>1451.495134</v>
      </c>
      <c r="AG106" s="771">
        <v>1054.520859</v>
      </c>
      <c r="AH106" s="771">
        <v>1928.891731</v>
      </c>
      <c r="AI106" s="772" t="s">
        <v>233</v>
      </c>
      <c r="AK106" s="769" t="s">
        <v>519</v>
      </c>
      <c r="AL106" s="770" t="s">
        <v>494</v>
      </c>
      <c r="AM106" s="770" t="s">
        <v>509</v>
      </c>
      <c r="AN106" s="770" t="s">
        <v>535</v>
      </c>
      <c r="AO106" s="770" t="s">
        <v>493</v>
      </c>
      <c r="AP106" s="770" t="s">
        <v>504</v>
      </c>
      <c r="AQ106" s="770" t="s">
        <v>501</v>
      </c>
      <c r="AR106" s="784" t="s">
        <v>502</v>
      </c>
      <c r="AS106" s="771">
        <v>7760.380616</v>
      </c>
      <c r="AT106" s="771">
        <v>5637.968077</v>
      </c>
      <c r="AU106" s="771">
        <v>10312.76898</v>
      </c>
      <c r="AV106" s="772" t="s">
        <v>233</v>
      </c>
      <c r="AW106" s="714"/>
    </row>
    <row r="107">
      <c r="A107" s="761"/>
      <c r="B107" s="769" t="s">
        <v>493</v>
      </c>
      <c r="C107" s="770" t="s">
        <v>538</v>
      </c>
      <c r="D107" s="770" t="s">
        <v>494</v>
      </c>
      <c r="E107" s="770" t="s">
        <v>512</v>
      </c>
      <c r="F107" s="770" t="s">
        <v>514</v>
      </c>
      <c r="G107" s="770" t="s">
        <v>103</v>
      </c>
      <c r="H107" s="770">
        <v>2019.0</v>
      </c>
      <c r="I107" s="771">
        <v>131.1659635</v>
      </c>
      <c r="J107" s="771">
        <v>162.7014711</v>
      </c>
      <c r="K107" s="772">
        <v>104.4580193</v>
      </c>
      <c r="M107" s="769" t="s">
        <v>493</v>
      </c>
      <c r="N107" s="770" t="s">
        <v>538</v>
      </c>
      <c r="O107" s="770" t="s">
        <v>494</v>
      </c>
      <c r="P107" s="770" t="s">
        <v>512</v>
      </c>
      <c r="Q107" s="770" t="s">
        <v>514</v>
      </c>
      <c r="R107" s="770" t="s">
        <v>497</v>
      </c>
      <c r="S107" s="770">
        <v>2019.0</v>
      </c>
      <c r="T107" s="771">
        <v>4817.546081</v>
      </c>
      <c r="U107" s="771">
        <v>5975.802054</v>
      </c>
      <c r="V107" s="772">
        <v>3836.599894</v>
      </c>
      <c r="X107" s="769" t="s">
        <v>519</v>
      </c>
      <c r="Y107" s="770" t="s">
        <v>494</v>
      </c>
      <c r="Z107" s="770" t="s">
        <v>513</v>
      </c>
      <c r="AA107" s="770" t="s">
        <v>535</v>
      </c>
      <c r="AB107" s="770" t="s">
        <v>493</v>
      </c>
      <c r="AC107" s="770" t="s">
        <v>103</v>
      </c>
      <c r="AD107" s="770" t="s">
        <v>501</v>
      </c>
      <c r="AE107" s="779" t="s">
        <v>502</v>
      </c>
      <c r="AF107" s="771">
        <v>10850.70221</v>
      </c>
      <c r="AG107" s="771">
        <v>8653.829505</v>
      </c>
      <c r="AH107" s="771">
        <v>13555.15904</v>
      </c>
      <c r="AI107" s="772" t="s">
        <v>233</v>
      </c>
      <c r="AK107" s="769" t="s">
        <v>519</v>
      </c>
      <c r="AL107" s="770" t="s">
        <v>494</v>
      </c>
      <c r="AM107" s="770" t="s">
        <v>513</v>
      </c>
      <c r="AN107" s="770" t="s">
        <v>535</v>
      </c>
      <c r="AO107" s="770" t="s">
        <v>493</v>
      </c>
      <c r="AP107" s="770" t="s">
        <v>504</v>
      </c>
      <c r="AQ107" s="770" t="s">
        <v>501</v>
      </c>
      <c r="AR107" s="784" t="s">
        <v>502</v>
      </c>
      <c r="AS107" s="771">
        <v>771.9439477</v>
      </c>
      <c r="AT107" s="771">
        <v>615.6533635</v>
      </c>
      <c r="AU107" s="771">
        <v>964.3452361</v>
      </c>
      <c r="AV107" s="772" t="s">
        <v>233</v>
      </c>
      <c r="AW107" s="714"/>
    </row>
    <row r="108">
      <c r="A108" s="761"/>
      <c r="B108" s="769" t="s">
        <v>493</v>
      </c>
      <c r="C108" s="770" t="s">
        <v>538</v>
      </c>
      <c r="D108" s="770" t="s">
        <v>494</v>
      </c>
      <c r="E108" s="770" t="s">
        <v>495</v>
      </c>
      <c r="F108" s="770" t="s">
        <v>518</v>
      </c>
      <c r="G108" s="770" t="s">
        <v>103</v>
      </c>
      <c r="H108" s="770">
        <v>2019.0</v>
      </c>
      <c r="I108" s="771">
        <v>188.8375698</v>
      </c>
      <c r="J108" s="771">
        <v>388.7965796</v>
      </c>
      <c r="K108" s="772">
        <v>84.46013959</v>
      </c>
      <c r="M108" s="769" t="s">
        <v>493</v>
      </c>
      <c r="N108" s="770" t="s">
        <v>538</v>
      </c>
      <c r="O108" s="770" t="s">
        <v>494</v>
      </c>
      <c r="P108" s="770" t="s">
        <v>495</v>
      </c>
      <c r="Q108" s="770" t="s">
        <v>518</v>
      </c>
      <c r="R108" s="770" t="s">
        <v>497</v>
      </c>
      <c r="S108" s="770">
        <v>2019.0</v>
      </c>
      <c r="T108" s="771">
        <v>79.84379488</v>
      </c>
      <c r="U108" s="771">
        <v>164.3899272</v>
      </c>
      <c r="V108" s="772">
        <v>35.71120974</v>
      </c>
      <c r="X108" s="776" t="s">
        <v>521</v>
      </c>
      <c r="Y108" s="777" t="s">
        <v>494</v>
      </c>
      <c r="Z108" s="777" t="s">
        <v>499</v>
      </c>
      <c r="AA108" s="777" t="s">
        <v>535</v>
      </c>
      <c r="AB108" s="777" t="s">
        <v>493</v>
      </c>
      <c r="AC108" s="777" t="s">
        <v>103</v>
      </c>
      <c r="AD108" s="778" t="s">
        <v>501</v>
      </c>
      <c r="AE108" s="779" t="s">
        <v>502</v>
      </c>
      <c r="AF108" s="780">
        <v>0.0</v>
      </c>
      <c r="AG108" s="780">
        <v>0.0</v>
      </c>
      <c r="AH108" s="780">
        <v>0.0</v>
      </c>
      <c r="AI108" s="782" t="s">
        <v>233</v>
      </c>
      <c r="AK108" s="769" t="s">
        <v>521</v>
      </c>
      <c r="AL108" s="770" t="s">
        <v>494</v>
      </c>
      <c r="AM108" s="770" t="s">
        <v>499</v>
      </c>
      <c r="AN108" s="770" t="s">
        <v>535</v>
      </c>
      <c r="AO108" s="770" t="s">
        <v>493</v>
      </c>
      <c r="AP108" s="770" t="s">
        <v>504</v>
      </c>
      <c r="AQ108" s="770" t="s">
        <v>501</v>
      </c>
      <c r="AR108" s="784" t="s">
        <v>502</v>
      </c>
      <c r="AS108" s="771">
        <v>0.0</v>
      </c>
      <c r="AT108" s="771">
        <v>0.0</v>
      </c>
      <c r="AU108" s="771">
        <v>0.0</v>
      </c>
      <c r="AV108" s="772" t="s">
        <v>233</v>
      </c>
      <c r="AW108" s="714"/>
    </row>
    <row r="109">
      <c r="A109" s="761"/>
      <c r="B109" s="769" t="s">
        <v>493</v>
      </c>
      <c r="C109" s="770" t="s">
        <v>538</v>
      </c>
      <c r="D109" s="770" t="s">
        <v>494</v>
      </c>
      <c r="E109" s="770" t="s">
        <v>505</v>
      </c>
      <c r="F109" s="770" t="s">
        <v>518</v>
      </c>
      <c r="G109" s="770" t="s">
        <v>103</v>
      </c>
      <c r="H109" s="770">
        <v>2019.0</v>
      </c>
      <c r="I109" s="771">
        <v>1.162400378</v>
      </c>
      <c r="J109" s="771">
        <v>2.725288104</v>
      </c>
      <c r="K109" s="772">
        <v>0.4114772672</v>
      </c>
      <c r="M109" s="769" t="s">
        <v>493</v>
      </c>
      <c r="N109" s="770" t="s">
        <v>538</v>
      </c>
      <c r="O109" s="770" t="s">
        <v>494</v>
      </c>
      <c r="P109" s="770" t="s">
        <v>505</v>
      </c>
      <c r="Q109" s="770" t="s">
        <v>518</v>
      </c>
      <c r="R109" s="770" t="s">
        <v>497</v>
      </c>
      <c r="S109" s="770">
        <v>2019.0</v>
      </c>
      <c r="T109" s="771">
        <v>126.7224315</v>
      </c>
      <c r="U109" s="771">
        <v>297.105147</v>
      </c>
      <c r="V109" s="772">
        <v>44.85838167</v>
      </c>
      <c r="X109" s="769" t="s">
        <v>521</v>
      </c>
      <c r="Y109" s="770" t="s">
        <v>494</v>
      </c>
      <c r="Z109" s="770" t="s">
        <v>507</v>
      </c>
      <c r="AA109" s="770" t="s">
        <v>535</v>
      </c>
      <c r="AB109" s="770" t="s">
        <v>493</v>
      </c>
      <c r="AC109" s="770" t="s">
        <v>103</v>
      </c>
      <c r="AD109" s="770" t="s">
        <v>501</v>
      </c>
      <c r="AE109" s="779" t="s">
        <v>502</v>
      </c>
      <c r="AF109" s="771">
        <v>97.60125819</v>
      </c>
      <c r="AG109" s="771">
        <v>28.21209974</v>
      </c>
      <c r="AH109" s="771">
        <v>249.5745847</v>
      </c>
      <c r="AI109" s="772" t="s">
        <v>233</v>
      </c>
      <c r="AK109" s="769" t="s">
        <v>521</v>
      </c>
      <c r="AL109" s="770" t="s">
        <v>494</v>
      </c>
      <c r="AM109" s="770" t="s">
        <v>507</v>
      </c>
      <c r="AN109" s="770" t="s">
        <v>535</v>
      </c>
      <c r="AO109" s="770" t="s">
        <v>493</v>
      </c>
      <c r="AP109" s="770" t="s">
        <v>504</v>
      </c>
      <c r="AQ109" s="770" t="s">
        <v>501</v>
      </c>
      <c r="AR109" s="784" t="s">
        <v>502</v>
      </c>
      <c r="AS109" s="771">
        <v>33.83504809</v>
      </c>
      <c r="AT109" s="771">
        <v>9.780178753</v>
      </c>
      <c r="AU109" s="771">
        <v>86.51904937</v>
      </c>
      <c r="AV109" s="772" t="s">
        <v>233</v>
      </c>
      <c r="AW109" s="714"/>
    </row>
    <row r="110">
      <c r="A110" s="761"/>
      <c r="B110" s="769" t="s">
        <v>493</v>
      </c>
      <c r="C110" s="770" t="s">
        <v>538</v>
      </c>
      <c r="D110" s="770" t="s">
        <v>494</v>
      </c>
      <c r="E110" s="770" t="s">
        <v>508</v>
      </c>
      <c r="F110" s="770" t="s">
        <v>518</v>
      </c>
      <c r="G110" s="770" t="s">
        <v>103</v>
      </c>
      <c r="H110" s="770">
        <v>2019.0</v>
      </c>
      <c r="I110" s="771">
        <v>121.1492858</v>
      </c>
      <c r="J110" s="771">
        <v>220.5775888</v>
      </c>
      <c r="K110" s="772">
        <v>53.34141189</v>
      </c>
      <c r="M110" s="769" t="s">
        <v>493</v>
      </c>
      <c r="N110" s="770" t="s">
        <v>538</v>
      </c>
      <c r="O110" s="770" t="s">
        <v>494</v>
      </c>
      <c r="P110" s="770" t="s">
        <v>508</v>
      </c>
      <c r="Q110" s="770" t="s">
        <v>518</v>
      </c>
      <c r="R110" s="770" t="s">
        <v>497</v>
      </c>
      <c r="S110" s="770">
        <v>2019.0</v>
      </c>
      <c r="T110" s="771">
        <v>279.3062602</v>
      </c>
      <c r="U110" s="771">
        <v>508.5354073</v>
      </c>
      <c r="V110" s="772">
        <v>122.9771201</v>
      </c>
      <c r="X110" s="858" t="s">
        <v>521</v>
      </c>
      <c r="Y110" s="859" t="s">
        <v>494</v>
      </c>
      <c r="Z110" s="859" t="s">
        <v>509</v>
      </c>
      <c r="AA110" s="859" t="s">
        <v>535</v>
      </c>
      <c r="AB110" s="859" t="s">
        <v>493</v>
      </c>
      <c r="AC110" s="859" t="s">
        <v>103</v>
      </c>
      <c r="AD110" s="859" t="s">
        <v>501</v>
      </c>
      <c r="AE110" s="779" t="s">
        <v>502</v>
      </c>
      <c r="AF110" s="860">
        <v>0.0</v>
      </c>
      <c r="AG110" s="860">
        <v>0.0</v>
      </c>
      <c r="AH110" s="860">
        <v>0.0</v>
      </c>
      <c r="AI110" s="861" t="s">
        <v>233</v>
      </c>
      <c r="AK110" s="769" t="s">
        <v>521</v>
      </c>
      <c r="AL110" s="770" t="s">
        <v>494</v>
      </c>
      <c r="AM110" s="770" t="s">
        <v>509</v>
      </c>
      <c r="AN110" s="770" t="s">
        <v>535</v>
      </c>
      <c r="AO110" s="770" t="s">
        <v>493</v>
      </c>
      <c r="AP110" s="770" t="s">
        <v>504</v>
      </c>
      <c r="AQ110" s="770" t="s">
        <v>501</v>
      </c>
      <c r="AR110" s="784" t="s">
        <v>502</v>
      </c>
      <c r="AS110" s="771">
        <v>0.0</v>
      </c>
      <c r="AT110" s="771">
        <v>0.0</v>
      </c>
      <c r="AU110" s="771">
        <v>0.0</v>
      </c>
      <c r="AV110" s="772" t="s">
        <v>233</v>
      </c>
      <c r="AW110" s="714"/>
    </row>
    <row r="111">
      <c r="A111" s="761"/>
      <c r="B111" s="769" t="s">
        <v>493</v>
      </c>
      <c r="C111" s="770" t="s">
        <v>538</v>
      </c>
      <c r="D111" s="770" t="s">
        <v>494</v>
      </c>
      <c r="E111" s="770" t="s">
        <v>512</v>
      </c>
      <c r="F111" s="770" t="s">
        <v>518</v>
      </c>
      <c r="G111" s="770" t="s">
        <v>103</v>
      </c>
      <c r="H111" s="770">
        <v>2019.0</v>
      </c>
      <c r="I111" s="771">
        <v>7.778412358</v>
      </c>
      <c r="J111" s="771">
        <v>15.46545024</v>
      </c>
      <c r="K111" s="772">
        <v>3.191277779</v>
      </c>
      <c r="M111" s="769" t="s">
        <v>493</v>
      </c>
      <c r="N111" s="770" t="s">
        <v>538</v>
      </c>
      <c r="O111" s="770" t="s">
        <v>494</v>
      </c>
      <c r="P111" s="770" t="s">
        <v>512</v>
      </c>
      <c r="Q111" s="770" t="s">
        <v>518</v>
      </c>
      <c r="R111" s="770" t="s">
        <v>497</v>
      </c>
      <c r="S111" s="770">
        <v>2019.0</v>
      </c>
      <c r="T111" s="771">
        <v>285.6904258</v>
      </c>
      <c r="U111" s="771">
        <v>568.0247924</v>
      </c>
      <c r="V111" s="772">
        <v>117.2112593</v>
      </c>
      <c r="X111" s="786" t="s">
        <v>521</v>
      </c>
      <c r="Y111" s="787" t="s">
        <v>494</v>
      </c>
      <c r="Z111" s="787" t="s">
        <v>513</v>
      </c>
      <c r="AA111" s="787" t="s">
        <v>535</v>
      </c>
      <c r="AB111" s="787" t="s">
        <v>493</v>
      </c>
      <c r="AC111" s="787" t="s">
        <v>103</v>
      </c>
      <c r="AD111" s="788" t="s">
        <v>501</v>
      </c>
      <c r="AE111" s="779" t="s">
        <v>502</v>
      </c>
      <c r="AF111" s="789">
        <v>579.1864062</v>
      </c>
      <c r="AG111" s="789">
        <v>172.8377798</v>
      </c>
      <c r="AH111" s="789">
        <v>1438.485076</v>
      </c>
      <c r="AI111" s="790" t="s">
        <v>233</v>
      </c>
      <c r="AK111" s="769" t="s">
        <v>521</v>
      </c>
      <c r="AL111" s="770" t="s">
        <v>494</v>
      </c>
      <c r="AM111" s="770" t="s">
        <v>513</v>
      </c>
      <c r="AN111" s="770" t="s">
        <v>535</v>
      </c>
      <c r="AO111" s="770" t="s">
        <v>493</v>
      </c>
      <c r="AP111" s="770" t="s">
        <v>504</v>
      </c>
      <c r="AQ111" s="770" t="s">
        <v>501</v>
      </c>
      <c r="AR111" s="784" t="s">
        <v>502</v>
      </c>
      <c r="AS111" s="771">
        <v>41.20465498</v>
      </c>
      <c r="AT111" s="771">
        <v>12.29607775</v>
      </c>
      <c r="AU111" s="771">
        <v>102.3371416</v>
      </c>
      <c r="AV111" s="772" t="s">
        <v>233</v>
      </c>
      <c r="AW111" s="714"/>
    </row>
    <row r="112">
      <c r="A112" s="761"/>
      <c r="B112" s="769" t="s">
        <v>493</v>
      </c>
      <c r="C112" s="770" t="s">
        <v>538</v>
      </c>
      <c r="D112" s="770" t="s">
        <v>494</v>
      </c>
      <c r="E112" s="770" t="s">
        <v>495</v>
      </c>
      <c r="F112" s="770" t="s">
        <v>519</v>
      </c>
      <c r="G112" s="770" t="s">
        <v>103</v>
      </c>
      <c r="H112" s="770">
        <v>2019.0</v>
      </c>
      <c r="I112" s="771">
        <v>849.5782915</v>
      </c>
      <c r="J112" s="771">
        <v>1191.892281</v>
      </c>
      <c r="K112" s="772">
        <v>617.3744051</v>
      </c>
      <c r="M112" s="769" t="s">
        <v>493</v>
      </c>
      <c r="N112" s="770" t="s">
        <v>538</v>
      </c>
      <c r="O112" s="770" t="s">
        <v>494</v>
      </c>
      <c r="P112" s="770" t="s">
        <v>495</v>
      </c>
      <c r="Q112" s="770" t="s">
        <v>519</v>
      </c>
      <c r="R112" s="770" t="s">
        <v>497</v>
      </c>
      <c r="S112" s="770">
        <v>2019.0</v>
      </c>
      <c r="T112" s="771">
        <v>359.216415</v>
      </c>
      <c r="U112" s="771">
        <v>503.9526981</v>
      </c>
      <c r="V112" s="772">
        <v>261.0365904</v>
      </c>
      <c r="X112" s="769" t="s">
        <v>523</v>
      </c>
      <c r="Y112" s="770" t="s">
        <v>494</v>
      </c>
      <c r="Z112" s="770" t="s">
        <v>507</v>
      </c>
      <c r="AA112" s="770" t="s">
        <v>535</v>
      </c>
      <c r="AB112" s="770" t="s">
        <v>493</v>
      </c>
      <c r="AC112" s="770" t="s">
        <v>103</v>
      </c>
      <c r="AD112" s="770" t="s">
        <v>501</v>
      </c>
      <c r="AE112" s="779" t="s">
        <v>502</v>
      </c>
      <c r="AF112" s="771">
        <v>110.2005594</v>
      </c>
      <c r="AG112" s="771">
        <v>52.40114503</v>
      </c>
      <c r="AH112" s="771">
        <v>201.0922717</v>
      </c>
      <c r="AI112" s="772" t="s">
        <v>233</v>
      </c>
      <c r="AK112" s="769" t="s">
        <v>523</v>
      </c>
      <c r="AL112" s="770" t="s">
        <v>494</v>
      </c>
      <c r="AM112" s="770" t="s">
        <v>507</v>
      </c>
      <c r="AN112" s="770" t="s">
        <v>535</v>
      </c>
      <c r="AO112" s="770" t="s">
        <v>493</v>
      </c>
      <c r="AP112" s="770" t="s">
        <v>504</v>
      </c>
      <c r="AQ112" s="770" t="s">
        <v>501</v>
      </c>
      <c r="AR112" s="784" t="s">
        <v>502</v>
      </c>
      <c r="AS112" s="771">
        <v>38.20279876</v>
      </c>
      <c r="AT112" s="771">
        <v>18.16570088</v>
      </c>
      <c r="AU112" s="771">
        <v>69.71187471</v>
      </c>
      <c r="AV112" s="772" t="s">
        <v>233</v>
      </c>
      <c r="AW112" s="714"/>
    </row>
    <row r="113">
      <c r="A113" s="761"/>
      <c r="B113" s="769" t="s">
        <v>493</v>
      </c>
      <c r="C113" s="770" t="s">
        <v>538</v>
      </c>
      <c r="D113" s="770" t="s">
        <v>494</v>
      </c>
      <c r="E113" s="770" t="s">
        <v>505</v>
      </c>
      <c r="F113" s="770" t="s">
        <v>519</v>
      </c>
      <c r="G113" s="770" t="s">
        <v>103</v>
      </c>
      <c r="H113" s="770">
        <v>2019.0</v>
      </c>
      <c r="I113" s="771">
        <v>721.3646948</v>
      </c>
      <c r="J113" s="771">
        <v>1033.481214</v>
      </c>
      <c r="K113" s="772">
        <v>510.9962556</v>
      </c>
      <c r="M113" s="769" t="s">
        <v>493</v>
      </c>
      <c r="N113" s="770" t="s">
        <v>538</v>
      </c>
      <c r="O113" s="770" t="s">
        <v>494</v>
      </c>
      <c r="P113" s="770" t="s">
        <v>505</v>
      </c>
      <c r="Q113" s="770" t="s">
        <v>519</v>
      </c>
      <c r="R113" s="770" t="s">
        <v>497</v>
      </c>
      <c r="S113" s="770">
        <v>2019.0</v>
      </c>
      <c r="T113" s="771">
        <v>78641.65382</v>
      </c>
      <c r="U113" s="771">
        <v>112667.9369</v>
      </c>
      <c r="V113" s="772">
        <v>55707.73137</v>
      </c>
      <c r="X113" s="769" t="s">
        <v>523</v>
      </c>
      <c r="Y113" s="770" t="s">
        <v>494</v>
      </c>
      <c r="Z113" s="770" t="s">
        <v>513</v>
      </c>
      <c r="AA113" s="770" t="s">
        <v>535</v>
      </c>
      <c r="AB113" s="770" t="s">
        <v>493</v>
      </c>
      <c r="AC113" s="770" t="s">
        <v>103</v>
      </c>
      <c r="AD113" s="770" t="s">
        <v>501</v>
      </c>
      <c r="AE113" s="779" t="s">
        <v>502</v>
      </c>
      <c r="AF113" s="771">
        <v>283.4612247</v>
      </c>
      <c r="AG113" s="771">
        <v>156.6884907</v>
      </c>
      <c r="AH113" s="771">
        <v>470.6041868</v>
      </c>
      <c r="AI113" s="772" t="s">
        <v>233</v>
      </c>
      <c r="AK113" s="769" t="s">
        <v>523</v>
      </c>
      <c r="AL113" s="770" t="s">
        <v>494</v>
      </c>
      <c r="AM113" s="770" t="s">
        <v>513</v>
      </c>
      <c r="AN113" s="770" t="s">
        <v>535</v>
      </c>
      <c r="AO113" s="770" t="s">
        <v>493</v>
      </c>
      <c r="AP113" s="770" t="s">
        <v>504</v>
      </c>
      <c r="AQ113" s="770" t="s">
        <v>501</v>
      </c>
      <c r="AR113" s="784" t="s">
        <v>502</v>
      </c>
      <c r="AS113" s="771">
        <v>20.16608443</v>
      </c>
      <c r="AT113" s="771">
        <v>11.14718013</v>
      </c>
      <c r="AU113" s="771">
        <v>33.4798658</v>
      </c>
      <c r="AV113" s="772" t="s">
        <v>233</v>
      </c>
      <c r="AW113" s="714"/>
    </row>
    <row r="114">
      <c r="A114" s="761"/>
      <c r="B114" s="769" t="s">
        <v>493</v>
      </c>
      <c r="C114" s="770" t="s">
        <v>538</v>
      </c>
      <c r="D114" s="770" t="s">
        <v>494</v>
      </c>
      <c r="E114" s="770" t="s">
        <v>508</v>
      </c>
      <c r="F114" s="770" t="s">
        <v>519</v>
      </c>
      <c r="G114" s="770" t="s">
        <v>103</v>
      </c>
      <c r="H114" s="770">
        <v>2019.0</v>
      </c>
      <c r="I114" s="771">
        <v>33.67153982</v>
      </c>
      <c r="J114" s="771">
        <v>56.55119829</v>
      </c>
      <c r="K114" s="772">
        <v>17.695154</v>
      </c>
      <c r="M114" s="769" t="s">
        <v>493</v>
      </c>
      <c r="N114" s="770" t="s">
        <v>538</v>
      </c>
      <c r="O114" s="770" t="s">
        <v>494</v>
      </c>
      <c r="P114" s="770" t="s">
        <v>508</v>
      </c>
      <c r="Q114" s="770" t="s">
        <v>519</v>
      </c>
      <c r="R114" s="770" t="s">
        <v>497</v>
      </c>
      <c r="S114" s="770">
        <v>2019.0</v>
      </c>
      <c r="T114" s="771">
        <v>77.628785</v>
      </c>
      <c r="U114" s="771">
        <v>130.377192</v>
      </c>
      <c r="V114" s="772">
        <v>40.79567827</v>
      </c>
      <c r="X114" s="769" t="s">
        <v>496</v>
      </c>
      <c r="Y114" s="770" t="s">
        <v>494</v>
      </c>
      <c r="Z114" s="770" t="s">
        <v>499</v>
      </c>
      <c r="AA114" s="770" t="s">
        <v>541</v>
      </c>
      <c r="AB114" s="770" t="s">
        <v>493</v>
      </c>
      <c r="AC114" s="770" t="s">
        <v>103</v>
      </c>
      <c r="AD114" s="770" t="s">
        <v>501</v>
      </c>
      <c r="AE114" s="779" t="s">
        <v>502</v>
      </c>
      <c r="AF114" s="771">
        <v>465.398986</v>
      </c>
      <c r="AG114" s="771">
        <v>371.8959635</v>
      </c>
      <c r="AH114" s="771">
        <v>581.8769765</v>
      </c>
      <c r="AI114" s="772" t="s">
        <v>233</v>
      </c>
      <c r="AK114" s="769" t="s">
        <v>496</v>
      </c>
      <c r="AL114" s="770" t="s">
        <v>494</v>
      </c>
      <c r="AM114" s="770" t="s">
        <v>499</v>
      </c>
      <c r="AN114" s="770" t="s">
        <v>541</v>
      </c>
      <c r="AO114" s="770" t="s">
        <v>493</v>
      </c>
      <c r="AP114" s="770" t="s">
        <v>504</v>
      </c>
      <c r="AQ114" s="770" t="s">
        <v>501</v>
      </c>
      <c r="AR114" s="784" t="s">
        <v>502</v>
      </c>
      <c r="AS114" s="771">
        <v>124745.91</v>
      </c>
      <c r="AT114" s="771">
        <v>99683.28637</v>
      </c>
      <c r="AU114" s="771">
        <v>155966.7621</v>
      </c>
      <c r="AV114" s="772" t="s">
        <v>233</v>
      </c>
      <c r="AW114" s="714"/>
    </row>
    <row r="115">
      <c r="A115" s="761"/>
      <c r="B115" s="769" t="s">
        <v>493</v>
      </c>
      <c r="C115" s="770" t="s">
        <v>538</v>
      </c>
      <c r="D115" s="770" t="s">
        <v>494</v>
      </c>
      <c r="E115" s="770" t="s">
        <v>512</v>
      </c>
      <c r="F115" s="770" t="s">
        <v>519</v>
      </c>
      <c r="G115" s="770" t="s">
        <v>103</v>
      </c>
      <c r="H115" s="770">
        <v>2019.0</v>
      </c>
      <c r="I115" s="771">
        <v>91.18462463</v>
      </c>
      <c r="J115" s="771">
        <v>116.6112683</v>
      </c>
      <c r="K115" s="772">
        <v>68.08702303</v>
      </c>
      <c r="M115" s="769" t="s">
        <v>493</v>
      </c>
      <c r="N115" s="770" t="s">
        <v>538</v>
      </c>
      <c r="O115" s="770" t="s">
        <v>494</v>
      </c>
      <c r="P115" s="770" t="s">
        <v>512</v>
      </c>
      <c r="Q115" s="770" t="s">
        <v>519</v>
      </c>
      <c r="R115" s="770" t="s">
        <v>497</v>
      </c>
      <c r="S115" s="770">
        <v>2019.0</v>
      </c>
      <c r="T115" s="771">
        <v>3349.086297</v>
      </c>
      <c r="U115" s="771">
        <v>4282.972071</v>
      </c>
      <c r="V115" s="772">
        <v>2500.743045</v>
      </c>
      <c r="X115" s="769" t="s">
        <v>496</v>
      </c>
      <c r="Y115" s="770" t="s">
        <v>494</v>
      </c>
      <c r="Z115" s="770" t="s">
        <v>507</v>
      </c>
      <c r="AA115" s="770" t="s">
        <v>541</v>
      </c>
      <c r="AB115" s="770" t="s">
        <v>493</v>
      </c>
      <c r="AC115" s="770" t="s">
        <v>103</v>
      </c>
      <c r="AD115" s="770" t="s">
        <v>501</v>
      </c>
      <c r="AE115" s="779" t="s">
        <v>502</v>
      </c>
      <c r="AF115" s="771">
        <v>287.802233</v>
      </c>
      <c r="AG115" s="771">
        <v>229.844387</v>
      </c>
      <c r="AH115" s="771">
        <v>360.0805524</v>
      </c>
      <c r="AI115" s="772" t="s">
        <v>233</v>
      </c>
      <c r="AK115" s="769" t="s">
        <v>496</v>
      </c>
      <c r="AL115" s="770" t="s">
        <v>494</v>
      </c>
      <c r="AM115" s="770" t="s">
        <v>507</v>
      </c>
      <c r="AN115" s="770" t="s">
        <v>541</v>
      </c>
      <c r="AO115" s="770" t="s">
        <v>493</v>
      </c>
      <c r="AP115" s="770" t="s">
        <v>504</v>
      </c>
      <c r="AQ115" s="770" t="s">
        <v>501</v>
      </c>
      <c r="AR115" s="784" t="s">
        <v>502</v>
      </c>
      <c r="AS115" s="771">
        <v>1571.730711</v>
      </c>
      <c r="AT115" s="771">
        <v>1255.214311</v>
      </c>
      <c r="AU115" s="771">
        <v>1966.453341</v>
      </c>
      <c r="AV115" s="772" t="s">
        <v>233</v>
      </c>
      <c r="AW115" s="714"/>
    </row>
    <row r="116">
      <c r="A116" s="761"/>
      <c r="B116" s="786" t="s">
        <v>493</v>
      </c>
      <c r="C116" s="787" t="s">
        <v>538</v>
      </c>
      <c r="D116" s="787" t="s">
        <v>494</v>
      </c>
      <c r="E116" s="787" t="s">
        <v>495</v>
      </c>
      <c r="F116" s="787" t="s">
        <v>521</v>
      </c>
      <c r="G116" s="787" t="s">
        <v>103</v>
      </c>
      <c r="H116" s="788">
        <v>2019.0</v>
      </c>
      <c r="I116" s="789">
        <v>9.488571793</v>
      </c>
      <c r="J116" s="789">
        <v>23.5663953</v>
      </c>
      <c r="K116" s="790">
        <v>2.721062863</v>
      </c>
      <c r="M116" s="769" t="s">
        <v>493</v>
      </c>
      <c r="N116" s="770" t="s">
        <v>538</v>
      </c>
      <c r="O116" s="770" t="s">
        <v>494</v>
      </c>
      <c r="P116" s="770" t="s">
        <v>495</v>
      </c>
      <c r="Q116" s="770" t="s">
        <v>521</v>
      </c>
      <c r="R116" s="770" t="s">
        <v>497</v>
      </c>
      <c r="S116" s="770">
        <v>2019.0</v>
      </c>
      <c r="T116" s="771">
        <v>4.011932481</v>
      </c>
      <c r="U116" s="771">
        <v>9.964280064</v>
      </c>
      <c r="V116" s="772">
        <v>1.150512503</v>
      </c>
      <c r="X116" s="769" t="s">
        <v>496</v>
      </c>
      <c r="Y116" s="770" t="s">
        <v>494</v>
      </c>
      <c r="Z116" s="770" t="s">
        <v>509</v>
      </c>
      <c r="AA116" s="770" t="s">
        <v>541</v>
      </c>
      <c r="AB116" s="770" t="s">
        <v>493</v>
      </c>
      <c r="AC116" s="770" t="s">
        <v>103</v>
      </c>
      <c r="AD116" s="770" t="s">
        <v>501</v>
      </c>
      <c r="AE116" s="779" t="s">
        <v>502</v>
      </c>
      <c r="AF116" s="771">
        <v>79.23649243</v>
      </c>
      <c r="AG116" s="771">
        <v>62.56550356</v>
      </c>
      <c r="AH116" s="771">
        <v>100.0158042</v>
      </c>
      <c r="AI116" s="772" t="s">
        <v>233</v>
      </c>
      <c r="AK116" s="769" t="s">
        <v>496</v>
      </c>
      <c r="AL116" s="770" t="s">
        <v>494</v>
      </c>
      <c r="AM116" s="770" t="s">
        <v>509</v>
      </c>
      <c r="AN116" s="770" t="s">
        <v>541</v>
      </c>
      <c r="AO116" s="770" t="s">
        <v>493</v>
      </c>
      <c r="AP116" s="770" t="s">
        <v>504</v>
      </c>
      <c r="AQ116" s="770" t="s">
        <v>501</v>
      </c>
      <c r="AR116" s="784" t="s">
        <v>502</v>
      </c>
      <c r="AS116" s="771">
        <v>7154.834267</v>
      </c>
      <c r="AT116" s="771">
        <v>5649.490469</v>
      </c>
      <c r="AU116" s="771">
        <v>9031.148167</v>
      </c>
      <c r="AV116" s="772" t="s">
        <v>233</v>
      </c>
      <c r="AW116" s="714"/>
    </row>
    <row r="117">
      <c r="A117" s="761"/>
      <c r="B117" s="776" t="s">
        <v>493</v>
      </c>
      <c r="C117" s="777" t="s">
        <v>538</v>
      </c>
      <c r="D117" s="777" t="s">
        <v>494</v>
      </c>
      <c r="E117" s="777" t="s">
        <v>505</v>
      </c>
      <c r="F117" s="777" t="s">
        <v>521</v>
      </c>
      <c r="G117" s="777" t="s">
        <v>103</v>
      </c>
      <c r="H117" s="778">
        <v>2019.0</v>
      </c>
      <c r="I117" s="780">
        <v>0.0</v>
      </c>
      <c r="J117" s="780">
        <v>0.0</v>
      </c>
      <c r="K117" s="782">
        <v>0.0</v>
      </c>
      <c r="M117" s="769" t="s">
        <v>493</v>
      </c>
      <c r="N117" s="770" t="s">
        <v>538</v>
      </c>
      <c r="O117" s="770" t="s">
        <v>494</v>
      </c>
      <c r="P117" s="770" t="s">
        <v>505</v>
      </c>
      <c r="Q117" s="770" t="s">
        <v>521</v>
      </c>
      <c r="R117" s="770" t="s">
        <v>497</v>
      </c>
      <c r="S117" s="770">
        <v>2019.0</v>
      </c>
      <c r="T117" s="771">
        <v>0.0</v>
      </c>
      <c r="U117" s="771">
        <v>0.0</v>
      </c>
      <c r="V117" s="772">
        <v>0.0</v>
      </c>
      <c r="X117" s="769" t="s">
        <v>496</v>
      </c>
      <c r="Y117" s="770" t="s">
        <v>494</v>
      </c>
      <c r="Z117" s="770" t="s">
        <v>513</v>
      </c>
      <c r="AA117" s="770" t="s">
        <v>541</v>
      </c>
      <c r="AB117" s="770" t="s">
        <v>493</v>
      </c>
      <c r="AC117" s="770" t="s">
        <v>103</v>
      </c>
      <c r="AD117" s="770" t="s">
        <v>501</v>
      </c>
      <c r="AE117" s="779" t="s">
        <v>502</v>
      </c>
      <c r="AF117" s="771">
        <v>1177.106256</v>
      </c>
      <c r="AG117" s="771">
        <v>941.3088197</v>
      </c>
      <c r="AH117" s="771">
        <v>1473.081133</v>
      </c>
      <c r="AI117" s="772" t="s">
        <v>233</v>
      </c>
      <c r="AK117" s="769" t="s">
        <v>496</v>
      </c>
      <c r="AL117" s="770" t="s">
        <v>494</v>
      </c>
      <c r="AM117" s="770" t="s">
        <v>513</v>
      </c>
      <c r="AN117" s="770" t="s">
        <v>541</v>
      </c>
      <c r="AO117" s="770" t="s">
        <v>493</v>
      </c>
      <c r="AP117" s="770" t="s">
        <v>504</v>
      </c>
      <c r="AQ117" s="770" t="s">
        <v>501</v>
      </c>
      <c r="AR117" s="784" t="s">
        <v>502</v>
      </c>
      <c r="AS117" s="771">
        <v>1174.778835</v>
      </c>
      <c r="AT117" s="771">
        <v>939.4476267</v>
      </c>
      <c r="AU117" s="771">
        <v>1470.168498</v>
      </c>
      <c r="AV117" s="772" t="s">
        <v>233</v>
      </c>
      <c r="AW117" s="714"/>
    </row>
    <row r="118">
      <c r="A118" s="761"/>
      <c r="B118" s="776" t="s">
        <v>493</v>
      </c>
      <c r="C118" s="777" t="s">
        <v>538</v>
      </c>
      <c r="D118" s="777" t="s">
        <v>494</v>
      </c>
      <c r="E118" s="777" t="s">
        <v>508</v>
      </c>
      <c r="F118" s="777" t="s">
        <v>521</v>
      </c>
      <c r="G118" s="777" t="s">
        <v>103</v>
      </c>
      <c r="H118" s="778">
        <v>2019.0</v>
      </c>
      <c r="I118" s="780">
        <v>1.942696887</v>
      </c>
      <c r="J118" s="780">
        <v>4.942513684</v>
      </c>
      <c r="K118" s="782">
        <v>0.5493904905</v>
      </c>
      <c r="M118" s="769" t="s">
        <v>493</v>
      </c>
      <c r="N118" s="770" t="s">
        <v>538</v>
      </c>
      <c r="O118" s="770" t="s">
        <v>494</v>
      </c>
      <c r="P118" s="770" t="s">
        <v>508</v>
      </c>
      <c r="Q118" s="770" t="s">
        <v>521</v>
      </c>
      <c r="R118" s="770" t="s">
        <v>497</v>
      </c>
      <c r="S118" s="770">
        <v>2019.0</v>
      </c>
      <c r="T118" s="771">
        <v>4.478832858</v>
      </c>
      <c r="U118" s="771">
        <v>11.39482584</v>
      </c>
      <c r="V118" s="772">
        <v>1.266604274</v>
      </c>
      <c r="X118" s="769" t="s">
        <v>514</v>
      </c>
      <c r="Y118" s="770" t="s">
        <v>494</v>
      </c>
      <c r="Z118" s="770" t="s">
        <v>499</v>
      </c>
      <c r="AA118" s="770" t="s">
        <v>541</v>
      </c>
      <c r="AB118" s="770" t="s">
        <v>493</v>
      </c>
      <c r="AC118" s="770" t="s">
        <v>103</v>
      </c>
      <c r="AD118" s="770" t="s">
        <v>501</v>
      </c>
      <c r="AE118" s="779" t="s">
        <v>502</v>
      </c>
      <c r="AF118" s="771">
        <v>428.7166703</v>
      </c>
      <c r="AG118" s="771">
        <v>344.7276815</v>
      </c>
      <c r="AH118" s="771">
        <v>538.5990865</v>
      </c>
      <c r="AI118" s="772" t="s">
        <v>233</v>
      </c>
      <c r="AK118" s="769" t="s">
        <v>514</v>
      </c>
      <c r="AL118" s="770" t="s">
        <v>494</v>
      </c>
      <c r="AM118" s="770" t="s">
        <v>499</v>
      </c>
      <c r="AN118" s="770" t="s">
        <v>541</v>
      </c>
      <c r="AO118" s="770" t="s">
        <v>493</v>
      </c>
      <c r="AP118" s="770" t="s">
        <v>504</v>
      </c>
      <c r="AQ118" s="770" t="s">
        <v>501</v>
      </c>
      <c r="AR118" s="784" t="s">
        <v>502</v>
      </c>
      <c r="AS118" s="771">
        <v>114913.5533</v>
      </c>
      <c r="AT118" s="771">
        <v>92401.07871</v>
      </c>
      <c r="AU118" s="771">
        <v>144366.5225</v>
      </c>
      <c r="AV118" s="772" t="s">
        <v>233</v>
      </c>
      <c r="AW118" s="714"/>
    </row>
    <row r="119">
      <c r="A119" s="761"/>
      <c r="B119" s="786" t="s">
        <v>493</v>
      </c>
      <c r="C119" s="787" t="s">
        <v>538</v>
      </c>
      <c r="D119" s="787" t="s">
        <v>494</v>
      </c>
      <c r="E119" s="787" t="s">
        <v>512</v>
      </c>
      <c r="F119" s="787" t="s">
        <v>521</v>
      </c>
      <c r="G119" s="787" t="s">
        <v>103</v>
      </c>
      <c r="H119" s="788">
        <v>2019.0</v>
      </c>
      <c r="I119" s="789">
        <v>0.0</v>
      </c>
      <c r="J119" s="789">
        <v>0.0</v>
      </c>
      <c r="K119" s="790">
        <v>0.0</v>
      </c>
      <c r="M119" s="769" t="s">
        <v>493</v>
      </c>
      <c r="N119" s="770" t="s">
        <v>538</v>
      </c>
      <c r="O119" s="770" t="s">
        <v>494</v>
      </c>
      <c r="P119" s="770" t="s">
        <v>512</v>
      </c>
      <c r="Q119" s="770" t="s">
        <v>521</v>
      </c>
      <c r="R119" s="770" t="s">
        <v>497</v>
      </c>
      <c r="S119" s="770">
        <v>2019.0</v>
      </c>
      <c r="T119" s="771">
        <v>0.0</v>
      </c>
      <c r="U119" s="771">
        <v>0.0</v>
      </c>
      <c r="V119" s="772">
        <v>0.0</v>
      </c>
      <c r="X119" s="769" t="s">
        <v>514</v>
      </c>
      <c r="Y119" s="770" t="s">
        <v>494</v>
      </c>
      <c r="Z119" s="770" t="s">
        <v>507</v>
      </c>
      <c r="AA119" s="770" t="s">
        <v>541</v>
      </c>
      <c r="AB119" s="770" t="s">
        <v>493</v>
      </c>
      <c r="AC119" s="770" t="s">
        <v>103</v>
      </c>
      <c r="AD119" s="770" t="s">
        <v>501</v>
      </c>
      <c r="AE119" s="779" t="s">
        <v>502</v>
      </c>
      <c r="AF119" s="771">
        <v>244.5512106</v>
      </c>
      <c r="AG119" s="771">
        <v>194.2726537</v>
      </c>
      <c r="AH119" s="771">
        <v>309.5753072</v>
      </c>
      <c r="AI119" s="772" t="s">
        <v>233</v>
      </c>
      <c r="AK119" s="769" t="s">
        <v>514</v>
      </c>
      <c r="AL119" s="770" t="s">
        <v>494</v>
      </c>
      <c r="AM119" s="770" t="s">
        <v>507</v>
      </c>
      <c r="AN119" s="770" t="s">
        <v>541</v>
      </c>
      <c r="AO119" s="770" t="s">
        <v>493</v>
      </c>
      <c r="AP119" s="770" t="s">
        <v>504</v>
      </c>
      <c r="AQ119" s="770" t="s">
        <v>501</v>
      </c>
      <c r="AR119" s="784" t="s">
        <v>502</v>
      </c>
      <c r="AS119" s="771">
        <v>1335.530458</v>
      </c>
      <c r="AT119" s="771">
        <v>1060.951796</v>
      </c>
      <c r="AU119" s="771">
        <v>1690.6367</v>
      </c>
      <c r="AV119" s="772" t="s">
        <v>233</v>
      </c>
      <c r="AW119" s="714"/>
    </row>
    <row r="120">
      <c r="A120" s="761"/>
      <c r="B120" s="769" t="s">
        <v>493</v>
      </c>
      <c r="C120" s="770" t="s">
        <v>538</v>
      </c>
      <c r="D120" s="770" t="s">
        <v>494</v>
      </c>
      <c r="E120" s="770" t="s">
        <v>495</v>
      </c>
      <c r="F120" s="770" t="s">
        <v>523</v>
      </c>
      <c r="G120" s="770" t="s">
        <v>103</v>
      </c>
      <c r="H120" s="770">
        <v>2019.0</v>
      </c>
      <c r="I120" s="771">
        <v>119.6979897</v>
      </c>
      <c r="J120" s="771">
        <v>192.8082199</v>
      </c>
      <c r="K120" s="772">
        <v>64.83303083</v>
      </c>
      <c r="M120" s="769" t="s">
        <v>493</v>
      </c>
      <c r="N120" s="770" t="s">
        <v>538</v>
      </c>
      <c r="O120" s="770" t="s">
        <v>494</v>
      </c>
      <c r="P120" s="770" t="s">
        <v>495</v>
      </c>
      <c r="Q120" s="770" t="s">
        <v>523</v>
      </c>
      <c r="R120" s="770" t="s">
        <v>497</v>
      </c>
      <c r="S120" s="770">
        <v>2019.0</v>
      </c>
      <c r="T120" s="771">
        <v>50.61038301</v>
      </c>
      <c r="U120" s="771">
        <v>81.52265451</v>
      </c>
      <c r="V120" s="772">
        <v>27.41252824</v>
      </c>
      <c r="X120" s="769" t="s">
        <v>514</v>
      </c>
      <c r="Y120" s="770" t="s">
        <v>494</v>
      </c>
      <c r="Z120" s="770" t="s">
        <v>509</v>
      </c>
      <c r="AA120" s="770" t="s">
        <v>541</v>
      </c>
      <c r="AB120" s="770" t="s">
        <v>493</v>
      </c>
      <c r="AC120" s="770" t="s">
        <v>103</v>
      </c>
      <c r="AD120" s="770" t="s">
        <v>501</v>
      </c>
      <c r="AE120" s="779" t="s">
        <v>502</v>
      </c>
      <c r="AF120" s="771">
        <v>70.29432964</v>
      </c>
      <c r="AG120" s="771">
        <v>55.31844944</v>
      </c>
      <c r="AH120" s="771">
        <v>89.23708455</v>
      </c>
      <c r="AI120" s="772" t="s">
        <v>233</v>
      </c>
      <c r="AK120" s="769" t="s">
        <v>514</v>
      </c>
      <c r="AL120" s="770" t="s">
        <v>494</v>
      </c>
      <c r="AM120" s="770" t="s">
        <v>509</v>
      </c>
      <c r="AN120" s="770" t="s">
        <v>541</v>
      </c>
      <c r="AO120" s="770" t="s">
        <v>493</v>
      </c>
      <c r="AP120" s="770" t="s">
        <v>504</v>
      </c>
      <c r="AQ120" s="770" t="s">
        <v>501</v>
      </c>
      <c r="AR120" s="784" t="s">
        <v>502</v>
      </c>
      <c r="AS120" s="771">
        <v>6347.381908</v>
      </c>
      <c r="AT120" s="771">
        <v>4995.101695</v>
      </c>
      <c r="AU120" s="771">
        <v>8057.859843</v>
      </c>
      <c r="AV120" s="772" t="s">
        <v>233</v>
      </c>
      <c r="AW120" s="714"/>
    </row>
    <row r="121">
      <c r="A121" s="761"/>
      <c r="B121" s="769" t="s">
        <v>493</v>
      </c>
      <c r="C121" s="770" t="s">
        <v>538</v>
      </c>
      <c r="D121" s="770" t="s">
        <v>494</v>
      </c>
      <c r="E121" s="770" t="s">
        <v>505</v>
      </c>
      <c r="F121" s="770" t="s">
        <v>523</v>
      </c>
      <c r="G121" s="770" t="s">
        <v>103</v>
      </c>
      <c r="H121" s="770">
        <v>2019.0</v>
      </c>
      <c r="I121" s="771">
        <v>0.0</v>
      </c>
      <c r="J121" s="771">
        <v>0.0</v>
      </c>
      <c r="K121" s="772">
        <v>0.0</v>
      </c>
      <c r="M121" s="769" t="s">
        <v>493</v>
      </c>
      <c r="N121" s="770" t="s">
        <v>538</v>
      </c>
      <c r="O121" s="770" t="s">
        <v>494</v>
      </c>
      <c r="P121" s="770" t="s">
        <v>505</v>
      </c>
      <c r="Q121" s="770" t="s">
        <v>523</v>
      </c>
      <c r="R121" s="770" t="s">
        <v>497</v>
      </c>
      <c r="S121" s="770">
        <v>2019.0</v>
      </c>
      <c r="T121" s="771">
        <v>0.0</v>
      </c>
      <c r="U121" s="771">
        <v>0.0</v>
      </c>
      <c r="V121" s="772">
        <v>0.0</v>
      </c>
      <c r="X121" s="769" t="s">
        <v>514</v>
      </c>
      <c r="Y121" s="770" t="s">
        <v>494</v>
      </c>
      <c r="Z121" s="770" t="s">
        <v>513</v>
      </c>
      <c r="AA121" s="770" t="s">
        <v>541</v>
      </c>
      <c r="AB121" s="770" t="s">
        <v>493</v>
      </c>
      <c r="AC121" s="770" t="s">
        <v>103</v>
      </c>
      <c r="AD121" s="770" t="s">
        <v>501</v>
      </c>
      <c r="AE121" s="779" t="s">
        <v>502</v>
      </c>
      <c r="AF121" s="771">
        <v>1041.782072</v>
      </c>
      <c r="AG121" s="771">
        <v>832.8147588</v>
      </c>
      <c r="AH121" s="771">
        <v>1308.982449</v>
      </c>
      <c r="AI121" s="772" t="s">
        <v>233</v>
      </c>
      <c r="AK121" s="769" t="s">
        <v>514</v>
      </c>
      <c r="AL121" s="770" t="s">
        <v>494</v>
      </c>
      <c r="AM121" s="770" t="s">
        <v>513</v>
      </c>
      <c r="AN121" s="770" t="s">
        <v>541</v>
      </c>
      <c r="AO121" s="770" t="s">
        <v>493</v>
      </c>
      <c r="AP121" s="770" t="s">
        <v>504</v>
      </c>
      <c r="AQ121" s="770" t="s">
        <v>501</v>
      </c>
      <c r="AR121" s="784" t="s">
        <v>502</v>
      </c>
      <c r="AS121" s="771">
        <v>1039.722219</v>
      </c>
      <c r="AT121" s="771">
        <v>831.1680846</v>
      </c>
      <c r="AU121" s="771">
        <v>1306.394277</v>
      </c>
      <c r="AV121" s="772" t="s">
        <v>233</v>
      </c>
      <c r="AW121" s="714"/>
    </row>
    <row r="122">
      <c r="A122" s="761"/>
      <c r="B122" s="769" t="s">
        <v>493</v>
      </c>
      <c r="C122" s="770" t="s">
        <v>538</v>
      </c>
      <c r="D122" s="770" t="s">
        <v>494</v>
      </c>
      <c r="E122" s="770" t="s">
        <v>508</v>
      </c>
      <c r="F122" s="770" t="s">
        <v>523</v>
      </c>
      <c r="G122" s="770" t="s">
        <v>103</v>
      </c>
      <c r="H122" s="770">
        <v>2019.0</v>
      </c>
      <c r="I122" s="771">
        <v>28.44707295</v>
      </c>
      <c r="J122" s="771">
        <v>50.49237432</v>
      </c>
      <c r="K122" s="772">
        <v>12.87273695</v>
      </c>
      <c r="M122" s="769" t="s">
        <v>493</v>
      </c>
      <c r="N122" s="770" t="s">
        <v>538</v>
      </c>
      <c r="O122" s="770" t="s">
        <v>494</v>
      </c>
      <c r="P122" s="770" t="s">
        <v>508</v>
      </c>
      <c r="Q122" s="770" t="s">
        <v>523</v>
      </c>
      <c r="R122" s="770" t="s">
        <v>497</v>
      </c>
      <c r="S122" s="770">
        <v>2019.0</v>
      </c>
      <c r="T122" s="771">
        <v>65.58392403</v>
      </c>
      <c r="U122" s="771">
        <v>116.4087443</v>
      </c>
      <c r="V122" s="772">
        <v>29.67773182</v>
      </c>
      <c r="X122" s="769" t="s">
        <v>518</v>
      </c>
      <c r="Y122" s="770" t="s">
        <v>494</v>
      </c>
      <c r="Z122" s="770" t="s">
        <v>499</v>
      </c>
      <c r="AA122" s="770" t="s">
        <v>541</v>
      </c>
      <c r="AB122" s="770" t="s">
        <v>493</v>
      </c>
      <c r="AC122" s="770" t="s">
        <v>103</v>
      </c>
      <c r="AD122" s="770" t="s">
        <v>501</v>
      </c>
      <c r="AE122" s="779" t="s">
        <v>502</v>
      </c>
      <c r="AF122" s="771">
        <v>3.414593766</v>
      </c>
      <c r="AG122" s="771">
        <v>1.432564883</v>
      </c>
      <c r="AH122" s="771">
        <v>7.250370163</v>
      </c>
      <c r="AI122" s="772" t="s">
        <v>233</v>
      </c>
      <c r="AK122" s="769" t="s">
        <v>518</v>
      </c>
      <c r="AL122" s="770" t="s">
        <v>494</v>
      </c>
      <c r="AM122" s="770" t="s">
        <v>499</v>
      </c>
      <c r="AN122" s="770" t="s">
        <v>541</v>
      </c>
      <c r="AO122" s="770" t="s">
        <v>493</v>
      </c>
      <c r="AP122" s="770" t="s">
        <v>504</v>
      </c>
      <c r="AQ122" s="770" t="s">
        <v>501</v>
      </c>
      <c r="AR122" s="784" t="s">
        <v>502</v>
      </c>
      <c r="AS122" s="771">
        <v>915.2503969</v>
      </c>
      <c r="AT122" s="771">
        <v>383.9858174</v>
      </c>
      <c r="AU122" s="771">
        <v>1943.394917</v>
      </c>
      <c r="AV122" s="772" t="s">
        <v>233</v>
      </c>
      <c r="AW122" s="714"/>
    </row>
    <row r="123">
      <c r="A123" s="761"/>
      <c r="B123" s="769" t="s">
        <v>493</v>
      </c>
      <c r="C123" s="770" t="s">
        <v>538</v>
      </c>
      <c r="D123" s="770" t="s">
        <v>494</v>
      </c>
      <c r="E123" s="770" t="s">
        <v>512</v>
      </c>
      <c r="F123" s="770" t="s">
        <v>523</v>
      </c>
      <c r="G123" s="770" t="s">
        <v>103</v>
      </c>
      <c r="H123" s="770">
        <v>2019.0</v>
      </c>
      <c r="I123" s="771">
        <v>0.0</v>
      </c>
      <c r="J123" s="771">
        <v>0.0</v>
      </c>
      <c r="K123" s="772">
        <v>0.0</v>
      </c>
      <c r="M123" s="769" t="s">
        <v>493</v>
      </c>
      <c r="N123" s="770" t="s">
        <v>538</v>
      </c>
      <c r="O123" s="770" t="s">
        <v>494</v>
      </c>
      <c r="P123" s="770" t="s">
        <v>512</v>
      </c>
      <c r="Q123" s="770" t="s">
        <v>523</v>
      </c>
      <c r="R123" s="770" t="s">
        <v>497</v>
      </c>
      <c r="S123" s="770">
        <v>2019.0</v>
      </c>
      <c r="T123" s="771">
        <v>0.0</v>
      </c>
      <c r="U123" s="771">
        <v>0.0</v>
      </c>
      <c r="V123" s="772">
        <v>0.0</v>
      </c>
      <c r="X123" s="769" t="s">
        <v>518</v>
      </c>
      <c r="Y123" s="770" t="s">
        <v>494</v>
      </c>
      <c r="Z123" s="770" t="s">
        <v>507</v>
      </c>
      <c r="AA123" s="770" t="s">
        <v>541</v>
      </c>
      <c r="AB123" s="770" t="s">
        <v>493</v>
      </c>
      <c r="AC123" s="770" t="s">
        <v>103</v>
      </c>
      <c r="AD123" s="770" t="s">
        <v>501</v>
      </c>
      <c r="AE123" s="779" t="s">
        <v>502</v>
      </c>
      <c r="AF123" s="771">
        <v>60.91092988</v>
      </c>
      <c r="AG123" s="771">
        <v>29.75452069</v>
      </c>
      <c r="AH123" s="771">
        <v>106.2453894</v>
      </c>
      <c r="AI123" s="772" t="s">
        <v>233</v>
      </c>
      <c r="AK123" s="769" t="s">
        <v>518</v>
      </c>
      <c r="AL123" s="770" t="s">
        <v>494</v>
      </c>
      <c r="AM123" s="770" t="s">
        <v>507</v>
      </c>
      <c r="AN123" s="770" t="s">
        <v>541</v>
      </c>
      <c r="AO123" s="770" t="s">
        <v>493</v>
      </c>
      <c r="AP123" s="770" t="s">
        <v>504</v>
      </c>
      <c r="AQ123" s="770" t="s">
        <v>501</v>
      </c>
      <c r="AR123" s="784" t="s">
        <v>502</v>
      </c>
      <c r="AS123" s="771">
        <v>332.6436286</v>
      </c>
      <c r="AT123" s="771">
        <v>162.4938537</v>
      </c>
      <c r="AU123" s="771">
        <v>580.2218406</v>
      </c>
      <c r="AV123" s="772" t="s">
        <v>233</v>
      </c>
      <c r="AW123" s="714"/>
    </row>
    <row r="124">
      <c r="A124" s="761"/>
      <c r="B124" s="769" t="s">
        <v>493</v>
      </c>
      <c r="C124" s="770" t="s">
        <v>5</v>
      </c>
      <c r="D124" s="770" t="s">
        <v>494</v>
      </c>
      <c r="E124" s="770" t="s">
        <v>495</v>
      </c>
      <c r="F124" s="770" t="s">
        <v>496</v>
      </c>
      <c r="G124" s="770" t="s">
        <v>103</v>
      </c>
      <c r="H124" s="770">
        <v>2019.0</v>
      </c>
      <c r="I124" s="771">
        <v>98779.14033</v>
      </c>
      <c r="J124" s="771">
        <v>124689.1181</v>
      </c>
      <c r="K124" s="772">
        <v>78328.17393</v>
      </c>
      <c r="M124" s="769" t="s">
        <v>493</v>
      </c>
      <c r="N124" s="770" t="s">
        <v>5</v>
      </c>
      <c r="O124" s="770" t="s">
        <v>494</v>
      </c>
      <c r="P124" s="770" t="s">
        <v>495</v>
      </c>
      <c r="Q124" s="770" t="s">
        <v>496</v>
      </c>
      <c r="R124" s="770" t="s">
        <v>497</v>
      </c>
      <c r="S124" s="770">
        <v>2019.0</v>
      </c>
      <c r="T124" s="771">
        <v>2442.031714</v>
      </c>
      <c r="U124" s="771">
        <v>3082.581806</v>
      </c>
      <c r="V124" s="772">
        <v>1936.440064</v>
      </c>
      <c r="X124" s="769" t="s">
        <v>518</v>
      </c>
      <c r="Y124" s="770" t="s">
        <v>494</v>
      </c>
      <c r="Z124" s="770" t="s">
        <v>509</v>
      </c>
      <c r="AA124" s="770" t="s">
        <v>541</v>
      </c>
      <c r="AB124" s="770" t="s">
        <v>493</v>
      </c>
      <c r="AC124" s="770" t="s">
        <v>103</v>
      </c>
      <c r="AD124" s="770" t="s">
        <v>501</v>
      </c>
      <c r="AE124" s="779" t="s">
        <v>502</v>
      </c>
      <c r="AF124" s="771">
        <v>5.358098319</v>
      </c>
      <c r="AG124" s="771">
        <v>2.506203531</v>
      </c>
      <c r="AH124" s="771">
        <v>9.702914694</v>
      </c>
      <c r="AI124" s="772" t="s">
        <v>233</v>
      </c>
      <c r="AK124" s="769" t="s">
        <v>518</v>
      </c>
      <c r="AL124" s="770" t="s">
        <v>494</v>
      </c>
      <c r="AM124" s="770" t="s">
        <v>509</v>
      </c>
      <c r="AN124" s="770" t="s">
        <v>541</v>
      </c>
      <c r="AO124" s="770" t="s">
        <v>493</v>
      </c>
      <c r="AP124" s="770" t="s">
        <v>504</v>
      </c>
      <c r="AQ124" s="770" t="s">
        <v>501</v>
      </c>
      <c r="AR124" s="784" t="s">
        <v>502</v>
      </c>
      <c r="AS124" s="771">
        <v>483.8213339</v>
      </c>
      <c r="AT124" s="771">
        <v>226.3031888</v>
      </c>
      <c r="AU124" s="771">
        <v>876.1461344</v>
      </c>
      <c r="AV124" s="772" t="s">
        <v>233</v>
      </c>
      <c r="AW124" s="714"/>
    </row>
    <row r="125">
      <c r="A125" s="761"/>
      <c r="B125" s="769" t="s">
        <v>493</v>
      </c>
      <c r="C125" s="770" t="s">
        <v>5</v>
      </c>
      <c r="D125" s="770" t="s">
        <v>494</v>
      </c>
      <c r="E125" s="770" t="s">
        <v>505</v>
      </c>
      <c r="F125" s="770" t="s">
        <v>496</v>
      </c>
      <c r="G125" s="770" t="s">
        <v>103</v>
      </c>
      <c r="H125" s="770">
        <v>2019.0</v>
      </c>
      <c r="I125" s="771">
        <v>19940.74855</v>
      </c>
      <c r="J125" s="771">
        <v>25590.31822</v>
      </c>
      <c r="K125" s="772">
        <v>15667.28431</v>
      </c>
      <c r="M125" s="769" t="s">
        <v>493</v>
      </c>
      <c r="N125" s="770" t="s">
        <v>5</v>
      </c>
      <c r="O125" s="770" t="s">
        <v>494</v>
      </c>
      <c r="P125" s="770" t="s">
        <v>505</v>
      </c>
      <c r="Q125" s="770" t="s">
        <v>496</v>
      </c>
      <c r="R125" s="770" t="s">
        <v>497</v>
      </c>
      <c r="S125" s="770">
        <v>2019.0</v>
      </c>
      <c r="T125" s="771">
        <v>111752.6604</v>
      </c>
      <c r="U125" s="771">
        <v>143414.182</v>
      </c>
      <c r="V125" s="772">
        <v>87803.15837</v>
      </c>
      <c r="X125" s="769" t="s">
        <v>518</v>
      </c>
      <c r="Y125" s="770" t="s">
        <v>494</v>
      </c>
      <c r="Z125" s="770" t="s">
        <v>513</v>
      </c>
      <c r="AA125" s="770" t="s">
        <v>541</v>
      </c>
      <c r="AB125" s="770" t="s">
        <v>493</v>
      </c>
      <c r="AC125" s="770" t="s">
        <v>103</v>
      </c>
      <c r="AD125" s="770" t="s">
        <v>501</v>
      </c>
      <c r="AE125" s="779" t="s">
        <v>502</v>
      </c>
      <c r="AF125" s="771">
        <v>123.391322</v>
      </c>
      <c r="AG125" s="771">
        <v>63.01992645</v>
      </c>
      <c r="AH125" s="771">
        <v>203.2182461</v>
      </c>
      <c r="AI125" s="772" t="s">
        <v>233</v>
      </c>
      <c r="AK125" s="769" t="s">
        <v>518</v>
      </c>
      <c r="AL125" s="770" t="s">
        <v>494</v>
      </c>
      <c r="AM125" s="770" t="s">
        <v>513</v>
      </c>
      <c r="AN125" s="770" t="s">
        <v>541</v>
      </c>
      <c r="AO125" s="770" t="s">
        <v>493</v>
      </c>
      <c r="AP125" s="770" t="s">
        <v>504</v>
      </c>
      <c r="AQ125" s="770" t="s">
        <v>501</v>
      </c>
      <c r="AR125" s="784" t="s">
        <v>502</v>
      </c>
      <c r="AS125" s="771">
        <v>123.1473478</v>
      </c>
      <c r="AT125" s="771">
        <v>62.89532096</v>
      </c>
      <c r="AU125" s="771">
        <v>202.8164349</v>
      </c>
      <c r="AV125" s="772" t="s">
        <v>233</v>
      </c>
      <c r="AW125" s="714"/>
    </row>
    <row r="126">
      <c r="A126" s="761"/>
      <c r="B126" s="769" t="s">
        <v>493</v>
      </c>
      <c r="C126" s="770" t="s">
        <v>5</v>
      </c>
      <c r="D126" s="770" t="s">
        <v>494</v>
      </c>
      <c r="E126" s="770" t="s">
        <v>508</v>
      </c>
      <c r="F126" s="770" t="s">
        <v>496</v>
      </c>
      <c r="G126" s="770" t="s">
        <v>103</v>
      </c>
      <c r="H126" s="770">
        <v>2019.0</v>
      </c>
      <c r="I126" s="771">
        <v>30592.14891</v>
      </c>
      <c r="J126" s="771">
        <v>38794.3814</v>
      </c>
      <c r="K126" s="772">
        <v>24245.59724</v>
      </c>
      <c r="M126" s="769" t="s">
        <v>493</v>
      </c>
      <c r="N126" s="770" t="s">
        <v>5</v>
      </c>
      <c r="O126" s="770" t="s">
        <v>494</v>
      </c>
      <c r="P126" s="770" t="s">
        <v>508</v>
      </c>
      <c r="Q126" s="770" t="s">
        <v>496</v>
      </c>
      <c r="R126" s="770" t="s">
        <v>497</v>
      </c>
      <c r="S126" s="770">
        <v>2019.0</v>
      </c>
      <c r="T126" s="771">
        <v>3755.462518</v>
      </c>
      <c r="U126" s="771">
        <v>4762.36062</v>
      </c>
      <c r="V126" s="772">
        <v>2976.365992</v>
      </c>
      <c r="X126" s="769" t="s">
        <v>519</v>
      </c>
      <c r="Y126" s="770" t="s">
        <v>494</v>
      </c>
      <c r="Z126" s="770" t="s">
        <v>499</v>
      </c>
      <c r="AA126" s="770" t="s">
        <v>541</v>
      </c>
      <c r="AB126" s="770" t="s">
        <v>493</v>
      </c>
      <c r="AC126" s="770" t="s">
        <v>103</v>
      </c>
      <c r="AD126" s="770" t="s">
        <v>501</v>
      </c>
      <c r="AE126" s="779" t="s">
        <v>502</v>
      </c>
      <c r="AF126" s="771">
        <v>325.1892713</v>
      </c>
      <c r="AG126" s="771">
        <v>245.3129154</v>
      </c>
      <c r="AH126" s="771">
        <v>424.6169694</v>
      </c>
      <c r="AI126" s="772" t="s">
        <v>233</v>
      </c>
      <c r="AK126" s="769" t="s">
        <v>519</v>
      </c>
      <c r="AL126" s="770" t="s">
        <v>494</v>
      </c>
      <c r="AM126" s="770" t="s">
        <v>499</v>
      </c>
      <c r="AN126" s="770" t="s">
        <v>541</v>
      </c>
      <c r="AO126" s="770" t="s">
        <v>493</v>
      </c>
      <c r="AP126" s="770" t="s">
        <v>504</v>
      </c>
      <c r="AQ126" s="770" t="s">
        <v>501</v>
      </c>
      <c r="AR126" s="784" t="s">
        <v>502</v>
      </c>
      <c r="AS126" s="771">
        <v>87163.98787</v>
      </c>
      <c r="AT126" s="771">
        <v>65753.86667</v>
      </c>
      <c r="AU126" s="771">
        <v>113814.6662</v>
      </c>
      <c r="AV126" s="772" t="s">
        <v>233</v>
      </c>
      <c r="AW126" s="714"/>
    </row>
    <row r="127">
      <c r="A127" s="761"/>
      <c r="B127" s="769" t="s">
        <v>493</v>
      </c>
      <c r="C127" s="770" t="s">
        <v>5</v>
      </c>
      <c r="D127" s="770" t="s">
        <v>494</v>
      </c>
      <c r="E127" s="770" t="s">
        <v>512</v>
      </c>
      <c r="F127" s="770" t="s">
        <v>496</v>
      </c>
      <c r="G127" s="770" t="s">
        <v>103</v>
      </c>
      <c r="H127" s="770">
        <v>2019.0</v>
      </c>
      <c r="I127" s="771">
        <v>6949.467251</v>
      </c>
      <c r="J127" s="771">
        <v>8887.566448</v>
      </c>
      <c r="K127" s="772">
        <v>5472.37117</v>
      </c>
      <c r="M127" s="769" t="s">
        <v>493</v>
      </c>
      <c r="N127" s="770" t="s">
        <v>5</v>
      </c>
      <c r="O127" s="770" t="s">
        <v>494</v>
      </c>
      <c r="P127" s="770" t="s">
        <v>512</v>
      </c>
      <c r="Q127" s="770" t="s">
        <v>496</v>
      </c>
      <c r="R127" s="770" t="s">
        <v>497</v>
      </c>
      <c r="S127" s="770">
        <v>2019.0</v>
      </c>
      <c r="T127" s="771">
        <v>13189.37148</v>
      </c>
      <c r="U127" s="771">
        <v>16867.6837</v>
      </c>
      <c r="V127" s="772">
        <v>10385.9956</v>
      </c>
      <c r="X127" s="769" t="s">
        <v>519</v>
      </c>
      <c r="Y127" s="770" t="s">
        <v>494</v>
      </c>
      <c r="Z127" s="770" t="s">
        <v>507</v>
      </c>
      <c r="AA127" s="770" t="s">
        <v>541</v>
      </c>
      <c r="AB127" s="770" t="s">
        <v>493</v>
      </c>
      <c r="AC127" s="770" t="s">
        <v>103</v>
      </c>
      <c r="AD127" s="770" t="s">
        <v>501</v>
      </c>
      <c r="AE127" s="779" t="s">
        <v>502</v>
      </c>
      <c r="AF127" s="771">
        <v>1.77935239</v>
      </c>
      <c r="AG127" s="771">
        <v>0.9476978405</v>
      </c>
      <c r="AH127" s="771">
        <v>2.927394846</v>
      </c>
      <c r="AI127" s="772" t="s">
        <v>233</v>
      </c>
      <c r="AK127" s="769" t="s">
        <v>519</v>
      </c>
      <c r="AL127" s="770" t="s">
        <v>494</v>
      </c>
      <c r="AM127" s="770" t="s">
        <v>507</v>
      </c>
      <c r="AN127" s="770" t="s">
        <v>541</v>
      </c>
      <c r="AO127" s="770" t="s">
        <v>493</v>
      </c>
      <c r="AP127" s="770" t="s">
        <v>504</v>
      </c>
      <c r="AQ127" s="770" t="s">
        <v>501</v>
      </c>
      <c r="AR127" s="784" t="s">
        <v>502</v>
      </c>
      <c r="AS127" s="771">
        <v>9.717307499</v>
      </c>
      <c r="AT127" s="771">
        <v>5.175518566</v>
      </c>
      <c r="AU127" s="771">
        <v>15.98693774</v>
      </c>
      <c r="AV127" s="772" t="s">
        <v>233</v>
      </c>
      <c r="AW127" s="714"/>
    </row>
    <row r="128">
      <c r="A128" s="761"/>
      <c r="B128" s="769" t="s">
        <v>493</v>
      </c>
      <c r="C128" s="770" t="s">
        <v>5</v>
      </c>
      <c r="D128" s="770" t="s">
        <v>494</v>
      </c>
      <c r="E128" s="770" t="s">
        <v>495</v>
      </c>
      <c r="F128" s="770" t="s">
        <v>514</v>
      </c>
      <c r="G128" s="770" t="s">
        <v>103</v>
      </c>
      <c r="H128" s="770">
        <v>2019.0</v>
      </c>
      <c r="I128" s="771">
        <v>78851.1003</v>
      </c>
      <c r="J128" s="771">
        <v>102514.9032</v>
      </c>
      <c r="K128" s="772">
        <v>61873.86065</v>
      </c>
      <c r="M128" s="769" t="s">
        <v>493</v>
      </c>
      <c r="N128" s="770" t="s">
        <v>5</v>
      </c>
      <c r="O128" s="770" t="s">
        <v>494</v>
      </c>
      <c r="P128" s="770" t="s">
        <v>495</v>
      </c>
      <c r="Q128" s="770" t="s">
        <v>514</v>
      </c>
      <c r="R128" s="770" t="s">
        <v>497</v>
      </c>
      <c r="S128" s="770">
        <v>2019.0</v>
      </c>
      <c r="T128" s="771">
        <v>1949.367922</v>
      </c>
      <c r="U128" s="771">
        <v>2534.387765</v>
      </c>
      <c r="V128" s="772">
        <v>1529.654231</v>
      </c>
      <c r="X128" s="769" t="s">
        <v>519</v>
      </c>
      <c r="Y128" s="770" t="s">
        <v>494</v>
      </c>
      <c r="Z128" s="770" t="s">
        <v>509</v>
      </c>
      <c r="AA128" s="770" t="s">
        <v>541</v>
      </c>
      <c r="AB128" s="770" t="s">
        <v>493</v>
      </c>
      <c r="AC128" s="770" t="s">
        <v>103</v>
      </c>
      <c r="AD128" s="770" t="s">
        <v>501</v>
      </c>
      <c r="AE128" s="779" t="s">
        <v>502</v>
      </c>
      <c r="AF128" s="771">
        <v>25.90486477</v>
      </c>
      <c r="AG128" s="771">
        <v>17.42258609</v>
      </c>
      <c r="AH128" s="771">
        <v>37.08974437</v>
      </c>
      <c r="AI128" s="772" t="s">
        <v>233</v>
      </c>
      <c r="AK128" s="769" t="s">
        <v>519</v>
      </c>
      <c r="AL128" s="770" t="s">
        <v>494</v>
      </c>
      <c r="AM128" s="770" t="s">
        <v>509</v>
      </c>
      <c r="AN128" s="770" t="s">
        <v>541</v>
      </c>
      <c r="AO128" s="770" t="s">
        <v>493</v>
      </c>
      <c r="AP128" s="770" t="s">
        <v>504</v>
      </c>
      <c r="AQ128" s="770" t="s">
        <v>501</v>
      </c>
      <c r="AR128" s="784" t="s">
        <v>502</v>
      </c>
      <c r="AS128" s="771">
        <v>2339.137037</v>
      </c>
      <c r="AT128" s="771">
        <v>1573.21093</v>
      </c>
      <c r="AU128" s="771">
        <v>3349.100469</v>
      </c>
      <c r="AV128" s="772" t="s">
        <v>233</v>
      </c>
      <c r="AW128" s="714"/>
    </row>
    <row r="129">
      <c r="A129" s="761"/>
      <c r="B129" s="769" t="s">
        <v>493</v>
      </c>
      <c r="C129" s="770" t="s">
        <v>5</v>
      </c>
      <c r="D129" s="770" t="s">
        <v>494</v>
      </c>
      <c r="E129" s="770" t="s">
        <v>505</v>
      </c>
      <c r="F129" s="770" t="s">
        <v>514</v>
      </c>
      <c r="G129" s="770" t="s">
        <v>103</v>
      </c>
      <c r="H129" s="770">
        <v>2019.0</v>
      </c>
      <c r="I129" s="771">
        <v>17929.3449</v>
      </c>
      <c r="J129" s="771">
        <v>22942.82335</v>
      </c>
      <c r="K129" s="772">
        <v>13893.50126</v>
      </c>
      <c r="M129" s="769" t="s">
        <v>493</v>
      </c>
      <c r="N129" s="770" t="s">
        <v>5</v>
      </c>
      <c r="O129" s="770" t="s">
        <v>494</v>
      </c>
      <c r="P129" s="770" t="s">
        <v>505</v>
      </c>
      <c r="Q129" s="770" t="s">
        <v>514</v>
      </c>
      <c r="R129" s="770" t="s">
        <v>497</v>
      </c>
      <c r="S129" s="770">
        <v>2019.0</v>
      </c>
      <c r="T129" s="771">
        <v>100480.2797</v>
      </c>
      <c r="U129" s="771">
        <v>128576.996</v>
      </c>
      <c r="V129" s="772">
        <v>77862.45961</v>
      </c>
      <c r="X129" s="769" t="s">
        <v>519</v>
      </c>
      <c r="Y129" s="770" t="s">
        <v>494</v>
      </c>
      <c r="Z129" s="770" t="s">
        <v>513</v>
      </c>
      <c r="AA129" s="770" t="s">
        <v>541</v>
      </c>
      <c r="AB129" s="770" t="s">
        <v>493</v>
      </c>
      <c r="AC129" s="770" t="s">
        <v>103</v>
      </c>
      <c r="AD129" s="770" t="s">
        <v>501</v>
      </c>
      <c r="AE129" s="779" t="s">
        <v>502</v>
      </c>
      <c r="AF129" s="771">
        <v>353.2813955</v>
      </c>
      <c r="AG129" s="771">
        <v>268.5326258</v>
      </c>
      <c r="AH129" s="771">
        <v>461.5117047</v>
      </c>
      <c r="AI129" s="772" t="s">
        <v>233</v>
      </c>
      <c r="AK129" s="769" t="s">
        <v>519</v>
      </c>
      <c r="AL129" s="770" t="s">
        <v>494</v>
      </c>
      <c r="AM129" s="770" t="s">
        <v>513</v>
      </c>
      <c r="AN129" s="770" t="s">
        <v>541</v>
      </c>
      <c r="AO129" s="770" t="s">
        <v>493</v>
      </c>
      <c r="AP129" s="770" t="s">
        <v>504</v>
      </c>
      <c r="AQ129" s="770" t="s">
        <v>501</v>
      </c>
      <c r="AR129" s="784" t="s">
        <v>502</v>
      </c>
      <c r="AS129" s="771">
        <v>352.5828736</v>
      </c>
      <c r="AT129" s="771">
        <v>268.0016725</v>
      </c>
      <c r="AU129" s="771">
        <v>460.5991855</v>
      </c>
      <c r="AV129" s="772" t="s">
        <v>233</v>
      </c>
      <c r="AW129" s="714"/>
    </row>
    <row r="130">
      <c r="A130" s="761"/>
      <c r="B130" s="769" t="s">
        <v>493</v>
      </c>
      <c r="C130" s="770" t="s">
        <v>5</v>
      </c>
      <c r="D130" s="770" t="s">
        <v>494</v>
      </c>
      <c r="E130" s="770" t="s">
        <v>508</v>
      </c>
      <c r="F130" s="770" t="s">
        <v>514</v>
      </c>
      <c r="G130" s="770" t="s">
        <v>103</v>
      </c>
      <c r="H130" s="770">
        <v>2019.0</v>
      </c>
      <c r="I130" s="771">
        <v>24032.13734</v>
      </c>
      <c r="J130" s="771">
        <v>31469.02563</v>
      </c>
      <c r="K130" s="772">
        <v>18573.86587</v>
      </c>
      <c r="M130" s="769" t="s">
        <v>493</v>
      </c>
      <c r="N130" s="770" t="s">
        <v>5</v>
      </c>
      <c r="O130" s="770" t="s">
        <v>494</v>
      </c>
      <c r="P130" s="770" t="s">
        <v>508</v>
      </c>
      <c r="Q130" s="770" t="s">
        <v>514</v>
      </c>
      <c r="R130" s="770" t="s">
        <v>497</v>
      </c>
      <c r="S130" s="770">
        <v>2019.0</v>
      </c>
      <c r="T130" s="771">
        <v>2950.161862</v>
      </c>
      <c r="U130" s="771">
        <v>3863.107053</v>
      </c>
      <c r="V130" s="772">
        <v>2280.109752</v>
      </c>
      <c r="X130" s="769" t="s">
        <v>521</v>
      </c>
      <c r="Y130" s="770" t="s">
        <v>494</v>
      </c>
      <c r="Z130" s="770" t="s">
        <v>499</v>
      </c>
      <c r="AA130" s="770" t="s">
        <v>541</v>
      </c>
      <c r="AB130" s="770" t="s">
        <v>493</v>
      </c>
      <c r="AC130" s="770" t="s">
        <v>103</v>
      </c>
      <c r="AD130" s="770" t="s">
        <v>501</v>
      </c>
      <c r="AE130" s="779" t="s">
        <v>502</v>
      </c>
      <c r="AF130" s="771">
        <v>0.0</v>
      </c>
      <c r="AG130" s="771">
        <v>0.0</v>
      </c>
      <c r="AH130" s="771">
        <v>0.0</v>
      </c>
      <c r="AI130" s="772" t="s">
        <v>233</v>
      </c>
      <c r="AK130" s="769" t="s">
        <v>521</v>
      </c>
      <c r="AL130" s="770" t="s">
        <v>494</v>
      </c>
      <c r="AM130" s="770" t="s">
        <v>499</v>
      </c>
      <c r="AN130" s="770" t="s">
        <v>541</v>
      </c>
      <c r="AO130" s="770" t="s">
        <v>493</v>
      </c>
      <c r="AP130" s="770" t="s">
        <v>504</v>
      </c>
      <c r="AQ130" s="770" t="s">
        <v>501</v>
      </c>
      <c r="AR130" s="784" t="s">
        <v>502</v>
      </c>
      <c r="AS130" s="771">
        <v>0.0</v>
      </c>
      <c r="AT130" s="771">
        <v>0.0</v>
      </c>
      <c r="AU130" s="771">
        <v>0.0</v>
      </c>
      <c r="AV130" s="772" t="s">
        <v>233</v>
      </c>
      <c r="AW130" s="714"/>
    </row>
    <row r="131">
      <c r="A131" s="761"/>
      <c r="B131" s="769" t="s">
        <v>493</v>
      </c>
      <c r="C131" s="770" t="s">
        <v>5</v>
      </c>
      <c r="D131" s="770" t="s">
        <v>494</v>
      </c>
      <c r="E131" s="770" t="s">
        <v>512</v>
      </c>
      <c r="F131" s="770" t="s">
        <v>514</v>
      </c>
      <c r="G131" s="770" t="s">
        <v>103</v>
      </c>
      <c r="H131" s="770">
        <v>2019.0</v>
      </c>
      <c r="I131" s="771">
        <v>5905.479894</v>
      </c>
      <c r="J131" s="771">
        <v>7630.05664</v>
      </c>
      <c r="K131" s="772">
        <v>4549.91912</v>
      </c>
      <c r="M131" s="769" t="s">
        <v>493</v>
      </c>
      <c r="N131" s="770" t="s">
        <v>5</v>
      </c>
      <c r="O131" s="770" t="s">
        <v>494</v>
      </c>
      <c r="P131" s="770" t="s">
        <v>512</v>
      </c>
      <c r="Q131" s="770" t="s">
        <v>514</v>
      </c>
      <c r="R131" s="770" t="s">
        <v>497</v>
      </c>
      <c r="S131" s="770">
        <v>2019.0</v>
      </c>
      <c r="T131" s="771">
        <v>11207.99125</v>
      </c>
      <c r="U131" s="771">
        <v>14481.05989</v>
      </c>
      <c r="V131" s="772">
        <v>8635.276824</v>
      </c>
      <c r="X131" s="769" t="s">
        <v>521</v>
      </c>
      <c r="Y131" s="770" t="s">
        <v>494</v>
      </c>
      <c r="Z131" s="770" t="s">
        <v>507</v>
      </c>
      <c r="AA131" s="770" t="s">
        <v>541</v>
      </c>
      <c r="AB131" s="770" t="s">
        <v>493</v>
      </c>
      <c r="AC131" s="770" t="s">
        <v>103</v>
      </c>
      <c r="AD131" s="770" t="s">
        <v>501</v>
      </c>
      <c r="AE131" s="779" t="s">
        <v>502</v>
      </c>
      <c r="AF131" s="771">
        <v>0.9525720536</v>
      </c>
      <c r="AG131" s="771">
        <v>0.2724294552</v>
      </c>
      <c r="AH131" s="771">
        <v>2.362480538</v>
      </c>
      <c r="AI131" s="772" t="s">
        <v>233</v>
      </c>
      <c r="AK131" s="769" t="s">
        <v>521</v>
      </c>
      <c r="AL131" s="770" t="s">
        <v>494</v>
      </c>
      <c r="AM131" s="770" t="s">
        <v>507</v>
      </c>
      <c r="AN131" s="770" t="s">
        <v>541</v>
      </c>
      <c r="AO131" s="770" t="s">
        <v>493</v>
      </c>
      <c r="AP131" s="770" t="s">
        <v>504</v>
      </c>
      <c r="AQ131" s="770" t="s">
        <v>501</v>
      </c>
      <c r="AR131" s="784" t="s">
        <v>502</v>
      </c>
      <c r="AS131" s="771">
        <v>5.202137368</v>
      </c>
      <c r="AT131" s="771">
        <v>1.487777689</v>
      </c>
      <c r="AU131" s="771">
        <v>12.90185686</v>
      </c>
      <c r="AV131" s="772" t="s">
        <v>233</v>
      </c>
      <c r="AW131" s="714"/>
    </row>
    <row r="132">
      <c r="A132" s="761"/>
      <c r="B132" s="769" t="s">
        <v>493</v>
      </c>
      <c r="C132" s="770" t="s">
        <v>5</v>
      </c>
      <c r="D132" s="770" t="s">
        <v>494</v>
      </c>
      <c r="E132" s="770" t="s">
        <v>495</v>
      </c>
      <c r="F132" s="770" t="s">
        <v>518</v>
      </c>
      <c r="G132" s="770" t="s">
        <v>103</v>
      </c>
      <c r="H132" s="770">
        <v>2019.0</v>
      </c>
      <c r="I132" s="771">
        <v>9151.731106</v>
      </c>
      <c r="J132" s="771">
        <v>14926.56803</v>
      </c>
      <c r="K132" s="772">
        <v>4901.255905</v>
      </c>
      <c r="M132" s="769" t="s">
        <v>493</v>
      </c>
      <c r="N132" s="770" t="s">
        <v>5</v>
      </c>
      <c r="O132" s="770" t="s">
        <v>494</v>
      </c>
      <c r="P132" s="770" t="s">
        <v>495</v>
      </c>
      <c r="Q132" s="770" t="s">
        <v>518</v>
      </c>
      <c r="R132" s="770" t="s">
        <v>497</v>
      </c>
      <c r="S132" s="770">
        <v>2019.0</v>
      </c>
      <c r="T132" s="771">
        <v>226.2503755</v>
      </c>
      <c r="U132" s="771">
        <v>369.0167012</v>
      </c>
      <c r="V132" s="772">
        <v>121.1695335</v>
      </c>
      <c r="X132" s="769" t="s">
        <v>521</v>
      </c>
      <c r="Y132" s="770" t="s">
        <v>494</v>
      </c>
      <c r="Z132" s="770" t="s">
        <v>509</v>
      </c>
      <c r="AA132" s="770" t="s">
        <v>541</v>
      </c>
      <c r="AB132" s="770" t="s">
        <v>493</v>
      </c>
      <c r="AC132" s="770" t="s">
        <v>103</v>
      </c>
      <c r="AD132" s="770" t="s">
        <v>501</v>
      </c>
      <c r="AE132" s="779" t="s">
        <v>502</v>
      </c>
      <c r="AF132" s="771">
        <v>0.0</v>
      </c>
      <c r="AG132" s="771">
        <v>0.0</v>
      </c>
      <c r="AH132" s="771">
        <v>0.0</v>
      </c>
      <c r="AI132" s="772" t="s">
        <v>233</v>
      </c>
      <c r="AK132" s="769" t="s">
        <v>521</v>
      </c>
      <c r="AL132" s="770" t="s">
        <v>494</v>
      </c>
      <c r="AM132" s="770" t="s">
        <v>509</v>
      </c>
      <c r="AN132" s="770" t="s">
        <v>541</v>
      </c>
      <c r="AO132" s="770" t="s">
        <v>493</v>
      </c>
      <c r="AP132" s="770" t="s">
        <v>504</v>
      </c>
      <c r="AQ132" s="770" t="s">
        <v>501</v>
      </c>
      <c r="AR132" s="784" t="s">
        <v>502</v>
      </c>
      <c r="AS132" s="771">
        <v>0.0</v>
      </c>
      <c r="AT132" s="771">
        <v>0.0</v>
      </c>
      <c r="AU132" s="771">
        <v>0.0</v>
      </c>
      <c r="AV132" s="772" t="s">
        <v>233</v>
      </c>
      <c r="AW132" s="714"/>
    </row>
    <row r="133">
      <c r="A133" s="761"/>
      <c r="B133" s="769" t="s">
        <v>493</v>
      </c>
      <c r="C133" s="770" t="s">
        <v>5</v>
      </c>
      <c r="D133" s="770" t="s">
        <v>494</v>
      </c>
      <c r="E133" s="770" t="s">
        <v>505</v>
      </c>
      <c r="F133" s="770" t="s">
        <v>518</v>
      </c>
      <c r="G133" s="770" t="s">
        <v>103</v>
      </c>
      <c r="H133" s="770">
        <v>2019.0</v>
      </c>
      <c r="I133" s="771">
        <v>138.9292767</v>
      </c>
      <c r="J133" s="771">
        <v>292.4878989</v>
      </c>
      <c r="K133" s="772">
        <v>57.38941727</v>
      </c>
      <c r="M133" s="769" t="s">
        <v>493</v>
      </c>
      <c r="N133" s="770" t="s">
        <v>5</v>
      </c>
      <c r="O133" s="770" t="s">
        <v>494</v>
      </c>
      <c r="P133" s="770" t="s">
        <v>505</v>
      </c>
      <c r="Q133" s="770" t="s">
        <v>518</v>
      </c>
      <c r="R133" s="770" t="s">
        <v>497</v>
      </c>
      <c r="S133" s="770">
        <v>2019.0</v>
      </c>
      <c r="T133" s="771">
        <v>778.5924504</v>
      </c>
      <c r="U133" s="771">
        <v>1639.171205</v>
      </c>
      <c r="V133" s="772">
        <v>321.6238369</v>
      </c>
      <c r="X133" s="769" t="s">
        <v>521</v>
      </c>
      <c r="Y133" s="770" t="s">
        <v>494</v>
      </c>
      <c r="Z133" s="770" t="s">
        <v>513</v>
      </c>
      <c r="AA133" s="770" t="s">
        <v>541</v>
      </c>
      <c r="AB133" s="770" t="s">
        <v>493</v>
      </c>
      <c r="AC133" s="770" t="s">
        <v>103</v>
      </c>
      <c r="AD133" s="770" t="s">
        <v>501</v>
      </c>
      <c r="AE133" s="779" t="s">
        <v>502</v>
      </c>
      <c r="AF133" s="771">
        <v>4.932655981</v>
      </c>
      <c r="AG133" s="771">
        <v>1.290005981</v>
      </c>
      <c r="AH133" s="771">
        <v>12.24000236</v>
      </c>
      <c r="AI133" s="772" t="s">
        <v>233</v>
      </c>
      <c r="AK133" s="769" t="s">
        <v>521</v>
      </c>
      <c r="AL133" s="770" t="s">
        <v>494</v>
      </c>
      <c r="AM133" s="770" t="s">
        <v>513</v>
      </c>
      <c r="AN133" s="770" t="s">
        <v>541</v>
      </c>
      <c r="AO133" s="770" t="s">
        <v>493</v>
      </c>
      <c r="AP133" s="770" t="s">
        <v>504</v>
      </c>
      <c r="AQ133" s="770" t="s">
        <v>501</v>
      </c>
      <c r="AR133" s="784" t="s">
        <v>502</v>
      </c>
      <c r="AS133" s="771">
        <v>4.922902939</v>
      </c>
      <c r="AT133" s="771">
        <v>1.28745533</v>
      </c>
      <c r="AU133" s="771">
        <v>12.21580094</v>
      </c>
      <c r="AV133" s="772" t="s">
        <v>233</v>
      </c>
      <c r="AW133" s="714"/>
    </row>
    <row r="134">
      <c r="A134" s="761"/>
      <c r="B134" s="769" t="s">
        <v>493</v>
      </c>
      <c r="C134" s="770" t="s">
        <v>5</v>
      </c>
      <c r="D134" s="770" t="s">
        <v>494</v>
      </c>
      <c r="E134" s="770" t="s">
        <v>508</v>
      </c>
      <c r="F134" s="770" t="s">
        <v>518</v>
      </c>
      <c r="G134" s="770" t="s">
        <v>103</v>
      </c>
      <c r="H134" s="770">
        <v>2019.0</v>
      </c>
      <c r="I134" s="771">
        <v>4166.392215</v>
      </c>
      <c r="J134" s="771">
        <v>7623.689633</v>
      </c>
      <c r="K134" s="772">
        <v>1796.694613</v>
      </c>
      <c r="M134" s="769" t="s">
        <v>493</v>
      </c>
      <c r="N134" s="770" t="s">
        <v>5</v>
      </c>
      <c r="O134" s="770" t="s">
        <v>494</v>
      </c>
      <c r="P134" s="770" t="s">
        <v>508</v>
      </c>
      <c r="Q134" s="770" t="s">
        <v>518</v>
      </c>
      <c r="R134" s="770" t="s">
        <v>497</v>
      </c>
      <c r="S134" s="770">
        <v>2019.0</v>
      </c>
      <c r="T134" s="771">
        <v>511.4622659</v>
      </c>
      <c r="U134" s="771">
        <v>935.8767424</v>
      </c>
      <c r="V134" s="772">
        <v>220.5604874</v>
      </c>
      <c r="X134" s="769" t="s">
        <v>523</v>
      </c>
      <c r="Y134" s="770" t="s">
        <v>494</v>
      </c>
      <c r="Z134" s="770" t="s">
        <v>507</v>
      </c>
      <c r="AA134" s="770" t="s">
        <v>541</v>
      </c>
      <c r="AB134" s="770" t="s">
        <v>493</v>
      </c>
      <c r="AC134" s="770" t="s">
        <v>103</v>
      </c>
      <c r="AD134" s="770" t="s">
        <v>501</v>
      </c>
      <c r="AE134" s="779" t="s">
        <v>502</v>
      </c>
      <c r="AF134" s="771">
        <v>2.871548264</v>
      </c>
      <c r="AG134" s="771">
        <v>1.298631452</v>
      </c>
      <c r="AH134" s="771">
        <v>5.156480422</v>
      </c>
      <c r="AI134" s="772" t="s">
        <v>233</v>
      </c>
      <c r="AK134" s="769" t="s">
        <v>523</v>
      </c>
      <c r="AL134" s="770" t="s">
        <v>494</v>
      </c>
      <c r="AM134" s="770" t="s">
        <v>507</v>
      </c>
      <c r="AN134" s="770" t="s">
        <v>541</v>
      </c>
      <c r="AO134" s="770" t="s">
        <v>493</v>
      </c>
      <c r="AP134" s="770" t="s">
        <v>504</v>
      </c>
      <c r="AQ134" s="770" t="s">
        <v>501</v>
      </c>
      <c r="AR134" s="784" t="s">
        <v>502</v>
      </c>
      <c r="AS134" s="771">
        <v>15.68195127</v>
      </c>
      <c r="AT134" s="771">
        <v>7.092019103</v>
      </c>
      <c r="AU134" s="771">
        <v>28.16030492</v>
      </c>
      <c r="AV134" s="772" t="s">
        <v>233</v>
      </c>
      <c r="AW134" s="714"/>
    </row>
    <row r="135">
      <c r="A135" s="761"/>
      <c r="B135" s="769" t="s">
        <v>493</v>
      </c>
      <c r="C135" s="770" t="s">
        <v>5</v>
      </c>
      <c r="D135" s="770" t="s">
        <v>494</v>
      </c>
      <c r="E135" s="770" t="s">
        <v>512</v>
      </c>
      <c r="F135" s="770" t="s">
        <v>518</v>
      </c>
      <c r="G135" s="770" t="s">
        <v>103</v>
      </c>
      <c r="H135" s="770">
        <v>2019.0</v>
      </c>
      <c r="I135" s="771">
        <v>420.1399361</v>
      </c>
      <c r="J135" s="771">
        <v>930.0171867</v>
      </c>
      <c r="K135" s="772">
        <v>153.9356272</v>
      </c>
      <c r="M135" s="769" t="s">
        <v>493</v>
      </c>
      <c r="N135" s="770" t="s">
        <v>5</v>
      </c>
      <c r="O135" s="770" t="s">
        <v>494</v>
      </c>
      <c r="P135" s="770" t="s">
        <v>512</v>
      </c>
      <c r="Q135" s="770" t="s">
        <v>518</v>
      </c>
      <c r="R135" s="770" t="s">
        <v>497</v>
      </c>
      <c r="S135" s="770">
        <v>2019.0</v>
      </c>
      <c r="T135" s="771">
        <v>797.3822297</v>
      </c>
      <c r="U135" s="771">
        <v>1765.076619</v>
      </c>
      <c r="V135" s="772">
        <v>292.1539305</v>
      </c>
      <c r="X135" s="769" t="s">
        <v>523</v>
      </c>
      <c r="Y135" s="770" t="s">
        <v>494</v>
      </c>
      <c r="Z135" s="770" t="s">
        <v>513</v>
      </c>
      <c r="AA135" s="770" t="s">
        <v>541</v>
      </c>
      <c r="AB135" s="770" t="s">
        <v>493</v>
      </c>
      <c r="AC135" s="770" t="s">
        <v>103</v>
      </c>
      <c r="AD135" s="770" t="s">
        <v>501</v>
      </c>
      <c r="AE135" s="779" t="s">
        <v>502</v>
      </c>
      <c r="AF135" s="771">
        <v>5.305778912</v>
      </c>
      <c r="AG135" s="771">
        <v>2.518672655</v>
      </c>
      <c r="AH135" s="771">
        <v>9.094905431</v>
      </c>
      <c r="AI135" s="772" t="s">
        <v>233</v>
      </c>
      <c r="AK135" s="769" t="s">
        <v>523</v>
      </c>
      <c r="AL135" s="770" t="s">
        <v>494</v>
      </c>
      <c r="AM135" s="770" t="s">
        <v>513</v>
      </c>
      <c r="AN135" s="770" t="s">
        <v>541</v>
      </c>
      <c r="AO135" s="770" t="s">
        <v>493</v>
      </c>
      <c r="AP135" s="770" t="s">
        <v>504</v>
      </c>
      <c r="AQ135" s="770" t="s">
        <v>501</v>
      </c>
      <c r="AR135" s="784" t="s">
        <v>502</v>
      </c>
      <c r="AS135" s="771">
        <v>5.295288116</v>
      </c>
      <c r="AT135" s="771">
        <v>2.513692636</v>
      </c>
      <c r="AU135" s="771">
        <v>9.076922625</v>
      </c>
      <c r="AV135" s="772" t="s">
        <v>233</v>
      </c>
      <c r="AW135" s="714"/>
    </row>
    <row r="136">
      <c r="A136" s="761"/>
      <c r="B136" s="769" t="s">
        <v>493</v>
      </c>
      <c r="C136" s="770" t="s">
        <v>5</v>
      </c>
      <c r="D136" s="770" t="s">
        <v>494</v>
      </c>
      <c r="E136" s="770" t="s">
        <v>495</v>
      </c>
      <c r="F136" s="770" t="s">
        <v>519</v>
      </c>
      <c r="G136" s="770" t="s">
        <v>103</v>
      </c>
      <c r="H136" s="770">
        <v>2019.0</v>
      </c>
      <c r="I136" s="771">
        <v>19280.88532</v>
      </c>
      <c r="J136" s="771">
        <v>24804.75201</v>
      </c>
      <c r="K136" s="772">
        <v>14849.38155</v>
      </c>
      <c r="M136" s="769" t="s">
        <v>493</v>
      </c>
      <c r="N136" s="770" t="s">
        <v>5</v>
      </c>
      <c r="O136" s="770" t="s">
        <v>494</v>
      </c>
      <c r="P136" s="770" t="s">
        <v>495</v>
      </c>
      <c r="Q136" s="770" t="s">
        <v>519</v>
      </c>
      <c r="R136" s="770" t="s">
        <v>497</v>
      </c>
      <c r="S136" s="770">
        <v>2019.0</v>
      </c>
      <c r="T136" s="771">
        <v>476.6647419</v>
      </c>
      <c r="U136" s="771">
        <v>613.2265462</v>
      </c>
      <c r="V136" s="772">
        <v>367.1084863</v>
      </c>
      <c r="X136" s="769" t="s">
        <v>496</v>
      </c>
      <c r="Y136" s="770" t="s">
        <v>494</v>
      </c>
      <c r="Z136" s="770" t="s">
        <v>499</v>
      </c>
      <c r="AA136" s="770" t="s">
        <v>31</v>
      </c>
      <c r="AB136" s="770" t="s">
        <v>493</v>
      </c>
      <c r="AC136" s="770" t="s">
        <v>103</v>
      </c>
      <c r="AD136" s="770" t="s">
        <v>501</v>
      </c>
      <c r="AE136" s="779" t="s">
        <v>502</v>
      </c>
      <c r="AF136" s="771">
        <v>9008.117154</v>
      </c>
      <c r="AG136" s="771">
        <v>7057.947799</v>
      </c>
      <c r="AH136" s="771">
        <v>11582.57863</v>
      </c>
      <c r="AI136" s="772" t="s">
        <v>233</v>
      </c>
      <c r="AK136" s="769" t="s">
        <v>496</v>
      </c>
      <c r="AL136" s="770" t="s">
        <v>494</v>
      </c>
      <c r="AM136" s="770" t="s">
        <v>499</v>
      </c>
      <c r="AN136" s="770" t="s">
        <v>31</v>
      </c>
      <c r="AO136" s="770" t="s">
        <v>493</v>
      </c>
      <c r="AP136" s="770" t="s">
        <v>504</v>
      </c>
      <c r="AQ136" s="770" t="s">
        <v>501</v>
      </c>
      <c r="AR136" s="784" t="s">
        <v>502</v>
      </c>
      <c r="AS136" s="771">
        <v>140367.359</v>
      </c>
      <c r="AT136" s="771">
        <v>109979.1972</v>
      </c>
      <c r="AU136" s="771">
        <v>180483.4401</v>
      </c>
      <c r="AV136" s="772" t="s">
        <v>233</v>
      </c>
      <c r="AW136" s="714"/>
    </row>
    <row r="137">
      <c r="A137" s="761"/>
      <c r="B137" s="769" t="s">
        <v>493</v>
      </c>
      <c r="C137" s="770" t="s">
        <v>5</v>
      </c>
      <c r="D137" s="770" t="s">
        <v>494</v>
      </c>
      <c r="E137" s="770" t="s">
        <v>505</v>
      </c>
      <c r="F137" s="770" t="s">
        <v>519</v>
      </c>
      <c r="G137" s="770" t="s">
        <v>103</v>
      </c>
      <c r="H137" s="770">
        <v>2019.0</v>
      </c>
      <c r="I137" s="771">
        <v>15502.6788</v>
      </c>
      <c r="J137" s="771">
        <v>19972.23408</v>
      </c>
      <c r="K137" s="772">
        <v>11871.44914</v>
      </c>
      <c r="M137" s="769" t="s">
        <v>493</v>
      </c>
      <c r="N137" s="770" t="s">
        <v>5</v>
      </c>
      <c r="O137" s="770" t="s">
        <v>494</v>
      </c>
      <c r="P137" s="770" t="s">
        <v>505</v>
      </c>
      <c r="Q137" s="770" t="s">
        <v>519</v>
      </c>
      <c r="R137" s="770" t="s">
        <v>497</v>
      </c>
      <c r="S137" s="770">
        <v>2019.0</v>
      </c>
      <c r="T137" s="771">
        <v>86880.67027</v>
      </c>
      <c r="U137" s="771">
        <v>111929.1128</v>
      </c>
      <c r="V137" s="772">
        <v>66530.40236</v>
      </c>
      <c r="X137" s="769" t="s">
        <v>496</v>
      </c>
      <c r="Y137" s="770" t="s">
        <v>494</v>
      </c>
      <c r="Z137" s="770" t="s">
        <v>507</v>
      </c>
      <c r="AA137" s="770" t="s">
        <v>31</v>
      </c>
      <c r="AB137" s="770" t="s">
        <v>493</v>
      </c>
      <c r="AC137" s="770" t="s">
        <v>103</v>
      </c>
      <c r="AD137" s="770" t="s">
        <v>501</v>
      </c>
      <c r="AE137" s="779" t="s">
        <v>502</v>
      </c>
      <c r="AF137" s="771">
        <v>7596.611931</v>
      </c>
      <c r="AG137" s="771">
        <v>5928.691013</v>
      </c>
      <c r="AH137" s="771">
        <v>9793.858102</v>
      </c>
      <c r="AI137" s="772" t="s">
        <v>233</v>
      </c>
      <c r="AK137" s="769" t="s">
        <v>496</v>
      </c>
      <c r="AL137" s="770" t="s">
        <v>494</v>
      </c>
      <c r="AM137" s="770" t="s">
        <v>507</v>
      </c>
      <c r="AN137" s="770" t="s">
        <v>31</v>
      </c>
      <c r="AO137" s="770" t="s">
        <v>493</v>
      </c>
      <c r="AP137" s="770" t="s">
        <v>504</v>
      </c>
      <c r="AQ137" s="770" t="s">
        <v>501</v>
      </c>
      <c r="AR137" s="784" t="s">
        <v>502</v>
      </c>
      <c r="AS137" s="771">
        <v>2581.899327</v>
      </c>
      <c r="AT137" s="771">
        <v>2015.014519</v>
      </c>
      <c r="AU137" s="771">
        <v>3328.688615</v>
      </c>
      <c r="AV137" s="772" t="s">
        <v>233</v>
      </c>
      <c r="AW137" s="714"/>
    </row>
    <row r="138">
      <c r="A138" s="761"/>
      <c r="B138" s="769" t="s">
        <v>493</v>
      </c>
      <c r="C138" s="770" t="s">
        <v>5</v>
      </c>
      <c r="D138" s="770" t="s">
        <v>494</v>
      </c>
      <c r="E138" s="770" t="s">
        <v>508</v>
      </c>
      <c r="F138" s="770" t="s">
        <v>519</v>
      </c>
      <c r="G138" s="770" t="s">
        <v>103</v>
      </c>
      <c r="H138" s="770">
        <v>2019.0</v>
      </c>
      <c r="I138" s="771">
        <v>795.514825</v>
      </c>
      <c r="J138" s="771">
        <v>1292.305574</v>
      </c>
      <c r="K138" s="772">
        <v>457.1280886</v>
      </c>
      <c r="M138" s="769" t="s">
        <v>493</v>
      </c>
      <c r="N138" s="770" t="s">
        <v>5</v>
      </c>
      <c r="O138" s="770" t="s">
        <v>494</v>
      </c>
      <c r="P138" s="770" t="s">
        <v>508</v>
      </c>
      <c r="Q138" s="770" t="s">
        <v>519</v>
      </c>
      <c r="R138" s="770" t="s">
        <v>497</v>
      </c>
      <c r="S138" s="770">
        <v>2019.0</v>
      </c>
      <c r="T138" s="771">
        <v>97.65662807</v>
      </c>
      <c r="U138" s="771">
        <v>158.6421784</v>
      </c>
      <c r="V138" s="772">
        <v>56.11660063</v>
      </c>
      <c r="X138" s="769" t="s">
        <v>496</v>
      </c>
      <c r="Y138" s="770" t="s">
        <v>494</v>
      </c>
      <c r="Z138" s="770" t="s">
        <v>509</v>
      </c>
      <c r="AA138" s="770" t="s">
        <v>31</v>
      </c>
      <c r="AB138" s="770" t="s">
        <v>493</v>
      </c>
      <c r="AC138" s="770" t="s">
        <v>103</v>
      </c>
      <c r="AD138" s="770" t="s">
        <v>501</v>
      </c>
      <c r="AE138" s="779" t="s">
        <v>502</v>
      </c>
      <c r="AF138" s="771">
        <v>1900.406123</v>
      </c>
      <c r="AG138" s="771">
        <v>1481.610787</v>
      </c>
      <c r="AH138" s="771">
        <v>2457.843329</v>
      </c>
      <c r="AI138" s="772" t="s">
        <v>233</v>
      </c>
      <c r="AK138" s="769" t="s">
        <v>496</v>
      </c>
      <c r="AL138" s="770" t="s">
        <v>494</v>
      </c>
      <c r="AM138" s="770" t="s">
        <v>509</v>
      </c>
      <c r="AN138" s="770" t="s">
        <v>31</v>
      </c>
      <c r="AO138" s="770" t="s">
        <v>493</v>
      </c>
      <c r="AP138" s="770" t="s">
        <v>504</v>
      </c>
      <c r="AQ138" s="770" t="s">
        <v>501</v>
      </c>
      <c r="AR138" s="784" t="s">
        <v>502</v>
      </c>
      <c r="AS138" s="771">
        <v>10049.12414</v>
      </c>
      <c r="AT138" s="771">
        <v>7834.583647</v>
      </c>
      <c r="AU138" s="771">
        <v>12996.78655</v>
      </c>
      <c r="AV138" s="772" t="s">
        <v>233</v>
      </c>
      <c r="AW138" s="714"/>
    </row>
    <row r="139">
      <c r="A139" s="761"/>
      <c r="B139" s="769" t="s">
        <v>493</v>
      </c>
      <c r="C139" s="770" t="s">
        <v>5</v>
      </c>
      <c r="D139" s="770" t="s">
        <v>494</v>
      </c>
      <c r="E139" s="770" t="s">
        <v>512</v>
      </c>
      <c r="F139" s="770" t="s">
        <v>519</v>
      </c>
      <c r="G139" s="770" t="s">
        <v>103</v>
      </c>
      <c r="H139" s="770">
        <v>2019.0</v>
      </c>
      <c r="I139" s="771">
        <v>2871.548327</v>
      </c>
      <c r="J139" s="771">
        <v>4201.624018</v>
      </c>
      <c r="K139" s="772">
        <v>1792.182101</v>
      </c>
      <c r="M139" s="769" t="s">
        <v>493</v>
      </c>
      <c r="N139" s="770" t="s">
        <v>5</v>
      </c>
      <c r="O139" s="770" t="s">
        <v>494</v>
      </c>
      <c r="P139" s="770" t="s">
        <v>512</v>
      </c>
      <c r="Q139" s="770" t="s">
        <v>519</v>
      </c>
      <c r="R139" s="770" t="s">
        <v>497</v>
      </c>
      <c r="S139" s="770">
        <v>2019.0</v>
      </c>
      <c r="T139" s="771">
        <v>5449.902308</v>
      </c>
      <c r="U139" s="771">
        <v>7974.248673</v>
      </c>
      <c r="V139" s="772">
        <v>3401.37663</v>
      </c>
      <c r="X139" s="769" t="s">
        <v>496</v>
      </c>
      <c r="Y139" s="770" t="s">
        <v>494</v>
      </c>
      <c r="Z139" s="770" t="s">
        <v>513</v>
      </c>
      <c r="AA139" s="770" t="s">
        <v>31</v>
      </c>
      <c r="AB139" s="770" t="s">
        <v>493</v>
      </c>
      <c r="AC139" s="770" t="s">
        <v>103</v>
      </c>
      <c r="AD139" s="770" t="s">
        <v>501</v>
      </c>
      <c r="AE139" s="779" t="s">
        <v>502</v>
      </c>
      <c r="AF139" s="771">
        <v>26884.78566</v>
      </c>
      <c r="AG139" s="771">
        <v>20988.56183</v>
      </c>
      <c r="AH139" s="771">
        <v>34554.49035</v>
      </c>
      <c r="AI139" s="772" t="s">
        <v>233</v>
      </c>
      <c r="AK139" s="769" t="s">
        <v>496</v>
      </c>
      <c r="AL139" s="770" t="s">
        <v>494</v>
      </c>
      <c r="AM139" s="770" t="s">
        <v>513</v>
      </c>
      <c r="AN139" s="770" t="s">
        <v>31</v>
      </c>
      <c r="AO139" s="770" t="s">
        <v>493</v>
      </c>
      <c r="AP139" s="770" t="s">
        <v>504</v>
      </c>
      <c r="AQ139" s="770" t="s">
        <v>501</v>
      </c>
      <c r="AR139" s="784" t="s">
        <v>502</v>
      </c>
      <c r="AS139" s="771">
        <v>1771.778908</v>
      </c>
      <c r="AT139" s="771">
        <v>1383.202069</v>
      </c>
      <c r="AU139" s="771">
        <v>2277.232854</v>
      </c>
      <c r="AV139" s="772" t="s">
        <v>233</v>
      </c>
      <c r="AW139" s="714"/>
    </row>
    <row r="140">
      <c r="A140" s="761"/>
      <c r="B140" s="769" t="s">
        <v>493</v>
      </c>
      <c r="C140" s="770" t="s">
        <v>5</v>
      </c>
      <c r="D140" s="770" t="s">
        <v>494</v>
      </c>
      <c r="E140" s="770" t="s">
        <v>495</v>
      </c>
      <c r="F140" s="770" t="s">
        <v>521</v>
      </c>
      <c r="G140" s="770" t="s">
        <v>103</v>
      </c>
      <c r="H140" s="770">
        <v>2019.0</v>
      </c>
      <c r="I140" s="771">
        <v>2083.452176</v>
      </c>
      <c r="J140" s="771">
        <v>5291.773645</v>
      </c>
      <c r="K140" s="772">
        <v>625.5439111</v>
      </c>
      <c r="M140" s="769" t="s">
        <v>493</v>
      </c>
      <c r="N140" s="770" t="s">
        <v>5</v>
      </c>
      <c r="O140" s="770" t="s">
        <v>494</v>
      </c>
      <c r="P140" s="770" t="s">
        <v>495</v>
      </c>
      <c r="Q140" s="770" t="s">
        <v>521</v>
      </c>
      <c r="R140" s="770" t="s">
        <v>497</v>
      </c>
      <c r="S140" s="770">
        <v>2019.0</v>
      </c>
      <c r="T140" s="771">
        <v>51.50739591</v>
      </c>
      <c r="U140" s="771">
        <v>130.8239677</v>
      </c>
      <c r="V140" s="772">
        <v>15.464784</v>
      </c>
      <c r="X140" s="769" t="s">
        <v>514</v>
      </c>
      <c r="Y140" s="770" t="s">
        <v>494</v>
      </c>
      <c r="Z140" s="770" t="s">
        <v>499</v>
      </c>
      <c r="AA140" s="770" t="s">
        <v>31</v>
      </c>
      <c r="AB140" s="770" t="s">
        <v>493</v>
      </c>
      <c r="AC140" s="770" t="s">
        <v>103</v>
      </c>
      <c r="AD140" s="770" t="s">
        <v>501</v>
      </c>
      <c r="AE140" s="779" t="s">
        <v>502</v>
      </c>
      <c r="AF140" s="771">
        <v>8320.314551</v>
      </c>
      <c r="AG140" s="771">
        <v>6355.961175</v>
      </c>
      <c r="AH140" s="771">
        <v>10679.8615</v>
      </c>
      <c r="AI140" s="772" t="s">
        <v>233</v>
      </c>
      <c r="AK140" s="769" t="s">
        <v>514</v>
      </c>
      <c r="AL140" s="770" t="s">
        <v>494</v>
      </c>
      <c r="AM140" s="770" t="s">
        <v>499</v>
      </c>
      <c r="AN140" s="770" t="s">
        <v>31</v>
      </c>
      <c r="AO140" s="770" t="s">
        <v>493</v>
      </c>
      <c r="AP140" s="770" t="s">
        <v>504</v>
      </c>
      <c r="AQ140" s="770" t="s">
        <v>501</v>
      </c>
      <c r="AR140" s="784" t="s">
        <v>502</v>
      </c>
      <c r="AS140" s="771">
        <v>129649.7992</v>
      </c>
      <c r="AT140" s="771">
        <v>99040.61737</v>
      </c>
      <c r="AU140" s="771">
        <v>166417.0134</v>
      </c>
      <c r="AV140" s="772" t="s">
        <v>233</v>
      </c>
      <c r="AW140" s="714"/>
    </row>
    <row r="141">
      <c r="A141" s="761"/>
      <c r="B141" s="769" t="s">
        <v>493</v>
      </c>
      <c r="C141" s="770" t="s">
        <v>5</v>
      </c>
      <c r="D141" s="770" t="s">
        <v>494</v>
      </c>
      <c r="E141" s="770" t="s">
        <v>505</v>
      </c>
      <c r="F141" s="770" t="s">
        <v>521</v>
      </c>
      <c r="G141" s="770" t="s">
        <v>103</v>
      </c>
      <c r="H141" s="770">
        <v>2019.0</v>
      </c>
      <c r="I141" s="771">
        <v>0.0</v>
      </c>
      <c r="J141" s="771">
        <v>0.0</v>
      </c>
      <c r="K141" s="772">
        <v>0.0</v>
      </c>
      <c r="M141" s="769" t="s">
        <v>493</v>
      </c>
      <c r="N141" s="770" t="s">
        <v>5</v>
      </c>
      <c r="O141" s="770" t="s">
        <v>494</v>
      </c>
      <c r="P141" s="770" t="s">
        <v>505</v>
      </c>
      <c r="Q141" s="770" t="s">
        <v>521</v>
      </c>
      <c r="R141" s="770" t="s">
        <v>497</v>
      </c>
      <c r="S141" s="770">
        <v>2019.0</v>
      </c>
      <c r="T141" s="771">
        <v>0.0</v>
      </c>
      <c r="U141" s="771">
        <v>0.0</v>
      </c>
      <c r="V141" s="772">
        <v>0.0</v>
      </c>
      <c r="X141" s="769" t="s">
        <v>514</v>
      </c>
      <c r="Y141" s="770" t="s">
        <v>494</v>
      </c>
      <c r="Z141" s="770" t="s">
        <v>507</v>
      </c>
      <c r="AA141" s="770" t="s">
        <v>31</v>
      </c>
      <c r="AB141" s="770" t="s">
        <v>493</v>
      </c>
      <c r="AC141" s="770" t="s">
        <v>103</v>
      </c>
      <c r="AD141" s="770" t="s">
        <v>501</v>
      </c>
      <c r="AE141" s="779" t="s">
        <v>502</v>
      </c>
      <c r="AF141" s="771">
        <v>6376.165976</v>
      </c>
      <c r="AG141" s="771">
        <v>4861.570639</v>
      </c>
      <c r="AH141" s="771">
        <v>8364.499172</v>
      </c>
      <c r="AI141" s="772" t="s">
        <v>233</v>
      </c>
      <c r="AK141" s="769" t="s">
        <v>514</v>
      </c>
      <c r="AL141" s="770" t="s">
        <v>494</v>
      </c>
      <c r="AM141" s="770" t="s">
        <v>507</v>
      </c>
      <c r="AN141" s="770" t="s">
        <v>31</v>
      </c>
      <c r="AO141" s="770" t="s">
        <v>493</v>
      </c>
      <c r="AP141" s="770" t="s">
        <v>504</v>
      </c>
      <c r="AQ141" s="770" t="s">
        <v>501</v>
      </c>
      <c r="AR141" s="784" t="s">
        <v>502</v>
      </c>
      <c r="AS141" s="771">
        <v>2167.100122</v>
      </c>
      <c r="AT141" s="771">
        <v>1652.326863</v>
      </c>
      <c r="AU141" s="771">
        <v>2842.885089</v>
      </c>
      <c r="AV141" s="772" t="s">
        <v>233</v>
      </c>
      <c r="AW141" s="714"/>
    </row>
    <row r="142">
      <c r="A142" s="761"/>
      <c r="B142" s="769" t="s">
        <v>493</v>
      </c>
      <c r="C142" s="770" t="s">
        <v>5</v>
      </c>
      <c r="D142" s="770" t="s">
        <v>494</v>
      </c>
      <c r="E142" s="770" t="s">
        <v>508</v>
      </c>
      <c r="F142" s="770" t="s">
        <v>521</v>
      </c>
      <c r="G142" s="770" t="s">
        <v>103</v>
      </c>
      <c r="H142" s="770">
        <v>2019.0</v>
      </c>
      <c r="I142" s="771">
        <v>615.9703476</v>
      </c>
      <c r="J142" s="771">
        <v>1588.944497</v>
      </c>
      <c r="K142" s="772">
        <v>183.8021175</v>
      </c>
      <c r="M142" s="769" t="s">
        <v>493</v>
      </c>
      <c r="N142" s="770" t="s">
        <v>5</v>
      </c>
      <c r="O142" s="770" t="s">
        <v>494</v>
      </c>
      <c r="P142" s="770" t="s">
        <v>508</v>
      </c>
      <c r="Q142" s="770" t="s">
        <v>521</v>
      </c>
      <c r="R142" s="770" t="s">
        <v>497</v>
      </c>
      <c r="S142" s="770">
        <v>2019.0</v>
      </c>
      <c r="T142" s="771">
        <v>75.61592222</v>
      </c>
      <c r="U142" s="771">
        <v>195.0572848</v>
      </c>
      <c r="V142" s="772">
        <v>22.56336961</v>
      </c>
      <c r="X142" s="769" t="s">
        <v>514</v>
      </c>
      <c r="Y142" s="770" t="s">
        <v>494</v>
      </c>
      <c r="Z142" s="770" t="s">
        <v>509</v>
      </c>
      <c r="AA142" s="770" t="s">
        <v>31</v>
      </c>
      <c r="AB142" s="770" t="s">
        <v>493</v>
      </c>
      <c r="AC142" s="770" t="s">
        <v>103</v>
      </c>
      <c r="AD142" s="770" t="s">
        <v>501</v>
      </c>
      <c r="AE142" s="779" t="s">
        <v>502</v>
      </c>
      <c r="AF142" s="771">
        <v>1672.997698</v>
      </c>
      <c r="AG142" s="771">
        <v>1290.626045</v>
      </c>
      <c r="AH142" s="771">
        <v>2160.285988</v>
      </c>
      <c r="AI142" s="772" t="s">
        <v>233</v>
      </c>
      <c r="AK142" s="769" t="s">
        <v>514</v>
      </c>
      <c r="AL142" s="770" t="s">
        <v>494</v>
      </c>
      <c r="AM142" s="770" t="s">
        <v>509</v>
      </c>
      <c r="AN142" s="770" t="s">
        <v>31</v>
      </c>
      <c r="AO142" s="770" t="s">
        <v>493</v>
      </c>
      <c r="AP142" s="770" t="s">
        <v>504</v>
      </c>
      <c r="AQ142" s="770" t="s">
        <v>501</v>
      </c>
      <c r="AR142" s="784" t="s">
        <v>502</v>
      </c>
      <c r="AS142" s="771">
        <v>8846.615131</v>
      </c>
      <c r="AT142" s="771">
        <v>6824.678782</v>
      </c>
      <c r="AU142" s="771">
        <v>11423.33832</v>
      </c>
      <c r="AV142" s="772" t="s">
        <v>233</v>
      </c>
      <c r="AW142" s="714"/>
    </row>
    <row r="143">
      <c r="A143" s="761"/>
      <c r="B143" s="769" t="s">
        <v>493</v>
      </c>
      <c r="C143" s="770" t="s">
        <v>5</v>
      </c>
      <c r="D143" s="770" t="s">
        <v>494</v>
      </c>
      <c r="E143" s="770" t="s">
        <v>512</v>
      </c>
      <c r="F143" s="770" t="s">
        <v>521</v>
      </c>
      <c r="G143" s="770" t="s">
        <v>103</v>
      </c>
      <c r="H143" s="770">
        <v>2019.0</v>
      </c>
      <c r="I143" s="771">
        <v>0.0</v>
      </c>
      <c r="J143" s="771">
        <v>0.0</v>
      </c>
      <c r="K143" s="772">
        <v>0.0</v>
      </c>
      <c r="M143" s="769" t="s">
        <v>493</v>
      </c>
      <c r="N143" s="770" t="s">
        <v>5</v>
      </c>
      <c r="O143" s="770" t="s">
        <v>494</v>
      </c>
      <c r="P143" s="770" t="s">
        <v>512</v>
      </c>
      <c r="Q143" s="770" t="s">
        <v>521</v>
      </c>
      <c r="R143" s="770" t="s">
        <v>497</v>
      </c>
      <c r="S143" s="770">
        <v>2019.0</v>
      </c>
      <c r="T143" s="771">
        <v>0.0</v>
      </c>
      <c r="U143" s="771">
        <v>0.0</v>
      </c>
      <c r="V143" s="772">
        <v>0.0</v>
      </c>
      <c r="X143" s="769" t="s">
        <v>514</v>
      </c>
      <c r="Y143" s="770" t="s">
        <v>494</v>
      </c>
      <c r="Z143" s="770" t="s">
        <v>513</v>
      </c>
      <c r="AA143" s="770" t="s">
        <v>31</v>
      </c>
      <c r="AB143" s="770" t="s">
        <v>493</v>
      </c>
      <c r="AC143" s="770" t="s">
        <v>103</v>
      </c>
      <c r="AD143" s="770" t="s">
        <v>501</v>
      </c>
      <c r="AE143" s="779" t="s">
        <v>502</v>
      </c>
      <c r="AF143" s="771">
        <v>23702.07949</v>
      </c>
      <c r="AG143" s="771">
        <v>18197.00523</v>
      </c>
      <c r="AH143" s="771">
        <v>30690.13666</v>
      </c>
      <c r="AI143" s="772" t="s">
        <v>233</v>
      </c>
      <c r="AK143" s="769" t="s">
        <v>514</v>
      </c>
      <c r="AL143" s="770" t="s">
        <v>494</v>
      </c>
      <c r="AM143" s="770" t="s">
        <v>513</v>
      </c>
      <c r="AN143" s="770" t="s">
        <v>31</v>
      </c>
      <c r="AO143" s="770" t="s">
        <v>493</v>
      </c>
      <c r="AP143" s="770" t="s">
        <v>504</v>
      </c>
      <c r="AQ143" s="770" t="s">
        <v>501</v>
      </c>
      <c r="AR143" s="784" t="s">
        <v>502</v>
      </c>
      <c r="AS143" s="771">
        <v>1562.030103</v>
      </c>
      <c r="AT143" s="771">
        <v>1199.231062</v>
      </c>
      <c r="AU143" s="771">
        <v>2022.561664</v>
      </c>
      <c r="AV143" s="772" t="s">
        <v>233</v>
      </c>
      <c r="AW143" s="714"/>
    </row>
    <row r="144">
      <c r="A144" s="761"/>
      <c r="B144" s="769" t="s">
        <v>493</v>
      </c>
      <c r="C144" s="770" t="s">
        <v>5</v>
      </c>
      <c r="D144" s="770" t="s">
        <v>494</v>
      </c>
      <c r="E144" s="770" t="s">
        <v>495</v>
      </c>
      <c r="F144" s="770" t="s">
        <v>523</v>
      </c>
      <c r="G144" s="770" t="s">
        <v>103</v>
      </c>
      <c r="H144" s="770">
        <v>2019.0</v>
      </c>
      <c r="I144" s="771">
        <v>3240.766172</v>
      </c>
      <c r="J144" s="771">
        <v>5702.378665</v>
      </c>
      <c r="K144" s="772">
        <v>1687.683356</v>
      </c>
      <c r="M144" s="769" t="s">
        <v>493</v>
      </c>
      <c r="N144" s="770" t="s">
        <v>5</v>
      </c>
      <c r="O144" s="770" t="s">
        <v>494</v>
      </c>
      <c r="P144" s="770" t="s">
        <v>495</v>
      </c>
      <c r="Q144" s="770" t="s">
        <v>523</v>
      </c>
      <c r="R144" s="770" t="s">
        <v>497</v>
      </c>
      <c r="S144" s="770">
        <v>2019.0</v>
      </c>
      <c r="T144" s="771">
        <v>80.11867427</v>
      </c>
      <c r="U144" s="771">
        <v>140.9750024</v>
      </c>
      <c r="V144" s="772">
        <v>41.72314382</v>
      </c>
      <c r="X144" s="769" t="s">
        <v>518</v>
      </c>
      <c r="Y144" s="770" t="s">
        <v>494</v>
      </c>
      <c r="Z144" s="770" t="s">
        <v>499</v>
      </c>
      <c r="AA144" s="770" t="s">
        <v>31</v>
      </c>
      <c r="AB144" s="770" t="s">
        <v>493</v>
      </c>
      <c r="AC144" s="770" t="s">
        <v>103</v>
      </c>
      <c r="AD144" s="770" t="s">
        <v>501</v>
      </c>
      <c r="AE144" s="779" t="s">
        <v>502</v>
      </c>
      <c r="AF144" s="771">
        <v>56.43793913</v>
      </c>
      <c r="AG144" s="771">
        <v>24.47135539</v>
      </c>
      <c r="AH144" s="771">
        <v>113.7717313</v>
      </c>
      <c r="AI144" s="772" t="s">
        <v>233</v>
      </c>
      <c r="AK144" s="769" t="s">
        <v>518</v>
      </c>
      <c r="AL144" s="770" t="s">
        <v>494</v>
      </c>
      <c r="AM144" s="770" t="s">
        <v>499</v>
      </c>
      <c r="AN144" s="770" t="s">
        <v>31</v>
      </c>
      <c r="AO144" s="770" t="s">
        <v>493</v>
      </c>
      <c r="AP144" s="770" t="s">
        <v>504</v>
      </c>
      <c r="AQ144" s="770" t="s">
        <v>501</v>
      </c>
      <c r="AR144" s="784" t="s">
        <v>502</v>
      </c>
      <c r="AS144" s="771">
        <v>879.433996</v>
      </c>
      <c r="AT144" s="771">
        <v>381.3204768</v>
      </c>
      <c r="AU144" s="771">
        <v>1772.827461</v>
      </c>
      <c r="AV144" s="772" t="s">
        <v>233</v>
      </c>
      <c r="AW144" s="714"/>
    </row>
    <row r="145">
      <c r="A145" s="761"/>
      <c r="B145" s="769" t="s">
        <v>493</v>
      </c>
      <c r="C145" s="770" t="s">
        <v>5</v>
      </c>
      <c r="D145" s="770" t="s">
        <v>494</v>
      </c>
      <c r="E145" s="770" t="s">
        <v>505</v>
      </c>
      <c r="F145" s="770" t="s">
        <v>523</v>
      </c>
      <c r="G145" s="770" t="s">
        <v>103</v>
      </c>
      <c r="H145" s="770">
        <v>2019.0</v>
      </c>
      <c r="I145" s="771">
        <v>0.0</v>
      </c>
      <c r="J145" s="771">
        <v>0.0</v>
      </c>
      <c r="K145" s="772">
        <v>0.0</v>
      </c>
      <c r="M145" s="769" t="s">
        <v>493</v>
      </c>
      <c r="N145" s="770" t="s">
        <v>5</v>
      </c>
      <c r="O145" s="770" t="s">
        <v>494</v>
      </c>
      <c r="P145" s="770" t="s">
        <v>505</v>
      </c>
      <c r="Q145" s="770" t="s">
        <v>523</v>
      </c>
      <c r="R145" s="770" t="s">
        <v>497</v>
      </c>
      <c r="S145" s="770">
        <v>2019.0</v>
      </c>
      <c r="T145" s="771">
        <v>0.0</v>
      </c>
      <c r="U145" s="771">
        <v>0.0</v>
      </c>
      <c r="V145" s="772">
        <v>0.0</v>
      </c>
      <c r="X145" s="769" t="s">
        <v>518</v>
      </c>
      <c r="Y145" s="770" t="s">
        <v>494</v>
      </c>
      <c r="Z145" s="770" t="s">
        <v>507</v>
      </c>
      <c r="AA145" s="770" t="s">
        <v>31</v>
      </c>
      <c r="AB145" s="770" t="s">
        <v>493</v>
      </c>
      <c r="AC145" s="770" t="s">
        <v>103</v>
      </c>
      <c r="AD145" s="770" t="s">
        <v>501</v>
      </c>
      <c r="AE145" s="779" t="s">
        <v>502</v>
      </c>
      <c r="AF145" s="771">
        <v>1457.282354</v>
      </c>
      <c r="AG145" s="771">
        <v>687.4947314</v>
      </c>
      <c r="AH145" s="771">
        <v>2488.907811</v>
      </c>
      <c r="AI145" s="772" t="s">
        <v>233</v>
      </c>
      <c r="AK145" s="769" t="s">
        <v>518</v>
      </c>
      <c r="AL145" s="770" t="s">
        <v>494</v>
      </c>
      <c r="AM145" s="770" t="s">
        <v>507</v>
      </c>
      <c r="AN145" s="770" t="s">
        <v>31</v>
      </c>
      <c r="AO145" s="770" t="s">
        <v>493</v>
      </c>
      <c r="AP145" s="770" t="s">
        <v>504</v>
      </c>
      <c r="AQ145" s="770" t="s">
        <v>501</v>
      </c>
      <c r="AR145" s="784" t="s">
        <v>502</v>
      </c>
      <c r="AS145" s="771">
        <v>495.2940025</v>
      </c>
      <c r="AT145" s="771">
        <v>233.6623485</v>
      </c>
      <c r="AU145" s="771">
        <v>845.9178197</v>
      </c>
      <c r="AV145" s="772" t="s">
        <v>233</v>
      </c>
      <c r="AW145" s="714"/>
    </row>
    <row r="146">
      <c r="A146" s="761"/>
      <c r="B146" s="769" t="s">
        <v>493</v>
      </c>
      <c r="C146" s="770" t="s">
        <v>5</v>
      </c>
      <c r="D146" s="770" t="s">
        <v>494</v>
      </c>
      <c r="E146" s="770" t="s">
        <v>508</v>
      </c>
      <c r="F146" s="770" t="s">
        <v>523</v>
      </c>
      <c r="G146" s="770" t="s">
        <v>103</v>
      </c>
      <c r="H146" s="770">
        <v>2019.0</v>
      </c>
      <c r="I146" s="771">
        <v>1314.619861</v>
      </c>
      <c r="J146" s="771">
        <v>2604.453087</v>
      </c>
      <c r="K146" s="772">
        <v>626.896512</v>
      </c>
      <c r="M146" s="769" t="s">
        <v>493</v>
      </c>
      <c r="N146" s="770" t="s">
        <v>5</v>
      </c>
      <c r="O146" s="770" t="s">
        <v>494</v>
      </c>
      <c r="P146" s="770" t="s">
        <v>508</v>
      </c>
      <c r="Q146" s="770" t="s">
        <v>523</v>
      </c>
      <c r="R146" s="770" t="s">
        <v>497</v>
      </c>
      <c r="S146" s="770">
        <v>2019.0</v>
      </c>
      <c r="T146" s="771">
        <v>161.3814586</v>
      </c>
      <c r="U146" s="771">
        <v>319.720134</v>
      </c>
      <c r="V146" s="772">
        <v>76.95720756</v>
      </c>
      <c r="X146" s="769" t="s">
        <v>518</v>
      </c>
      <c r="Y146" s="770" t="s">
        <v>494</v>
      </c>
      <c r="Z146" s="770" t="s">
        <v>509</v>
      </c>
      <c r="AA146" s="770" t="s">
        <v>31</v>
      </c>
      <c r="AB146" s="770" t="s">
        <v>493</v>
      </c>
      <c r="AC146" s="770" t="s">
        <v>103</v>
      </c>
      <c r="AD146" s="770" t="s">
        <v>501</v>
      </c>
      <c r="AE146" s="779" t="s">
        <v>502</v>
      </c>
      <c r="AF146" s="771">
        <v>116.4531636</v>
      </c>
      <c r="AG146" s="771">
        <v>57.36588156</v>
      </c>
      <c r="AH146" s="771">
        <v>213.8498223</v>
      </c>
      <c r="AI146" s="772" t="s">
        <v>233</v>
      </c>
      <c r="AK146" s="769" t="s">
        <v>518</v>
      </c>
      <c r="AL146" s="770" t="s">
        <v>494</v>
      </c>
      <c r="AM146" s="770" t="s">
        <v>509</v>
      </c>
      <c r="AN146" s="770" t="s">
        <v>31</v>
      </c>
      <c r="AO146" s="770" t="s">
        <v>493</v>
      </c>
      <c r="AP146" s="770" t="s">
        <v>504</v>
      </c>
      <c r="AQ146" s="770" t="s">
        <v>501</v>
      </c>
      <c r="AR146" s="784" t="s">
        <v>502</v>
      </c>
      <c r="AS146" s="771">
        <v>615.7906376</v>
      </c>
      <c r="AT146" s="771">
        <v>303.3440371</v>
      </c>
      <c r="AU146" s="771">
        <v>1130.812718</v>
      </c>
      <c r="AV146" s="772" t="s">
        <v>233</v>
      </c>
      <c r="AW146" s="714"/>
    </row>
    <row r="147">
      <c r="A147" s="761"/>
      <c r="B147" s="769" t="s">
        <v>493</v>
      </c>
      <c r="C147" s="770" t="s">
        <v>5</v>
      </c>
      <c r="D147" s="770" t="s">
        <v>494</v>
      </c>
      <c r="E147" s="770" t="s">
        <v>512</v>
      </c>
      <c r="F147" s="770" t="s">
        <v>523</v>
      </c>
      <c r="G147" s="770" t="s">
        <v>103</v>
      </c>
      <c r="H147" s="770">
        <v>2019.0</v>
      </c>
      <c r="I147" s="771">
        <v>0.0</v>
      </c>
      <c r="J147" s="771">
        <v>0.0</v>
      </c>
      <c r="K147" s="772">
        <v>0.0</v>
      </c>
      <c r="M147" s="769" t="s">
        <v>493</v>
      </c>
      <c r="N147" s="770" t="s">
        <v>5</v>
      </c>
      <c r="O147" s="770" t="s">
        <v>494</v>
      </c>
      <c r="P147" s="770" t="s">
        <v>512</v>
      </c>
      <c r="Q147" s="770" t="s">
        <v>523</v>
      </c>
      <c r="R147" s="770" t="s">
        <v>497</v>
      </c>
      <c r="S147" s="770">
        <v>2019.0</v>
      </c>
      <c r="T147" s="771">
        <v>0.0</v>
      </c>
      <c r="U147" s="771">
        <v>0.0</v>
      </c>
      <c r="V147" s="772">
        <v>0.0</v>
      </c>
      <c r="X147" s="769" t="s">
        <v>518</v>
      </c>
      <c r="Y147" s="770" t="s">
        <v>494</v>
      </c>
      <c r="Z147" s="770" t="s">
        <v>513</v>
      </c>
      <c r="AA147" s="770" t="s">
        <v>31</v>
      </c>
      <c r="AB147" s="770" t="s">
        <v>493</v>
      </c>
      <c r="AC147" s="770" t="s">
        <v>103</v>
      </c>
      <c r="AD147" s="770" t="s">
        <v>501</v>
      </c>
      <c r="AE147" s="779" t="s">
        <v>502</v>
      </c>
      <c r="AF147" s="771">
        <v>2598.681099</v>
      </c>
      <c r="AG147" s="771">
        <v>1422.103658</v>
      </c>
      <c r="AH147" s="771">
        <v>4115.426704</v>
      </c>
      <c r="AI147" s="772" t="s">
        <v>233</v>
      </c>
      <c r="AK147" s="769" t="s">
        <v>518</v>
      </c>
      <c r="AL147" s="770" t="s">
        <v>494</v>
      </c>
      <c r="AM147" s="770" t="s">
        <v>513</v>
      </c>
      <c r="AN147" s="770" t="s">
        <v>31</v>
      </c>
      <c r="AO147" s="770" t="s">
        <v>493</v>
      </c>
      <c r="AP147" s="770" t="s">
        <v>504</v>
      </c>
      <c r="AQ147" s="770" t="s">
        <v>501</v>
      </c>
      <c r="AR147" s="784" t="s">
        <v>502</v>
      </c>
      <c r="AS147" s="771">
        <v>171.2599988</v>
      </c>
      <c r="AT147" s="771">
        <v>93.72041492</v>
      </c>
      <c r="AU147" s="771">
        <v>271.2175698</v>
      </c>
      <c r="AV147" s="772" t="s">
        <v>233</v>
      </c>
      <c r="AW147" s="714"/>
    </row>
    <row r="148">
      <c r="A148" s="761"/>
      <c r="B148" s="786" t="s">
        <v>493</v>
      </c>
      <c r="C148" s="787" t="s">
        <v>546</v>
      </c>
      <c r="D148" s="787" t="s">
        <v>494</v>
      </c>
      <c r="E148" s="787" t="s">
        <v>495</v>
      </c>
      <c r="F148" s="787" t="s">
        <v>496</v>
      </c>
      <c r="G148" s="787" t="s">
        <v>103</v>
      </c>
      <c r="H148" s="788">
        <v>2019.0</v>
      </c>
      <c r="I148" s="789">
        <v>29680.59149</v>
      </c>
      <c r="J148" s="789">
        <v>37386.72843</v>
      </c>
      <c r="K148" s="790">
        <v>23772.2127</v>
      </c>
      <c r="M148" s="786" t="s">
        <v>493</v>
      </c>
      <c r="N148" s="787" t="s">
        <v>546</v>
      </c>
      <c r="O148" s="787" t="s">
        <v>494</v>
      </c>
      <c r="P148" s="787" t="s">
        <v>495</v>
      </c>
      <c r="Q148" s="787" t="s">
        <v>496</v>
      </c>
      <c r="R148" s="787" t="s">
        <v>497</v>
      </c>
      <c r="S148" s="788">
        <v>2019.0</v>
      </c>
      <c r="T148" s="789">
        <v>1427.657772</v>
      </c>
      <c r="U148" s="789">
        <v>1798.328495</v>
      </c>
      <c r="V148" s="790">
        <v>1143.460508</v>
      </c>
      <c r="X148" s="769" t="s">
        <v>519</v>
      </c>
      <c r="Y148" s="770" t="s">
        <v>494</v>
      </c>
      <c r="Z148" s="770" t="s">
        <v>499</v>
      </c>
      <c r="AA148" s="770" t="s">
        <v>31</v>
      </c>
      <c r="AB148" s="770" t="s">
        <v>493</v>
      </c>
      <c r="AC148" s="770" t="s">
        <v>103</v>
      </c>
      <c r="AD148" s="770" t="s">
        <v>501</v>
      </c>
      <c r="AE148" s="784" t="s">
        <v>502</v>
      </c>
      <c r="AF148" s="771">
        <v>7017.417331</v>
      </c>
      <c r="AG148" s="771">
        <v>5310.485384</v>
      </c>
      <c r="AH148" s="771">
        <v>9069.930821</v>
      </c>
      <c r="AI148" s="772" t="s">
        <v>233</v>
      </c>
      <c r="AK148" s="769" t="s">
        <v>519</v>
      </c>
      <c r="AL148" s="770" t="s">
        <v>494</v>
      </c>
      <c r="AM148" s="770" t="s">
        <v>499</v>
      </c>
      <c r="AN148" s="770" t="s">
        <v>31</v>
      </c>
      <c r="AO148" s="770" t="s">
        <v>493</v>
      </c>
      <c r="AP148" s="770" t="s">
        <v>504</v>
      </c>
      <c r="AQ148" s="770" t="s">
        <v>501</v>
      </c>
      <c r="AR148" s="784" t="s">
        <v>502</v>
      </c>
      <c r="AS148" s="771">
        <v>109347.6385</v>
      </c>
      <c r="AT148" s="771">
        <v>82749.67963</v>
      </c>
      <c r="AU148" s="771">
        <v>141330.5593</v>
      </c>
      <c r="AV148" s="772" t="s">
        <v>233</v>
      </c>
      <c r="AW148" s="714"/>
    </row>
    <row r="149">
      <c r="A149" s="761"/>
      <c r="B149" s="776" t="s">
        <v>493</v>
      </c>
      <c r="C149" s="777" t="s">
        <v>546</v>
      </c>
      <c r="D149" s="777" t="s">
        <v>494</v>
      </c>
      <c r="E149" s="777" t="s">
        <v>505</v>
      </c>
      <c r="F149" s="777" t="s">
        <v>496</v>
      </c>
      <c r="G149" s="777" t="s">
        <v>103</v>
      </c>
      <c r="H149" s="778">
        <v>2019.0</v>
      </c>
      <c r="I149" s="780">
        <v>8320.445341</v>
      </c>
      <c r="J149" s="780">
        <v>9995.207919</v>
      </c>
      <c r="K149" s="782">
        <v>6965.087792</v>
      </c>
      <c r="M149" s="776" t="s">
        <v>493</v>
      </c>
      <c r="N149" s="777" t="s">
        <v>546</v>
      </c>
      <c r="O149" s="777" t="s">
        <v>494</v>
      </c>
      <c r="P149" s="777" t="s">
        <v>505</v>
      </c>
      <c r="Q149" s="777" t="s">
        <v>496</v>
      </c>
      <c r="R149" s="777" t="s">
        <v>497</v>
      </c>
      <c r="S149" s="778">
        <v>2019.0</v>
      </c>
      <c r="T149" s="780">
        <v>93945.88011</v>
      </c>
      <c r="U149" s="780">
        <v>112855.5704</v>
      </c>
      <c r="V149" s="782">
        <v>78642.58172</v>
      </c>
      <c r="X149" s="769" t="s">
        <v>519</v>
      </c>
      <c r="Y149" s="770" t="s">
        <v>494</v>
      </c>
      <c r="Z149" s="770" t="s">
        <v>507</v>
      </c>
      <c r="AA149" s="770" t="s">
        <v>31</v>
      </c>
      <c r="AB149" s="770" t="s">
        <v>493</v>
      </c>
      <c r="AC149" s="770" t="s">
        <v>103</v>
      </c>
      <c r="AD149" s="770" t="s">
        <v>501</v>
      </c>
      <c r="AE149" s="784" t="s">
        <v>502</v>
      </c>
      <c r="AF149" s="771">
        <v>56.5762361</v>
      </c>
      <c r="AG149" s="771">
        <v>30.9135078</v>
      </c>
      <c r="AH149" s="771">
        <v>93.41619597</v>
      </c>
      <c r="AI149" s="772" t="s">
        <v>233</v>
      </c>
      <c r="AK149" s="769" t="s">
        <v>519</v>
      </c>
      <c r="AL149" s="770" t="s">
        <v>494</v>
      </c>
      <c r="AM149" s="770" t="s">
        <v>507</v>
      </c>
      <c r="AN149" s="770" t="s">
        <v>31</v>
      </c>
      <c r="AO149" s="770" t="s">
        <v>493</v>
      </c>
      <c r="AP149" s="770" t="s">
        <v>504</v>
      </c>
      <c r="AQ149" s="770" t="s">
        <v>501</v>
      </c>
      <c r="AR149" s="784" t="s">
        <v>502</v>
      </c>
      <c r="AS149" s="771">
        <v>19.22885455</v>
      </c>
      <c r="AT149" s="771">
        <v>10.50673191</v>
      </c>
      <c r="AU149" s="771">
        <v>31.74984002</v>
      </c>
      <c r="AV149" s="772" t="s">
        <v>233</v>
      </c>
      <c r="AW149" s="714"/>
    </row>
    <row r="150">
      <c r="A150" s="761"/>
      <c r="B150" s="769" t="s">
        <v>493</v>
      </c>
      <c r="C150" s="770" t="s">
        <v>546</v>
      </c>
      <c r="D150" s="770" t="s">
        <v>494</v>
      </c>
      <c r="E150" s="770" t="s">
        <v>508</v>
      </c>
      <c r="F150" s="770" t="s">
        <v>496</v>
      </c>
      <c r="G150" s="770" t="s">
        <v>103</v>
      </c>
      <c r="H150" s="770">
        <v>2019.0</v>
      </c>
      <c r="I150" s="771">
        <v>9288.139713</v>
      </c>
      <c r="J150" s="771">
        <v>11775.50655</v>
      </c>
      <c r="K150" s="772">
        <v>7338.413715</v>
      </c>
      <c r="M150" s="776" t="s">
        <v>493</v>
      </c>
      <c r="N150" s="777" t="s">
        <v>546</v>
      </c>
      <c r="O150" s="777" t="s">
        <v>494</v>
      </c>
      <c r="P150" s="777" t="s">
        <v>508</v>
      </c>
      <c r="Q150" s="777" t="s">
        <v>496</v>
      </c>
      <c r="R150" s="777" t="s">
        <v>497</v>
      </c>
      <c r="S150" s="778">
        <v>2019.0</v>
      </c>
      <c r="T150" s="780">
        <v>2274.056208</v>
      </c>
      <c r="U150" s="780">
        <v>2883.0492</v>
      </c>
      <c r="V150" s="782">
        <v>1796.696193</v>
      </c>
      <c r="X150" s="769" t="s">
        <v>519</v>
      </c>
      <c r="Y150" s="770" t="s">
        <v>494</v>
      </c>
      <c r="Z150" s="770" t="s">
        <v>509</v>
      </c>
      <c r="AA150" s="770" t="s">
        <v>31</v>
      </c>
      <c r="AB150" s="770" t="s">
        <v>493</v>
      </c>
      <c r="AC150" s="770" t="s">
        <v>103</v>
      </c>
      <c r="AD150" s="770" t="s">
        <v>501</v>
      </c>
      <c r="AE150" s="784" t="s">
        <v>502</v>
      </c>
      <c r="AF150" s="771">
        <v>782.5246299</v>
      </c>
      <c r="AG150" s="771">
        <v>548.8216743</v>
      </c>
      <c r="AH150" s="771">
        <v>1076.697007</v>
      </c>
      <c r="AI150" s="772" t="s">
        <v>233</v>
      </c>
      <c r="AK150" s="769" t="s">
        <v>519</v>
      </c>
      <c r="AL150" s="770" t="s">
        <v>494</v>
      </c>
      <c r="AM150" s="770" t="s">
        <v>509</v>
      </c>
      <c r="AN150" s="770" t="s">
        <v>31</v>
      </c>
      <c r="AO150" s="770" t="s">
        <v>493</v>
      </c>
      <c r="AP150" s="770" t="s">
        <v>504</v>
      </c>
      <c r="AQ150" s="770" t="s">
        <v>501</v>
      </c>
      <c r="AR150" s="784" t="s">
        <v>502</v>
      </c>
      <c r="AS150" s="771">
        <v>4137.89824</v>
      </c>
      <c r="AT150" s="771">
        <v>2902.104488</v>
      </c>
      <c r="AU150" s="771">
        <v>5693.447183</v>
      </c>
      <c r="AV150" s="772" t="s">
        <v>233</v>
      </c>
      <c r="AW150" s="714"/>
    </row>
    <row r="151">
      <c r="A151" s="761"/>
      <c r="B151" s="858" t="s">
        <v>493</v>
      </c>
      <c r="C151" s="859" t="s">
        <v>546</v>
      </c>
      <c r="D151" s="859" t="s">
        <v>494</v>
      </c>
      <c r="E151" s="859" t="s">
        <v>512</v>
      </c>
      <c r="F151" s="859" t="s">
        <v>496</v>
      </c>
      <c r="G151" s="859" t="s">
        <v>103</v>
      </c>
      <c r="H151" s="859">
        <v>2019.0</v>
      </c>
      <c r="I151" s="860">
        <v>2870.074985</v>
      </c>
      <c r="J151" s="860">
        <v>3632.283323</v>
      </c>
      <c r="K151" s="861">
        <v>2271.456809</v>
      </c>
      <c r="M151" s="786" t="s">
        <v>493</v>
      </c>
      <c r="N151" s="787" t="s">
        <v>546</v>
      </c>
      <c r="O151" s="787" t="s">
        <v>494</v>
      </c>
      <c r="P151" s="787" t="s">
        <v>512</v>
      </c>
      <c r="Q151" s="787" t="s">
        <v>496</v>
      </c>
      <c r="R151" s="787" t="s">
        <v>497</v>
      </c>
      <c r="S151" s="788">
        <v>2019.0</v>
      </c>
      <c r="T151" s="789">
        <v>10947.84895</v>
      </c>
      <c r="U151" s="789">
        <v>13855.27882</v>
      </c>
      <c r="V151" s="790">
        <v>8664.430776</v>
      </c>
      <c r="X151" s="769" t="s">
        <v>519</v>
      </c>
      <c r="Y151" s="770" t="s">
        <v>494</v>
      </c>
      <c r="Z151" s="770" t="s">
        <v>513</v>
      </c>
      <c r="AA151" s="770" t="s">
        <v>31</v>
      </c>
      <c r="AB151" s="770" t="s">
        <v>493</v>
      </c>
      <c r="AC151" s="770" t="s">
        <v>103</v>
      </c>
      <c r="AD151" s="770" t="s">
        <v>501</v>
      </c>
      <c r="AE151" s="784" t="s">
        <v>502</v>
      </c>
      <c r="AF151" s="771">
        <v>7866.124946</v>
      </c>
      <c r="AG151" s="771">
        <v>5987.197589</v>
      </c>
      <c r="AH151" s="771">
        <v>10180.77433</v>
      </c>
      <c r="AI151" s="772" t="s">
        <v>233</v>
      </c>
      <c r="AK151" s="769" t="s">
        <v>519</v>
      </c>
      <c r="AL151" s="770" t="s">
        <v>494</v>
      </c>
      <c r="AM151" s="770" t="s">
        <v>513</v>
      </c>
      <c r="AN151" s="770" t="s">
        <v>31</v>
      </c>
      <c r="AO151" s="770" t="s">
        <v>493</v>
      </c>
      <c r="AP151" s="770" t="s">
        <v>504</v>
      </c>
      <c r="AQ151" s="770" t="s">
        <v>501</v>
      </c>
      <c r="AR151" s="784" t="s">
        <v>502</v>
      </c>
      <c r="AS151" s="771">
        <v>518.3985636</v>
      </c>
      <c r="AT151" s="771">
        <v>394.5722514</v>
      </c>
      <c r="AU151" s="771">
        <v>670.9401168</v>
      </c>
      <c r="AV151" s="772" t="s">
        <v>233</v>
      </c>
      <c r="AW151" s="714"/>
    </row>
    <row r="152">
      <c r="A152" s="761"/>
      <c r="B152" s="769" t="s">
        <v>493</v>
      </c>
      <c r="C152" s="770" t="s">
        <v>546</v>
      </c>
      <c r="D152" s="770" t="s">
        <v>494</v>
      </c>
      <c r="E152" s="770" t="s">
        <v>495</v>
      </c>
      <c r="F152" s="770" t="s">
        <v>514</v>
      </c>
      <c r="G152" s="770" t="s">
        <v>103</v>
      </c>
      <c r="H152" s="770">
        <v>2019.0</v>
      </c>
      <c r="I152" s="771">
        <v>25997.21114</v>
      </c>
      <c r="J152" s="771">
        <v>32805.49721</v>
      </c>
      <c r="K152" s="772">
        <v>20665.53145</v>
      </c>
      <c r="M152" s="786" t="s">
        <v>493</v>
      </c>
      <c r="N152" s="787" t="s">
        <v>546</v>
      </c>
      <c r="O152" s="787" t="s">
        <v>494</v>
      </c>
      <c r="P152" s="787" t="s">
        <v>495</v>
      </c>
      <c r="Q152" s="787" t="s">
        <v>514</v>
      </c>
      <c r="R152" s="787" t="s">
        <v>497</v>
      </c>
      <c r="S152" s="788">
        <v>2019.0</v>
      </c>
      <c r="T152" s="789">
        <v>1250.484531</v>
      </c>
      <c r="U152" s="789">
        <v>1577.967982</v>
      </c>
      <c r="V152" s="790">
        <v>994.0269082</v>
      </c>
      <c r="X152" s="769" t="s">
        <v>521</v>
      </c>
      <c r="Y152" s="770" t="s">
        <v>494</v>
      </c>
      <c r="Z152" s="770" t="s">
        <v>499</v>
      </c>
      <c r="AA152" s="770" t="s">
        <v>31</v>
      </c>
      <c r="AB152" s="770" t="s">
        <v>493</v>
      </c>
      <c r="AC152" s="770" t="s">
        <v>103</v>
      </c>
      <c r="AD152" s="770" t="s">
        <v>501</v>
      </c>
      <c r="AE152" s="784" t="s">
        <v>502</v>
      </c>
      <c r="AF152" s="771">
        <v>0.0</v>
      </c>
      <c r="AG152" s="771">
        <v>0.0</v>
      </c>
      <c r="AH152" s="771">
        <v>0.0</v>
      </c>
      <c r="AI152" s="772" t="s">
        <v>233</v>
      </c>
      <c r="AK152" s="769" t="s">
        <v>521</v>
      </c>
      <c r="AL152" s="770" t="s">
        <v>494</v>
      </c>
      <c r="AM152" s="770" t="s">
        <v>499</v>
      </c>
      <c r="AN152" s="770" t="s">
        <v>31</v>
      </c>
      <c r="AO152" s="770" t="s">
        <v>493</v>
      </c>
      <c r="AP152" s="770" t="s">
        <v>504</v>
      </c>
      <c r="AQ152" s="770" t="s">
        <v>501</v>
      </c>
      <c r="AR152" s="784" t="s">
        <v>502</v>
      </c>
      <c r="AS152" s="771">
        <v>0.0</v>
      </c>
      <c r="AT152" s="771">
        <v>0.0</v>
      </c>
      <c r="AU152" s="771">
        <v>0.0</v>
      </c>
      <c r="AV152" s="772" t="s">
        <v>233</v>
      </c>
      <c r="AW152" s="714"/>
    </row>
    <row r="153">
      <c r="A153" s="761"/>
      <c r="B153" s="769" t="s">
        <v>493</v>
      </c>
      <c r="C153" s="770" t="s">
        <v>546</v>
      </c>
      <c r="D153" s="770" t="s">
        <v>494</v>
      </c>
      <c r="E153" s="770" t="s">
        <v>505</v>
      </c>
      <c r="F153" s="770" t="s">
        <v>514</v>
      </c>
      <c r="G153" s="770" t="s">
        <v>103</v>
      </c>
      <c r="H153" s="770">
        <v>2019.0</v>
      </c>
      <c r="I153" s="771">
        <v>7562.412855</v>
      </c>
      <c r="J153" s="771">
        <v>9115.095129</v>
      </c>
      <c r="K153" s="772">
        <v>6325.584118</v>
      </c>
      <c r="M153" s="776" t="s">
        <v>493</v>
      </c>
      <c r="N153" s="777" t="s">
        <v>546</v>
      </c>
      <c r="O153" s="777" t="s">
        <v>494</v>
      </c>
      <c r="P153" s="777" t="s">
        <v>505</v>
      </c>
      <c r="Q153" s="777" t="s">
        <v>514</v>
      </c>
      <c r="R153" s="777" t="s">
        <v>497</v>
      </c>
      <c r="S153" s="778">
        <v>2019.0</v>
      </c>
      <c r="T153" s="780">
        <v>85386.95975</v>
      </c>
      <c r="U153" s="780">
        <v>102918.2452</v>
      </c>
      <c r="V153" s="782">
        <v>71421.96635</v>
      </c>
      <c r="X153" s="769" t="s">
        <v>521</v>
      </c>
      <c r="Y153" s="770" t="s">
        <v>494</v>
      </c>
      <c r="Z153" s="770" t="s">
        <v>507</v>
      </c>
      <c r="AA153" s="770" t="s">
        <v>31</v>
      </c>
      <c r="AB153" s="770" t="s">
        <v>493</v>
      </c>
      <c r="AC153" s="770" t="s">
        <v>103</v>
      </c>
      <c r="AD153" s="770" t="s">
        <v>501</v>
      </c>
      <c r="AE153" s="784" t="s">
        <v>502</v>
      </c>
      <c r="AF153" s="771">
        <v>27.96352296</v>
      </c>
      <c r="AG153" s="771">
        <v>8.456955156</v>
      </c>
      <c r="AH153" s="771">
        <v>68.45415046</v>
      </c>
      <c r="AI153" s="772" t="s">
        <v>233</v>
      </c>
      <c r="AK153" s="769" t="s">
        <v>521</v>
      </c>
      <c r="AL153" s="770" t="s">
        <v>494</v>
      </c>
      <c r="AM153" s="770" t="s">
        <v>507</v>
      </c>
      <c r="AN153" s="770" t="s">
        <v>31</v>
      </c>
      <c r="AO153" s="770" t="s">
        <v>493</v>
      </c>
      <c r="AP153" s="770" t="s">
        <v>504</v>
      </c>
      <c r="AQ153" s="770" t="s">
        <v>501</v>
      </c>
      <c r="AR153" s="784" t="s">
        <v>502</v>
      </c>
      <c r="AS153" s="771">
        <v>9.504105485</v>
      </c>
      <c r="AT153" s="771">
        <v>2.874308577</v>
      </c>
      <c r="AU153" s="771">
        <v>23.26586202</v>
      </c>
      <c r="AV153" s="772" t="s">
        <v>233</v>
      </c>
      <c r="AW153" s="714"/>
    </row>
    <row r="154">
      <c r="A154" s="761"/>
      <c r="B154" s="769" t="s">
        <v>493</v>
      </c>
      <c r="C154" s="770" t="s">
        <v>546</v>
      </c>
      <c r="D154" s="770" t="s">
        <v>494</v>
      </c>
      <c r="E154" s="770" t="s">
        <v>508</v>
      </c>
      <c r="F154" s="770" t="s">
        <v>514</v>
      </c>
      <c r="G154" s="770" t="s">
        <v>103</v>
      </c>
      <c r="H154" s="770">
        <v>2019.0</v>
      </c>
      <c r="I154" s="771">
        <v>7939.013207</v>
      </c>
      <c r="J154" s="771">
        <v>10093.02245</v>
      </c>
      <c r="K154" s="772">
        <v>6115.37107</v>
      </c>
      <c r="M154" s="776" t="s">
        <v>493</v>
      </c>
      <c r="N154" s="777" t="s">
        <v>546</v>
      </c>
      <c r="O154" s="777" t="s">
        <v>494</v>
      </c>
      <c r="P154" s="777" t="s">
        <v>508</v>
      </c>
      <c r="Q154" s="777" t="s">
        <v>514</v>
      </c>
      <c r="R154" s="777" t="s">
        <v>497</v>
      </c>
      <c r="S154" s="778">
        <v>2019.0</v>
      </c>
      <c r="T154" s="780">
        <v>1943.743615</v>
      </c>
      <c r="U154" s="780">
        <v>2471.119198</v>
      </c>
      <c r="V154" s="782">
        <v>1497.253268</v>
      </c>
      <c r="X154" s="769" t="s">
        <v>521</v>
      </c>
      <c r="Y154" s="770" t="s">
        <v>494</v>
      </c>
      <c r="Z154" s="770" t="s">
        <v>509</v>
      </c>
      <c r="AA154" s="770" t="s">
        <v>31</v>
      </c>
      <c r="AB154" s="770" t="s">
        <v>493</v>
      </c>
      <c r="AC154" s="770" t="s">
        <v>103</v>
      </c>
      <c r="AD154" s="770" t="s">
        <v>501</v>
      </c>
      <c r="AE154" s="784" t="s">
        <v>502</v>
      </c>
      <c r="AF154" s="771">
        <v>0.0</v>
      </c>
      <c r="AG154" s="771">
        <v>0.0</v>
      </c>
      <c r="AH154" s="771">
        <v>0.0</v>
      </c>
      <c r="AI154" s="772" t="s">
        <v>233</v>
      </c>
      <c r="AK154" s="769" t="s">
        <v>521</v>
      </c>
      <c r="AL154" s="770" t="s">
        <v>494</v>
      </c>
      <c r="AM154" s="770" t="s">
        <v>509</v>
      </c>
      <c r="AN154" s="770" t="s">
        <v>31</v>
      </c>
      <c r="AO154" s="770" t="s">
        <v>493</v>
      </c>
      <c r="AP154" s="770" t="s">
        <v>504</v>
      </c>
      <c r="AQ154" s="770" t="s">
        <v>501</v>
      </c>
      <c r="AR154" s="784" t="s">
        <v>502</v>
      </c>
      <c r="AS154" s="771">
        <v>0.0</v>
      </c>
      <c r="AT154" s="771">
        <v>0.0</v>
      </c>
      <c r="AU154" s="771">
        <v>0.0</v>
      </c>
      <c r="AV154" s="772" t="s">
        <v>233</v>
      </c>
      <c r="AW154" s="714"/>
    </row>
    <row r="155">
      <c r="A155" s="761"/>
      <c r="B155" s="769" t="s">
        <v>493</v>
      </c>
      <c r="C155" s="770" t="s">
        <v>546</v>
      </c>
      <c r="D155" s="770" t="s">
        <v>494</v>
      </c>
      <c r="E155" s="770" t="s">
        <v>512</v>
      </c>
      <c r="F155" s="770" t="s">
        <v>514</v>
      </c>
      <c r="G155" s="770" t="s">
        <v>103</v>
      </c>
      <c r="H155" s="770">
        <v>2019.0</v>
      </c>
      <c r="I155" s="771">
        <v>2556.791781</v>
      </c>
      <c r="J155" s="771">
        <v>3227.27501</v>
      </c>
      <c r="K155" s="772">
        <v>2004.418351</v>
      </c>
      <c r="M155" s="786" t="s">
        <v>493</v>
      </c>
      <c r="N155" s="787" t="s">
        <v>546</v>
      </c>
      <c r="O155" s="787" t="s">
        <v>494</v>
      </c>
      <c r="P155" s="787" t="s">
        <v>512</v>
      </c>
      <c r="Q155" s="787" t="s">
        <v>514</v>
      </c>
      <c r="R155" s="787" t="s">
        <v>497</v>
      </c>
      <c r="S155" s="788">
        <v>2019.0</v>
      </c>
      <c r="T155" s="789">
        <v>9752.83585</v>
      </c>
      <c r="U155" s="789">
        <v>12310.38196</v>
      </c>
      <c r="V155" s="790">
        <v>7645.817427</v>
      </c>
      <c r="X155" s="769" t="s">
        <v>521</v>
      </c>
      <c r="Y155" s="770" t="s">
        <v>494</v>
      </c>
      <c r="Z155" s="770" t="s">
        <v>513</v>
      </c>
      <c r="AA155" s="770" t="s">
        <v>31</v>
      </c>
      <c r="AB155" s="770" t="s">
        <v>493</v>
      </c>
      <c r="AC155" s="770" t="s">
        <v>103</v>
      </c>
      <c r="AD155" s="770" t="s">
        <v>501</v>
      </c>
      <c r="AE155" s="779" t="s">
        <v>502</v>
      </c>
      <c r="AF155" s="771">
        <v>125.4070902</v>
      </c>
      <c r="AG155" s="771">
        <v>34.69585831</v>
      </c>
      <c r="AH155" s="771">
        <v>335.4540229</v>
      </c>
      <c r="AI155" s="772" t="s">
        <v>233</v>
      </c>
      <c r="AK155" s="769" t="s">
        <v>521</v>
      </c>
      <c r="AL155" s="770" t="s">
        <v>494</v>
      </c>
      <c r="AM155" s="770" t="s">
        <v>513</v>
      </c>
      <c r="AN155" s="770" t="s">
        <v>31</v>
      </c>
      <c r="AO155" s="770" t="s">
        <v>493</v>
      </c>
      <c r="AP155" s="770" t="s">
        <v>504</v>
      </c>
      <c r="AQ155" s="770" t="s">
        <v>501</v>
      </c>
      <c r="AR155" s="784" t="s">
        <v>502</v>
      </c>
      <c r="AS155" s="771">
        <v>8.264660916</v>
      </c>
      <c r="AT155" s="771">
        <v>2.286549379</v>
      </c>
      <c r="AU155" s="771">
        <v>22.10731266</v>
      </c>
      <c r="AV155" s="772" t="s">
        <v>233</v>
      </c>
      <c r="AW155" s="714"/>
    </row>
    <row r="156">
      <c r="A156" s="761"/>
      <c r="B156" s="769" t="s">
        <v>493</v>
      </c>
      <c r="C156" s="770" t="s">
        <v>546</v>
      </c>
      <c r="D156" s="770" t="s">
        <v>494</v>
      </c>
      <c r="E156" s="770" t="s">
        <v>495</v>
      </c>
      <c r="F156" s="770" t="s">
        <v>518</v>
      </c>
      <c r="G156" s="770" t="s">
        <v>103</v>
      </c>
      <c r="H156" s="770">
        <v>2019.0</v>
      </c>
      <c r="I156" s="771">
        <v>5644.817318</v>
      </c>
      <c r="J156" s="771">
        <v>11488.23223</v>
      </c>
      <c r="K156" s="772">
        <v>1535.796466</v>
      </c>
      <c r="M156" s="769" t="s">
        <v>493</v>
      </c>
      <c r="N156" s="770" t="s">
        <v>546</v>
      </c>
      <c r="O156" s="770" t="s">
        <v>494</v>
      </c>
      <c r="P156" s="770" t="s">
        <v>495</v>
      </c>
      <c r="Q156" s="770" t="s">
        <v>518</v>
      </c>
      <c r="R156" s="770" t="s">
        <v>497</v>
      </c>
      <c r="S156" s="770">
        <v>2019.0</v>
      </c>
      <c r="T156" s="771">
        <v>271.519768</v>
      </c>
      <c r="U156" s="771">
        <v>552.592223</v>
      </c>
      <c r="V156" s="772">
        <v>73.87291327</v>
      </c>
      <c r="X156" s="769" t="s">
        <v>523</v>
      </c>
      <c r="Y156" s="770" t="s">
        <v>494</v>
      </c>
      <c r="Z156" s="770" t="s">
        <v>507</v>
      </c>
      <c r="AA156" s="770" t="s">
        <v>31</v>
      </c>
      <c r="AB156" s="770" t="s">
        <v>493</v>
      </c>
      <c r="AC156" s="770" t="s">
        <v>103</v>
      </c>
      <c r="AD156" s="770" t="s">
        <v>501</v>
      </c>
      <c r="AE156" s="784" t="s">
        <v>502</v>
      </c>
      <c r="AF156" s="771">
        <v>83.94278256</v>
      </c>
      <c r="AG156" s="771">
        <v>38.76234466</v>
      </c>
      <c r="AH156" s="771">
        <v>159.0400138</v>
      </c>
      <c r="AI156" s="772" t="s">
        <v>233</v>
      </c>
      <c r="AK156" s="769" t="s">
        <v>523</v>
      </c>
      <c r="AL156" s="770" t="s">
        <v>494</v>
      </c>
      <c r="AM156" s="770" t="s">
        <v>507</v>
      </c>
      <c r="AN156" s="770" t="s">
        <v>31</v>
      </c>
      <c r="AO156" s="770" t="s">
        <v>493</v>
      </c>
      <c r="AP156" s="770" t="s">
        <v>504</v>
      </c>
      <c r="AQ156" s="770" t="s">
        <v>501</v>
      </c>
      <c r="AR156" s="784" t="s">
        <v>502</v>
      </c>
      <c r="AS156" s="771">
        <v>28.53006258</v>
      </c>
      <c r="AT156" s="771">
        <v>13.17435621</v>
      </c>
      <c r="AU156" s="771">
        <v>54.05374243</v>
      </c>
      <c r="AV156" s="772" t="s">
        <v>233</v>
      </c>
      <c r="AW156" s="714"/>
    </row>
    <row r="157">
      <c r="A157" s="761"/>
      <c r="B157" s="769" t="s">
        <v>493</v>
      </c>
      <c r="C157" s="770" t="s">
        <v>546</v>
      </c>
      <c r="D157" s="770" t="s">
        <v>494</v>
      </c>
      <c r="E157" s="770" t="s">
        <v>505</v>
      </c>
      <c r="F157" s="770" t="s">
        <v>518</v>
      </c>
      <c r="G157" s="770" t="s">
        <v>103</v>
      </c>
      <c r="H157" s="770">
        <v>2019.0</v>
      </c>
      <c r="I157" s="771">
        <v>145.671673</v>
      </c>
      <c r="J157" s="771">
        <v>384.0732901</v>
      </c>
      <c r="K157" s="772">
        <v>27.10622269</v>
      </c>
      <c r="M157" s="769" t="s">
        <v>493</v>
      </c>
      <c r="N157" s="770" t="s">
        <v>546</v>
      </c>
      <c r="O157" s="770" t="s">
        <v>494</v>
      </c>
      <c r="P157" s="770" t="s">
        <v>505</v>
      </c>
      <c r="Q157" s="770" t="s">
        <v>518</v>
      </c>
      <c r="R157" s="770" t="s">
        <v>497</v>
      </c>
      <c r="S157" s="770">
        <v>2019.0</v>
      </c>
      <c r="T157" s="771">
        <v>1644.774164</v>
      </c>
      <c r="U157" s="771">
        <v>4336.559137</v>
      </c>
      <c r="V157" s="772">
        <v>306.0554865</v>
      </c>
      <c r="X157" s="769" t="s">
        <v>523</v>
      </c>
      <c r="Y157" s="770" t="s">
        <v>494</v>
      </c>
      <c r="Z157" s="770" t="s">
        <v>513</v>
      </c>
      <c r="AA157" s="770" t="s">
        <v>31</v>
      </c>
      <c r="AB157" s="770" t="s">
        <v>493</v>
      </c>
      <c r="AC157" s="770" t="s">
        <v>103</v>
      </c>
      <c r="AD157" s="770" t="s">
        <v>501</v>
      </c>
      <c r="AE157" s="784" t="s">
        <v>502</v>
      </c>
      <c r="AF157" s="771">
        <v>137.2677538</v>
      </c>
      <c r="AG157" s="771">
        <v>70.10902118</v>
      </c>
      <c r="AH157" s="771">
        <v>236.0724379</v>
      </c>
      <c r="AI157" s="772" t="s">
        <v>233</v>
      </c>
      <c r="AK157" s="769" t="s">
        <v>523</v>
      </c>
      <c r="AL157" s="770" t="s">
        <v>494</v>
      </c>
      <c r="AM157" s="770" t="s">
        <v>513</v>
      </c>
      <c r="AN157" s="770" t="s">
        <v>31</v>
      </c>
      <c r="AO157" s="770" t="s">
        <v>493</v>
      </c>
      <c r="AP157" s="770" t="s">
        <v>504</v>
      </c>
      <c r="AQ157" s="770" t="s">
        <v>501</v>
      </c>
      <c r="AR157" s="784" t="s">
        <v>502</v>
      </c>
      <c r="AS157" s="771">
        <v>9.046310207</v>
      </c>
      <c r="AT157" s="771">
        <v>4.620371037</v>
      </c>
      <c r="AU157" s="771">
        <v>15.55780178</v>
      </c>
      <c r="AV157" s="772" t="s">
        <v>233</v>
      </c>
      <c r="AW157" s="714"/>
    </row>
    <row r="158">
      <c r="A158" s="761"/>
      <c r="B158" s="769" t="s">
        <v>493</v>
      </c>
      <c r="C158" s="770" t="s">
        <v>546</v>
      </c>
      <c r="D158" s="770" t="s">
        <v>494</v>
      </c>
      <c r="E158" s="770" t="s">
        <v>508</v>
      </c>
      <c r="F158" s="770" t="s">
        <v>518</v>
      </c>
      <c r="G158" s="770" t="s">
        <v>103</v>
      </c>
      <c r="H158" s="770">
        <v>2019.0</v>
      </c>
      <c r="I158" s="771">
        <v>2471.468185</v>
      </c>
      <c r="J158" s="771">
        <v>5116.723409</v>
      </c>
      <c r="K158" s="772">
        <v>714.2013712</v>
      </c>
      <c r="M158" s="769" t="s">
        <v>493</v>
      </c>
      <c r="N158" s="770" t="s">
        <v>546</v>
      </c>
      <c r="O158" s="770" t="s">
        <v>494</v>
      </c>
      <c r="P158" s="770" t="s">
        <v>508</v>
      </c>
      <c r="Q158" s="770" t="s">
        <v>518</v>
      </c>
      <c r="R158" s="770" t="s">
        <v>497</v>
      </c>
      <c r="S158" s="770">
        <v>2019.0</v>
      </c>
      <c r="T158" s="771">
        <v>605.1004552</v>
      </c>
      <c r="U158" s="771">
        <v>1252.749957</v>
      </c>
      <c r="V158" s="772">
        <v>174.8610714</v>
      </c>
      <c r="X158" s="769" t="s">
        <v>496</v>
      </c>
      <c r="Y158" s="770" t="s">
        <v>494</v>
      </c>
      <c r="Z158" s="770" t="s">
        <v>499</v>
      </c>
      <c r="AA158" s="770" t="s">
        <v>548</v>
      </c>
      <c r="AB158" s="770" t="s">
        <v>493</v>
      </c>
      <c r="AC158" s="770" t="s">
        <v>103</v>
      </c>
      <c r="AD158" s="770" t="s">
        <v>501</v>
      </c>
      <c r="AE158" s="784" t="s">
        <v>502</v>
      </c>
      <c r="AF158" s="771">
        <v>5488.482556</v>
      </c>
      <c r="AG158" s="771">
        <v>4389.115812</v>
      </c>
      <c r="AH158" s="771">
        <v>6875.163529</v>
      </c>
      <c r="AI158" s="772" t="s">
        <v>233</v>
      </c>
      <c r="AK158" s="769" t="s">
        <v>496</v>
      </c>
      <c r="AL158" s="770" t="s">
        <v>494</v>
      </c>
      <c r="AM158" s="770" t="s">
        <v>499</v>
      </c>
      <c r="AN158" s="770" t="s">
        <v>548</v>
      </c>
      <c r="AO158" s="770" t="s">
        <v>493</v>
      </c>
      <c r="AP158" s="770" t="s">
        <v>504</v>
      </c>
      <c r="AQ158" s="770" t="s">
        <v>501</v>
      </c>
      <c r="AR158" s="784" t="s">
        <v>502</v>
      </c>
      <c r="AS158" s="771">
        <v>137801.8835</v>
      </c>
      <c r="AT158" s="771">
        <v>110199.5715</v>
      </c>
      <c r="AU158" s="771">
        <v>172617.9275</v>
      </c>
      <c r="AV158" s="772" t="s">
        <v>233</v>
      </c>
      <c r="AW158" s="714"/>
    </row>
    <row r="159">
      <c r="A159" s="761"/>
      <c r="B159" s="769" t="s">
        <v>493</v>
      </c>
      <c r="C159" s="770" t="s">
        <v>546</v>
      </c>
      <c r="D159" s="770" t="s">
        <v>494</v>
      </c>
      <c r="E159" s="770" t="s">
        <v>512</v>
      </c>
      <c r="F159" s="770" t="s">
        <v>518</v>
      </c>
      <c r="G159" s="770" t="s">
        <v>103</v>
      </c>
      <c r="H159" s="770">
        <v>2019.0</v>
      </c>
      <c r="I159" s="771">
        <v>364.1263642</v>
      </c>
      <c r="J159" s="771">
        <v>994.2683632</v>
      </c>
      <c r="K159" s="772">
        <v>57.58830883</v>
      </c>
      <c r="M159" s="769" t="s">
        <v>493</v>
      </c>
      <c r="N159" s="770" t="s">
        <v>546</v>
      </c>
      <c r="O159" s="770" t="s">
        <v>494</v>
      </c>
      <c r="P159" s="770" t="s">
        <v>512</v>
      </c>
      <c r="Q159" s="770" t="s">
        <v>518</v>
      </c>
      <c r="R159" s="770" t="s">
        <v>497</v>
      </c>
      <c r="S159" s="770">
        <v>2019.0</v>
      </c>
      <c r="T159" s="771">
        <v>1388.953408</v>
      </c>
      <c r="U159" s="771">
        <v>3792.618628</v>
      </c>
      <c r="V159" s="772">
        <v>219.669559</v>
      </c>
      <c r="X159" s="769" t="s">
        <v>496</v>
      </c>
      <c r="Y159" s="770" t="s">
        <v>494</v>
      </c>
      <c r="Z159" s="770" t="s">
        <v>507</v>
      </c>
      <c r="AA159" s="770" t="s">
        <v>548</v>
      </c>
      <c r="AB159" s="770" t="s">
        <v>493</v>
      </c>
      <c r="AC159" s="770" t="s">
        <v>103</v>
      </c>
      <c r="AD159" s="770" t="s">
        <v>501</v>
      </c>
      <c r="AE159" s="784" t="s">
        <v>502</v>
      </c>
      <c r="AF159" s="771">
        <v>4289.541087</v>
      </c>
      <c r="AG159" s="771">
        <v>3435.667642</v>
      </c>
      <c r="AH159" s="771">
        <v>5405.995117</v>
      </c>
      <c r="AI159" s="772" t="s">
        <v>233</v>
      </c>
      <c r="AK159" s="769" t="s">
        <v>496</v>
      </c>
      <c r="AL159" s="770" t="s">
        <v>494</v>
      </c>
      <c r="AM159" s="770" t="s">
        <v>507</v>
      </c>
      <c r="AN159" s="770" t="s">
        <v>548</v>
      </c>
      <c r="AO159" s="770" t="s">
        <v>493</v>
      </c>
      <c r="AP159" s="770" t="s">
        <v>504</v>
      </c>
      <c r="AQ159" s="770" t="s">
        <v>501</v>
      </c>
      <c r="AR159" s="784" t="s">
        <v>502</v>
      </c>
      <c r="AS159" s="771">
        <v>2303.482012</v>
      </c>
      <c r="AT159" s="771">
        <v>1844.95228</v>
      </c>
      <c r="AU159" s="771">
        <v>2903.017422</v>
      </c>
      <c r="AV159" s="772" t="s">
        <v>233</v>
      </c>
      <c r="AW159" s="714"/>
    </row>
    <row r="160">
      <c r="A160" s="761"/>
      <c r="B160" s="769" t="s">
        <v>493</v>
      </c>
      <c r="C160" s="770" t="s">
        <v>546</v>
      </c>
      <c r="D160" s="770" t="s">
        <v>494</v>
      </c>
      <c r="E160" s="770" t="s">
        <v>495</v>
      </c>
      <c r="F160" s="770" t="s">
        <v>519</v>
      </c>
      <c r="G160" s="770" t="s">
        <v>103</v>
      </c>
      <c r="H160" s="770">
        <v>2019.0</v>
      </c>
      <c r="I160" s="771">
        <v>8794.275504</v>
      </c>
      <c r="J160" s="771">
        <v>10851.77547</v>
      </c>
      <c r="K160" s="772">
        <v>7188.890794</v>
      </c>
      <c r="M160" s="769" t="s">
        <v>493</v>
      </c>
      <c r="N160" s="770" t="s">
        <v>546</v>
      </c>
      <c r="O160" s="770" t="s">
        <v>494</v>
      </c>
      <c r="P160" s="770" t="s">
        <v>495</v>
      </c>
      <c r="Q160" s="770" t="s">
        <v>519</v>
      </c>
      <c r="R160" s="770" t="s">
        <v>497</v>
      </c>
      <c r="S160" s="770">
        <v>2019.0</v>
      </c>
      <c r="T160" s="771">
        <v>423.0109691</v>
      </c>
      <c r="U160" s="771">
        <v>521.9781955</v>
      </c>
      <c r="V160" s="772">
        <v>345.7908114</v>
      </c>
      <c r="X160" s="769" t="s">
        <v>496</v>
      </c>
      <c r="Y160" s="770" t="s">
        <v>494</v>
      </c>
      <c r="Z160" s="770" t="s">
        <v>509</v>
      </c>
      <c r="AA160" s="770" t="s">
        <v>548</v>
      </c>
      <c r="AB160" s="770" t="s">
        <v>493</v>
      </c>
      <c r="AC160" s="770" t="s">
        <v>103</v>
      </c>
      <c r="AD160" s="770" t="s">
        <v>501</v>
      </c>
      <c r="AE160" s="784" t="s">
        <v>502</v>
      </c>
      <c r="AF160" s="771">
        <v>1129.730918</v>
      </c>
      <c r="AG160" s="771">
        <v>900.8304015</v>
      </c>
      <c r="AH160" s="771">
        <v>1424.661229</v>
      </c>
      <c r="AI160" s="772" t="s">
        <v>233</v>
      </c>
      <c r="AK160" s="769" t="s">
        <v>496</v>
      </c>
      <c r="AL160" s="770" t="s">
        <v>494</v>
      </c>
      <c r="AM160" s="770" t="s">
        <v>509</v>
      </c>
      <c r="AN160" s="770" t="s">
        <v>548</v>
      </c>
      <c r="AO160" s="770" t="s">
        <v>493</v>
      </c>
      <c r="AP160" s="770" t="s">
        <v>504</v>
      </c>
      <c r="AQ160" s="770" t="s">
        <v>501</v>
      </c>
      <c r="AR160" s="784" t="s">
        <v>502</v>
      </c>
      <c r="AS160" s="771">
        <v>9606.759557</v>
      </c>
      <c r="AT160" s="771">
        <v>7660.285234</v>
      </c>
      <c r="AU160" s="771">
        <v>12114.72365</v>
      </c>
      <c r="AV160" s="772" t="s">
        <v>233</v>
      </c>
      <c r="AW160" s="714"/>
    </row>
    <row r="161">
      <c r="A161" s="761"/>
      <c r="B161" s="769" t="s">
        <v>493</v>
      </c>
      <c r="C161" s="770" t="s">
        <v>546</v>
      </c>
      <c r="D161" s="770" t="s">
        <v>494</v>
      </c>
      <c r="E161" s="770" t="s">
        <v>505</v>
      </c>
      <c r="F161" s="770" t="s">
        <v>519</v>
      </c>
      <c r="G161" s="770" t="s">
        <v>103</v>
      </c>
      <c r="H161" s="770">
        <v>2019.0</v>
      </c>
      <c r="I161" s="771">
        <v>6906.191256</v>
      </c>
      <c r="J161" s="771">
        <v>8317.155207</v>
      </c>
      <c r="K161" s="772">
        <v>5674.956902</v>
      </c>
      <c r="M161" s="769" t="s">
        <v>493</v>
      </c>
      <c r="N161" s="770" t="s">
        <v>546</v>
      </c>
      <c r="O161" s="770" t="s">
        <v>494</v>
      </c>
      <c r="P161" s="770" t="s">
        <v>505</v>
      </c>
      <c r="Q161" s="770" t="s">
        <v>519</v>
      </c>
      <c r="R161" s="770" t="s">
        <v>497</v>
      </c>
      <c r="S161" s="770">
        <v>2019.0</v>
      </c>
      <c r="T161" s="771">
        <v>77977.58283</v>
      </c>
      <c r="U161" s="771">
        <v>93908.73131</v>
      </c>
      <c r="V161" s="772">
        <v>64075.75543</v>
      </c>
      <c r="X161" s="769" t="s">
        <v>496</v>
      </c>
      <c r="Y161" s="770" t="s">
        <v>494</v>
      </c>
      <c r="Z161" s="770" t="s">
        <v>513</v>
      </c>
      <c r="AA161" s="770" t="s">
        <v>548</v>
      </c>
      <c r="AB161" s="770" t="s">
        <v>493</v>
      </c>
      <c r="AC161" s="770" t="s">
        <v>103</v>
      </c>
      <c r="AD161" s="770" t="s">
        <v>501</v>
      </c>
      <c r="AE161" s="784" t="s">
        <v>502</v>
      </c>
      <c r="AF161" s="771">
        <v>16309.24135</v>
      </c>
      <c r="AG161" s="771">
        <v>13097.25866</v>
      </c>
      <c r="AH161" s="771">
        <v>20535.73795</v>
      </c>
      <c r="AI161" s="772" t="s">
        <v>233</v>
      </c>
      <c r="AK161" s="769" t="s">
        <v>496</v>
      </c>
      <c r="AL161" s="770" t="s">
        <v>494</v>
      </c>
      <c r="AM161" s="770" t="s">
        <v>513</v>
      </c>
      <c r="AN161" s="770" t="s">
        <v>548</v>
      </c>
      <c r="AO161" s="770" t="s">
        <v>493</v>
      </c>
      <c r="AP161" s="770" t="s">
        <v>504</v>
      </c>
      <c r="AQ161" s="770" t="s">
        <v>501</v>
      </c>
      <c r="AR161" s="784" t="s">
        <v>502</v>
      </c>
      <c r="AS161" s="771">
        <v>1701.532823</v>
      </c>
      <c r="AT161" s="771">
        <v>1366.428703</v>
      </c>
      <c r="AU161" s="771">
        <v>2142.480537</v>
      </c>
      <c r="AV161" s="772" t="s">
        <v>233</v>
      </c>
      <c r="AW161" s="714"/>
    </row>
    <row r="162">
      <c r="A162" s="761"/>
      <c r="B162" s="769" t="s">
        <v>493</v>
      </c>
      <c r="C162" s="770" t="s">
        <v>546</v>
      </c>
      <c r="D162" s="770" t="s">
        <v>494</v>
      </c>
      <c r="E162" s="770" t="s">
        <v>508</v>
      </c>
      <c r="F162" s="770" t="s">
        <v>519</v>
      </c>
      <c r="G162" s="770" t="s">
        <v>103</v>
      </c>
      <c r="H162" s="770">
        <v>2019.0</v>
      </c>
      <c r="I162" s="771">
        <v>415.3950206</v>
      </c>
      <c r="J162" s="771">
        <v>811.117657</v>
      </c>
      <c r="K162" s="772">
        <v>172.9393489</v>
      </c>
      <c r="M162" s="769" t="s">
        <v>493</v>
      </c>
      <c r="N162" s="770" t="s">
        <v>546</v>
      </c>
      <c r="O162" s="770" t="s">
        <v>494</v>
      </c>
      <c r="P162" s="770" t="s">
        <v>508</v>
      </c>
      <c r="Q162" s="770" t="s">
        <v>519</v>
      </c>
      <c r="R162" s="770" t="s">
        <v>497</v>
      </c>
      <c r="S162" s="770">
        <v>2019.0</v>
      </c>
      <c r="T162" s="771">
        <v>101.7029948</v>
      </c>
      <c r="U162" s="771">
        <v>198.5895131</v>
      </c>
      <c r="V162" s="772">
        <v>42.34150347</v>
      </c>
      <c r="X162" s="769" t="s">
        <v>514</v>
      </c>
      <c r="Y162" s="770" t="s">
        <v>494</v>
      </c>
      <c r="Z162" s="770" t="s">
        <v>499</v>
      </c>
      <c r="AA162" s="770" t="s">
        <v>548</v>
      </c>
      <c r="AB162" s="770" t="s">
        <v>493</v>
      </c>
      <c r="AC162" s="770" t="s">
        <v>103</v>
      </c>
      <c r="AD162" s="770" t="s">
        <v>501</v>
      </c>
      <c r="AE162" s="784" t="s">
        <v>502</v>
      </c>
      <c r="AF162" s="771">
        <v>5030.929427</v>
      </c>
      <c r="AG162" s="771">
        <v>3978.228092</v>
      </c>
      <c r="AH162" s="771">
        <v>6318.681204</v>
      </c>
      <c r="AI162" s="772" t="s">
        <v>233</v>
      </c>
      <c r="AK162" s="769" t="s">
        <v>514</v>
      </c>
      <c r="AL162" s="770" t="s">
        <v>494</v>
      </c>
      <c r="AM162" s="770" t="s">
        <v>499</v>
      </c>
      <c r="AN162" s="770" t="s">
        <v>548</v>
      </c>
      <c r="AO162" s="770" t="s">
        <v>493</v>
      </c>
      <c r="AP162" s="770" t="s">
        <v>504</v>
      </c>
      <c r="AQ162" s="770" t="s">
        <v>501</v>
      </c>
      <c r="AR162" s="784" t="s">
        <v>502</v>
      </c>
      <c r="AS162" s="771">
        <v>126313.8844</v>
      </c>
      <c r="AT162" s="771">
        <v>99883.22247</v>
      </c>
      <c r="AU162" s="771">
        <v>158646.067</v>
      </c>
      <c r="AV162" s="772" t="s">
        <v>233</v>
      </c>
      <c r="AW162" s="714"/>
    </row>
    <row r="163">
      <c r="A163" s="761"/>
      <c r="B163" s="769" t="s">
        <v>493</v>
      </c>
      <c r="C163" s="770" t="s">
        <v>546</v>
      </c>
      <c r="D163" s="770" t="s">
        <v>494</v>
      </c>
      <c r="E163" s="770" t="s">
        <v>512</v>
      </c>
      <c r="F163" s="770" t="s">
        <v>519</v>
      </c>
      <c r="G163" s="770" t="s">
        <v>103</v>
      </c>
      <c r="H163" s="770">
        <v>2019.0</v>
      </c>
      <c r="I163" s="771">
        <v>1432.155811</v>
      </c>
      <c r="J163" s="771">
        <v>2039.699224</v>
      </c>
      <c r="K163" s="772">
        <v>941.2496622</v>
      </c>
      <c r="M163" s="769" t="s">
        <v>493</v>
      </c>
      <c r="N163" s="770" t="s">
        <v>546</v>
      </c>
      <c r="O163" s="770" t="s">
        <v>494</v>
      </c>
      <c r="P163" s="770" t="s">
        <v>512</v>
      </c>
      <c r="Q163" s="770" t="s">
        <v>519</v>
      </c>
      <c r="R163" s="770" t="s">
        <v>497</v>
      </c>
      <c r="S163" s="770">
        <v>2019.0</v>
      </c>
      <c r="T163" s="771">
        <v>5462.932353</v>
      </c>
      <c r="U163" s="771">
        <v>7780.395676</v>
      </c>
      <c r="V163" s="772">
        <v>3590.379755</v>
      </c>
      <c r="X163" s="769" t="s">
        <v>514</v>
      </c>
      <c r="Y163" s="770" t="s">
        <v>494</v>
      </c>
      <c r="Z163" s="770" t="s">
        <v>507</v>
      </c>
      <c r="AA163" s="770" t="s">
        <v>548</v>
      </c>
      <c r="AB163" s="770" t="s">
        <v>493</v>
      </c>
      <c r="AC163" s="770" t="s">
        <v>103</v>
      </c>
      <c r="AD163" s="770" t="s">
        <v>501</v>
      </c>
      <c r="AE163" s="784" t="s">
        <v>502</v>
      </c>
      <c r="AF163" s="771">
        <v>3591.84511</v>
      </c>
      <c r="AG163" s="771">
        <v>2812.408294</v>
      </c>
      <c r="AH163" s="771">
        <v>4591.808033</v>
      </c>
      <c r="AI163" s="772" t="s">
        <v>233</v>
      </c>
      <c r="AK163" s="769" t="s">
        <v>514</v>
      </c>
      <c r="AL163" s="770" t="s">
        <v>494</v>
      </c>
      <c r="AM163" s="770" t="s">
        <v>507</v>
      </c>
      <c r="AN163" s="770" t="s">
        <v>548</v>
      </c>
      <c r="AO163" s="770" t="s">
        <v>493</v>
      </c>
      <c r="AP163" s="770" t="s">
        <v>504</v>
      </c>
      <c r="AQ163" s="770" t="s">
        <v>501</v>
      </c>
      <c r="AR163" s="784" t="s">
        <v>502</v>
      </c>
      <c r="AS163" s="771">
        <v>1928.819524</v>
      </c>
      <c r="AT163" s="771">
        <v>1510.262236</v>
      </c>
      <c r="AU163" s="771">
        <v>2465.799252</v>
      </c>
      <c r="AV163" s="772" t="s">
        <v>233</v>
      </c>
      <c r="AW163" s="714"/>
    </row>
    <row r="164">
      <c r="A164" s="761"/>
      <c r="B164" s="769" t="s">
        <v>493</v>
      </c>
      <c r="C164" s="770" t="s">
        <v>546</v>
      </c>
      <c r="D164" s="770" t="s">
        <v>494</v>
      </c>
      <c r="E164" s="770" t="s">
        <v>495</v>
      </c>
      <c r="F164" s="770" t="s">
        <v>521</v>
      </c>
      <c r="G164" s="770" t="s">
        <v>103</v>
      </c>
      <c r="H164" s="770">
        <v>2019.0</v>
      </c>
      <c r="I164" s="771">
        <v>198.7594381</v>
      </c>
      <c r="J164" s="771">
        <v>542.7359191</v>
      </c>
      <c r="K164" s="772">
        <v>48.4599161</v>
      </c>
      <c r="M164" s="769" t="s">
        <v>493</v>
      </c>
      <c r="N164" s="770" t="s">
        <v>546</v>
      </c>
      <c r="O164" s="770" t="s">
        <v>494</v>
      </c>
      <c r="P164" s="770" t="s">
        <v>495</v>
      </c>
      <c r="Q164" s="770" t="s">
        <v>521</v>
      </c>
      <c r="R164" s="770" t="s">
        <v>497</v>
      </c>
      <c r="S164" s="770">
        <v>2019.0</v>
      </c>
      <c r="T164" s="771">
        <v>9.560471753</v>
      </c>
      <c r="U164" s="771">
        <v>26.10598759</v>
      </c>
      <c r="V164" s="772">
        <v>2.330956776</v>
      </c>
      <c r="X164" s="769" t="s">
        <v>514</v>
      </c>
      <c r="Y164" s="770" t="s">
        <v>494</v>
      </c>
      <c r="Z164" s="770" t="s">
        <v>509</v>
      </c>
      <c r="AA164" s="770" t="s">
        <v>548</v>
      </c>
      <c r="AB164" s="770" t="s">
        <v>493</v>
      </c>
      <c r="AC164" s="770" t="s">
        <v>103</v>
      </c>
      <c r="AD164" s="770" t="s">
        <v>501</v>
      </c>
      <c r="AE164" s="784" t="s">
        <v>502</v>
      </c>
      <c r="AF164" s="771">
        <v>977.8481346</v>
      </c>
      <c r="AG164" s="771">
        <v>767.8141746</v>
      </c>
      <c r="AH164" s="771">
        <v>1242.733965</v>
      </c>
      <c r="AI164" s="772" t="s">
        <v>233</v>
      </c>
      <c r="AK164" s="769" t="s">
        <v>514</v>
      </c>
      <c r="AL164" s="770" t="s">
        <v>494</v>
      </c>
      <c r="AM164" s="770" t="s">
        <v>509</v>
      </c>
      <c r="AN164" s="770" t="s">
        <v>548</v>
      </c>
      <c r="AO164" s="770" t="s">
        <v>493</v>
      </c>
      <c r="AP164" s="770" t="s">
        <v>504</v>
      </c>
      <c r="AQ164" s="770" t="s">
        <v>501</v>
      </c>
      <c r="AR164" s="784" t="s">
        <v>502</v>
      </c>
      <c r="AS164" s="771">
        <v>8315.211847</v>
      </c>
      <c r="AT164" s="771">
        <v>6529.170835</v>
      </c>
      <c r="AU164" s="771">
        <v>10567.69024</v>
      </c>
      <c r="AV164" s="772" t="s">
        <v>233</v>
      </c>
      <c r="AW164" s="714"/>
    </row>
    <row r="165">
      <c r="A165" s="761"/>
      <c r="B165" s="769" t="s">
        <v>493</v>
      </c>
      <c r="C165" s="770" t="s">
        <v>546</v>
      </c>
      <c r="D165" s="770" t="s">
        <v>494</v>
      </c>
      <c r="E165" s="770" t="s">
        <v>505</v>
      </c>
      <c r="F165" s="770" t="s">
        <v>521</v>
      </c>
      <c r="G165" s="770" t="s">
        <v>103</v>
      </c>
      <c r="H165" s="770">
        <v>2019.0</v>
      </c>
      <c r="I165" s="771">
        <v>0.0</v>
      </c>
      <c r="J165" s="771">
        <v>0.0</v>
      </c>
      <c r="K165" s="772">
        <v>0.0</v>
      </c>
      <c r="M165" s="769" t="s">
        <v>493</v>
      </c>
      <c r="N165" s="770" t="s">
        <v>546</v>
      </c>
      <c r="O165" s="770" t="s">
        <v>494</v>
      </c>
      <c r="P165" s="770" t="s">
        <v>505</v>
      </c>
      <c r="Q165" s="770" t="s">
        <v>521</v>
      </c>
      <c r="R165" s="770" t="s">
        <v>497</v>
      </c>
      <c r="S165" s="770">
        <v>2019.0</v>
      </c>
      <c r="T165" s="771">
        <v>0.0</v>
      </c>
      <c r="U165" s="771">
        <v>0.0</v>
      </c>
      <c r="V165" s="772">
        <v>0.0</v>
      </c>
      <c r="X165" s="769" t="s">
        <v>514</v>
      </c>
      <c r="Y165" s="770" t="s">
        <v>494</v>
      </c>
      <c r="Z165" s="770" t="s">
        <v>513</v>
      </c>
      <c r="AA165" s="770" t="s">
        <v>548</v>
      </c>
      <c r="AB165" s="770" t="s">
        <v>493</v>
      </c>
      <c r="AC165" s="770" t="s">
        <v>103</v>
      </c>
      <c r="AD165" s="770" t="s">
        <v>501</v>
      </c>
      <c r="AE165" s="784" t="s">
        <v>502</v>
      </c>
      <c r="AF165" s="771">
        <v>14171.81568</v>
      </c>
      <c r="AG165" s="771">
        <v>11143.67481</v>
      </c>
      <c r="AH165" s="771">
        <v>17881.35101</v>
      </c>
      <c r="AI165" s="772" t="s">
        <v>233</v>
      </c>
      <c r="AK165" s="769" t="s">
        <v>514</v>
      </c>
      <c r="AL165" s="770" t="s">
        <v>494</v>
      </c>
      <c r="AM165" s="770" t="s">
        <v>513</v>
      </c>
      <c r="AN165" s="770" t="s">
        <v>548</v>
      </c>
      <c r="AO165" s="770" t="s">
        <v>493</v>
      </c>
      <c r="AP165" s="770" t="s">
        <v>504</v>
      </c>
      <c r="AQ165" s="770" t="s">
        <v>501</v>
      </c>
      <c r="AR165" s="784" t="s">
        <v>502</v>
      </c>
      <c r="AS165" s="771">
        <v>1478.536556</v>
      </c>
      <c r="AT165" s="771">
        <v>1162.612537</v>
      </c>
      <c r="AU165" s="771">
        <v>1865.550028</v>
      </c>
      <c r="AV165" s="772" t="s">
        <v>233</v>
      </c>
      <c r="AW165" s="714"/>
    </row>
    <row r="166">
      <c r="A166" s="761"/>
      <c r="B166" s="769" t="s">
        <v>493</v>
      </c>
      <c r="C166" s="770" t="s">
        <v>546</v>
      </c>
      <c r="D166" s="770" t="s">
        <v>494</v>
      </c>
      <c r="E166" s="770" t="s">
        <v>508</v>
      </c>
      <c r="F166" s="770" t="s">
        <v>521</v>
      </c>
      <c r="G166" s="770" t="s">
        <v>103</v>
      </c>
      <c r="H166" s="770">
        <v>2019.0</v>
      </c>
      <c r="I166" s="771">
        <v>58.66939169</v>
      </c>
      <c r="J166" s="771">
        <v>158.7700638</v>
      </c>
      <c r="K166" s="772">
        <v>14.60248157</v>
      </c>
      <c r="M166" s="769" t="s">
        <v>493</v>
      </c>
      <c r="N166" s="770" t="s">
        <v>546</v>
      </c>
      <c r="O166" s="770" t="s">
        <v>494</v>
      </c>
      <c r="P166" s="770" t="s">
        <v>508</v>
      </c>
      <c r="Q166" s="770" t="s">
        <v>521</v>
      </c>
      <c r="R166" s="770" t="s">
        <v>497</v>
      </c>
      <c r="S166" s="770">
        <v>2019.0</v>
      </c>
      <c r="T166" s="771">
        <v>14.36428591</v>
      </c>
      <c r="U166" s="771">
        <v>38.87237491</v>
      </c>
      <c r="V166" s="772">
        <v>3.575189961</v>
      </c>
      <c r="X166" s="769" t="s">
        <v>518</v>
      </c>
      <c r="Y166" s="770" t="s">
        <v>494</v>
      </c>
      <c r="Z166" s="770" t="s">
        <v>499</v>
      </c>
      <c r="AA166" s="770" t="s">
        <v>548</v>
      </c>
      <c r="AB166" s="770" t="s">
        <v>493</v>
      </c>
      <c r="AC166" s="770" t="s">
        <v>103</v>
      </c>
      <c r="AD166" s="770" t="s">
        <v>501</v>
      </c>
      <c r="AE166" s="784" t="s">
        <v>502</v>
      </c>
      <c r="AF166" s="771">
        <v>50.35999502</v>
      </c>
      <c r="AG166" s="771">
        <v>22.69416523</v>
      </c>
      <c r="AH166" s="771">
        <v>99.88381048</v>
      </c>
      <c r="AI166" s="772" t="s">
        <v>233</v>
      </c>
      <c r="AK166" s="769" t="s">
        <v>518</v>
      </c>
      <c r="AL166" s="770" t="s">
        <v>494</v>
      </c>
      <c r="AM166" s="770" t="s">
        <v>499</v>
      </c>
      <c r="AN166" s="770" t="s">
        <v>548</v>
      </c>
      <c r="AO166" s="770" t="s">
        <v>493</v>
      </c>
      <c r="AP166" s="770" t="s">
        <v>504</v>
      </c>
      <c r="AQ166" s="770" t="s">
        <v>501</v>
      </c>
      <c r="AR166" s="784" t="s">
        <v>502</v>
      </c>
      <c r="AS166" s="771">
        <v>1264.411811</v>
      </c>
      <c r="AT166" s="771">
        <v>569.7929587</v>
      </c>
      <c r="AU166" s="771">
        <v>2507.829273</v>
      </c>
      <c r="AV166" s="772" t="s">
        <v>233</v>
      </c>
      <c r="AW166" s="714"/>
    </row>
    <row r="167">
      <c r="A167" s="761"/>
      <c r="B167" s="769" t="s">
        <v>493</v>
      </c>
      <c r="C167" s="770" t="s">
        <v>546</v>
      </c>
      <c r="D167" s="770" t="s">
        <v>494</v>
      </c>
      <c r="E167" s="770" t="s">
        <v>512</v>
      </c>
      <c r="F167" s="770" t="s">
        <v>521</v>
      </c>
      <c r="G167" s="770" t="s">
        <v>103</v>
      </c>
      <c r="H167" s="770">
        <v>2019.0</v>
      </c>
      <c r="I167" s="771">
        <v>0.0</v>
      </c>
      <c r="J167" s="771">
        <v>0.0</v>
      </c>
      <c r="K167" s="772">
        <v>0.0</v>
      </c>
      <c r="M167" s="769" t="s">
        <v>493</v>
      </c>
      <c r="N167" s="770" t="s">
        <v>546</v>
      </c>
      <c r="O167" s="770" t="s">
        <v>494</v>
      </c>
      <c r="P167" s="770" t="s">
        <v>512</v>
      </c>
      <c r="Q167" s="770" t="s">
        <v>521</v>
      </c>
      <c r="R167" s="770" t="s">
        <v>497</v>
      </c>
      <c r="S167" s="770">
        <v>2019.0</v>
      </c>
      <c r="T167" s="771">
        <v>0.0</v>
      </c>
      <c r="U167" s="771">
        <v>0.0</v>
      </c>
      <c r="V167" s="772">
        <v>0.0</v>
      </c>
      <c r="X167" s="769" t="s">
        <v>518</v>
      </c>
      <c r="Y167" s="770" t="s">
        <v>494</v>
      </c>
      <c r="Z167" s="770" t="s">
        <v>507</v>
      </c>
      <c r="AA167" s="770" t="s">
        <v>548</v>
      </c>
      <c r="AB167" s="770" t="s">
        <v>493</v>
      </c>
      <c r="AC167" s="770" t="s">
        <v>103</v>
      </c>
      <c r="AD167" s="770" t="s">
        <v>501</v>
      </c>
      <c r="AE167" s="784" t="s">
        <v>502</v>
      </c>
      <c r="AF167" s="771">
        <v>1199.554378</v>
      </c>
      <c r="AG167" s="771">
        <v>654.0561921</v>
      </c>
      <c r="AH167" s="771">
        <v>1942.622525</v>
      </c>
      <c r="AI167" s="772" t="s">
        <v>233</v>
      </c>
      <c r="AK167" s="769" t="s">
        <v>518</v>
      </c>
      <c r="AL167" s="770" t="s">
        <v>494</v>
      </c>
      <c r="AM167" s="770" t="s">
        <v>507</v>
      </c>
      <c r="AN167" s="770" t="s">
        <v>548</v>
      </c>
      <c r="AO167" s="770" t="s">
        <v>493</v>
      </c>
      <c r="AP167" s="770" t="s">
        <v>504</v>
      </c>
      <c r="AQ167" s="770" t="s">
        <v>501</v>
      </c>
      <c r="AR167" s="784" t="s">
        <v>502</v>
      </c>
      <c r="AS167" s="771">
        <v>644.1602669</v>
      </c>
      <c r="AT167" s="771">
        <v>351.2279385</v>
      </c>
      <c r="AU167" s="771">
        <v>1043.187593</v>
      </c>
      <c r="AV167" s="772" t="s">
        <v>233</v>
      </c>
      <c r="AW167" s="714"/>
    </row>
    <row r="168">
      <c r="A168" s="761"/>
      <c r="B168" s="786" t="s">
        <v>493</v>
      </c>
      <c r="C168" s="787" t="s">
        <v>546</v>
      </c>
      <c r="D168" s="787" t="s">
        <v>494</v>
      </c>
      <c r="E168" s="787" t="s">
        <v>495</v>
      </c>
      <c r="F168" s="787" t="s">
        <v>523</v>
      </c>
      <c r="G168" s="787" t="s">
        <v>103</v>
      </c>
      <c r="H168" s="788">
        <v>2019.0</v>
      </c>
      <c r="I168" s="789">
        <v>1183.207939</v>
      </c>
      <c r="J168" s="789">
        <v>2280.637968</v>
      </c>
      <c r="K168" s="790">
        <v>530.6934444</v>
      </c>
      <c r="M168" s="786" t="s">
        <v>493</v>
      </c>
      <c r="N168" s="787" t="s">
        <v>546</v>
      </c>
      <c r="O168" s="787" t="s">
        <v>494</v>
      </c>
      <c r="P168" s="787" t="s">
        <v>495</v>
      </c>
      <c r="Q168" s="787" t="s">
        <v>523</v>
      </c>
      <c r="R168" s="787" t="s">
        <v>497</v>
      </c>
      <c r="S168" s="788">
        <v>2019.0</v>
      </c>
      <c r="T168" s="789">
        <v>56.91315183</v>
      </c>
      <c r="U168" s="789">
        <v>109.7003246</v>
      </c>
      <c r="V168" s="790">
        <v>25.5267359</v>
      </c>
      <c r="X168" s="769" t="s">
        <v>518</v>
      </c>
      <c r="Y168" s="770" t="s">
        <v>494</v>
      </c>
      <c r="Z168" s="770" t="s">
        <v>509</v>
      </c>
      <c r="AA168" s="770" t="s">
        <v>548</v>
      </c>
      <c r="AB168" s="770" t="s">
        <v>493</v>
      </c>
      <c r="AC168" s="770" t="s">
        <v>103</v>
      </c>
      <c r="AD168" s="770" t="s">
        <v>501</v>
      </c>
      <c r="AE168" s="784" t="s">
        <v>502</v>
      </c>
      <c r="AF168" s="771">
        <v>103.4326751</v>
      </c>
      <c r="AG168" s="771">
        <v>52.42462412</v>
      </c>
      <c r="AH168" s="771">
        <v>182.4209147</v>
      </c>
      <c r="AI168" s="772" t="s">
        <v>233</v>
      </c>
      <c r="AK168" s="769" t="s">
        <v>518</v>
      </c>
      <c r="AL168" s="770" t="s">
        <v>494</v>
      </c>
      <c r="AM168" s="770" t="s">
        <v>509</v>
      </c>
      <c r="AN168" s="770" t="s">
        <v>548</v>
      </c>
      <c r="AO168" s="770" t="s">
        <v>493</v>
      </c>
      <c r="AP168" s="770" t="s">
        <v>504</v>
      </c>
      <c r="AQ168" s="770" t="s">
        <v>501</v>
      </c>
      <c r="AR168" s="784" t="s">
        <v>502</v>
      </c>
      <c r="AS168" s="771">
        <v>879.5482397</v>
      </c>
      <c r="AT168" s="771">
        <v>445.7970927</v>
      </c>
      <c r="AU168" s="771">
        <v>1551.231216</v>
      </c>
      <c r="AV168" s="772" t="s">
        <v>233</v>
      </c>
      <c r="AW168" s="714"/>
    </row>
    <row r="169">
      <c r="A169" s="761"/>
      <c r="B169" s="776" t="s">
        <v>493</v>
      </c>
      <c r="C169" s="777" t="s">
        <v>546</v>
      </c>
      <c r="D169" s="777" t="s">
        <v>494</v>
      </c>
      <c r="E169" s="777" t="s">
        <v>505</v>
      </c>
      <c r="F169" s="777" t="s">
        <v>523</v>
      </c>
      <c r="G169" s="777" t="s">
        <v>103</v>
      </c>
      <c r="H169" s="778">
        <v>2019.0</v>
      </c>
      <c r="I169" s="780">
        <v>0.0</v>
      </c>
      <c r="J169" s="780">
        <v>0.0</v>
      </c>
      <c r="K169" s="782">
        <v>0.0</v>
      </c>
      <c r="M169" s="776" t="s">
        <v>493</v>
      </c>
      <c r="N169" s="777" t="s">
        <v>546</v>
      </c>
      <c r="O169" s="777" t="s">
        <v>494</v>
      </c>
      <c r="P169" s="777" t="s">
        <v>505</v>
      </c>
      <c r="Q169" s="777" t="s">
        <v>523</v>
      </c>
      <c r="R169" s="777" t="s">
        <v>497</v>
      </c>
      <c r="S169" s="778">
        <v>2019.0</v>
      </c>
      <c r="T169" s="780">
        <v>0.0</v>
      </c>
      <c r="U169" s="780">
        <v>0.0</v>
      </c>
      <c r="V169" s="782">
        <v>0.0</v>
      </c>
      <c r="X169" s="769" t="s">
        <v>518</v>
      </c>
      <c r="Y169" s="770" t="s">
        <v>494</v>
      </c>
      <c r="Z169" s="770" t="s">
        <v>513</v>
      </c>
      <c r="AA169" s="770" t="s">
        <v>548</v>
      </c>
      <c r="AB169" s="770" t="s">
        <v>493</v>
      </c>
      <c r="AC169" s="770" t="s">
        <v>103</v>
      </c>
      <c r="AD169" s="770" t="s">
        <v>501</v>
      </c>
      <c r="AE169" s="784" t="s">
        <v>502</v>
      </c>
      <c r="AF169" s="771">
        <v>2343.985392</v>
      </c>
      <c r="AG169" s="771">
        <v>1408.563029</v>
      </c>
      <c r="AH169" s="771">
        <v>3699.71771</v>
      </c>
      <c r="AI169" s="772" t="s">
        <v>233</v>
      </c>
      <c r="AK169" s="769" t="s">
        <v>518</v>
      </c>
      <c r="AL169" s="770" t="s">
        <v>494</v>
      </c>
      <c r="AM169" s="770" t="s">
        <v>513</v>
      </c>
      <c r="AN169" s="770" t="s">
        <v>548</v>
      </c>
      <c r="AO169" s="770" t="s">
        <v>493</v>
      </c>
      <c r="AP169" s="770" t="s">
        <v>504</v>
      </c>
      <c r="AQ169" s="770" t="s">
        <v>501</v>
      </c>
      <c r="AR169" s="784" t="s">
        <v>502</v>
      </c>
      <c r="AS169" s="771">
        <v>244.5465118</v>
      </c>
      <c r="AT169" s="771">
        <v>146.9544889</v>
      </c>
      <c r="AU169" s="771">
        <v>385.989206</v>
      </c>
      <c r="AV169" s="772" t="s">
        <v>233</v>
      </c>
      <c r="AW169" s="714"/>
    </row>
    <row r="170">
      <c r="A170" s="761"/>
      <c r="B170" s="776" t="s">
        <v>493</v>
      </c>
      <c r="C170" s="777" t="s">
        <v>546</v>
      </c>
      <c r="D170" s="777" t="s">
        <v>494</v>
      </c>
      <c r="E170" s="777" t="s">
        <v>508</v>
      </c>
      <c r="F170" s="777" t="s">
        <v>523</v>
      </c>
      <c r="G170" s="777" t="s">
        <v>103</v>
      </c>
      <c r="H170" s="778">
        <v>2019.0</v>
      </c>
      <c r="I170" s="780">
        <v>530.9752056</v>
      </c>
      <c r="J170" s="780">
        <v>1117.357177</v>
      </c>
      <c r="K170" s="782">
        <v>215.2280106</v>
      </c>
      <c r="M170" s="776" t="s">
        <v>493</v>
      </c>
      <c r="N170" s="777" t="s">
        <v>546</v>
      </c>
      <c r="O170" s="777" t="s">
        <v>494</v>
      </c>
      <c r="P170" s="777" t="s">
        <v>508</v>
      </c>
      <c r="Q170" s="777" t="s">
        <v>523</v>
      </c>
      <c r="R170" s="777" t="s">
        <v>497</v>
      </c>
      <c r="S170" s="778">
        <v>2019.0</v>
      </c>
      <c r="T170" s="780">
        <v>130.0010012</v>
      </c>
      <c r="U170" s="780">
        <v>273.5674853</v>
      </c>
      <c r="V170" s="782">
        <v>52.69522301</v>
      </c>
      <c r="X170" s="769" t="s">
        <v>519</v>
      </c>
      <c r="Y170" s="770" t="s">
        <v>494</v>
      </c>
      <c r="Z170" s="770" t="s">
        <v>499</v>
      </c>
      <c r="AA170" s="770" t="s">
        <v>548</v>
      </c>
      <c r="AB170" s="770" t="s">
        <v>493</v>
      </c>
      <c r="AC170" s="770" t="s">
        <v>103</v>
      </c>
      <c r="AD170" s="770" t="s">
        <v>501</v>
      </c>
      <c r="AE170" s="784" t="s">
        <v>502</v>
      </c>
      <c r="AF170" s="771">
        <v>4173.886447</v>
      </c>
      <c r="AG170" s="771">
        <v>3275.42158</v>
      </c>
      <c r="AH170" s="771">
        <v>5283.474942</v>
      </c>
      <c r="AI170" s="772" t="s">
        <v>233</v>
      </c>
      <c r="AK170" s="769" t="s">
        <v>519</v>
      </c>
      <c r="AL170" s="770" t="s">
        <v>494</v>
      </c>
      <c r="AM170" s="770" t="s">
        <v>499</v>
      </c>
      <c r="AN170" s="770" t="s">
        <v>548</v>
      </c>
      <c r="AO170" s="770" t="s">
        <v>493</v>
      </c>
      <c r="AP170" s="770" t="s">
        <v>504</v>
      </c>
      <c r="AQ170" s="770" t="s">
        <v>501</v>
      </c>
      <c r="AR170" s="784" t="s">
        <v>502</v>
      </c>
      <c r="AS170" s="771">
        <v>104795.7078</v>
      </c>
      <c r="AT170" s="771">
        <v>82237.5326</v>
      </c>
      <c r="AU170" s="771">
        <v>132654.662</v>
      </c>
      <c r="AV170" s="772" t="s">
        <v>233</v>
      </c>
      <c r="AW170" s="714"/>
    </row>
    <row r="171">
      <c r="A171" s="761"/>
      <c r="B171" s="786" t="s">
        <v>493</v>
      </c>
      <c r="C171" s="787" t="s">
        <v>546</v>
      </c>
      <c r="D171" s="787" t="s">
        <v>494</v>
      </c>
      <c r="E171" s="787" t="s">
        <v>512</v>
      </c>
      <c r="F171" s="787" t="s">
        <v>523</v>
      </c>
      <c r="G171" s="787" t="s">
        <v>103</v>
      </c>
      <c r="H171" s="788">
        <v>2019.0</v>
      </c>
      <c r="I171" s="789">
        <v>0.0</v>
      </c>
      <c r="J171" s="789">
        <v>0.0</v>
      </c>
      <c r="K171" s="790">
        <v>0.0</v>
      </c>
      <c r="M171" s="786" t="s">
        <v>493</v>
      </c>
      <c r="N171" s="787" t="s">
        <v>546</v>
      </c>
      <c r="O171" s="787" t="s">
        <v>494</v>
      </c>
      <c r="P171" s="787" t="s">
        <v>512</v>
      </c>
      <c r="Q171" s="787" t="s">
        <v>523</v>
      </c>
      <c r="R171" s="787" t="s">
        <v>497</v>
      </c>
      <c r="S171" s="788">
        <v>2019.0</v>
      </c>
      <c r="T171" s="789">
        <v>0.0</v>
      </c>
      <c r="U171" s="789">
        <v>0.0</v>
      </c>
      <c r="V171" s="790">
        <v>0.0</v>
      </c>
      <c r="X171" s="769" t="s">
        <v>519</v>
      </c>
      <c r="Y171" s="770" t="s">
        <v>494</v>
      </c>
      <c r="Z171" s="770" t="s">
        <v>507</v>
      </c>
      <c r="AA171" s="770" t="s">
        <v>548</v>
      </c>
      <c r="AB171" s="770" t="s">
        <v>493</v>
      </c>
      <c r="AC171" s="770" t="s">
        <v>103</v>
      </c>
      <c r="AD171" s="770" t="s">
        <v>501</v>
      </c>
      <c r="AE171" s="784" t="s">
        <v>502</v>
      </c>
      <c r="AF171" s="771">
        <v>29.50325728</v>
      </c>
      <c r="AG171" s="771">
        <v>16.26530972</v>
      </c>
      <c r="AH171" s="771">
        <v>45.80112978</v>
      </c>
      <c r="AI171" s="772" t="s">
        <v>233</v>
      </c>
      <c r="AK171" s="769" t="s">
        <v>519</v>
      </c>
      <c r="AL171" s="770" t="s">
        <v>494</v>
      </c>
      <c r="AM171" s="770" t="s">
        <v>507</v>
      </c>
      <c r="AN171" s="770" t="s">
        <v>548</v>
      </c>
      <c r="AO171" s="770" t="s">
        <v>493</v>
      </c>
      <c r="AP171" s="770" t="s">
        <v>504</v>
      </c>
      <c r="AQ171" s="770" t="s">
        <v>501</v>
      </c>
      <c r="AR171" s="784" t="s">
        <v>502</v>
      </c>
      <c r="AS171" s="771">
        <v>15.84323848</v>
      </c>
      <c r="AT171" s="771">
        <v>8.734465436</v>
      </c>
      <c r="AU171" s="771">
        <v>24.59519012</v>
      </c>
      <c r="AV171" s="772" t="s">
        <v>233</v>
      </c>
      <c r="AW171" s="714"/>
    </row>
    <row r="172">
      <c r="A172" s="761"/>
      <c r="B172" s="769" t="s">
        <v>493</v>
      </c>
      <c r="C172" s="770" t="s">
        <v>557</v>
      </c>
      <c r="D172" s="770" t="s">
        <v>494</v>
      </c>
      <c r="E172" s="770" t="s">
        <v>495</v>
      </c>
      <c r="F172" s="770" t="s">
        <v>496</v>
      </c>
      <c r="G172" s="770" t="s">
        <v>103</v>
      </c>
      <c r="H172" s="770">
        <v>2019.0</v>
      </c>
      <c r="I172" s="771">
        <v>186.6654133</v>
      </c>
      <c r="J172" s="771">
        <v>252.7092951</v>
      </c>
      <c r="K172" s="772">
        <v>134.9104131</v>
      </c>
      <c r="M172" s="769" t="s">
        <v>493</v>
      </c>
      <c r="N172" s="770" t="s">
        <v>557</v>
      </c>
      <c r="O172" s="770" t="s">
        <v>494</v>
      </c>
      <c r="P172" s="770" t="s">
        <v>495</v>
      </c>
      <c r="Q172" s="770" t="s">
        <v>496</v>
      </c>
      <c r="R172" s="770" t="s">
        <v>497</v>
      </c>
      <c r="S172" s="770">
        <v>2019.0</v>
      </c>
      <c r="T172" s="771">
        <v>351.1883743</v>
      </c>
      <c r="U172" s="771">
        <v>475.4419415</v>
      </c>
      <c r="V172" s="772">
        <v>253.8176078</v>
      </c>
      <c r="X172" s="769" t="s">
        <v>519</v>
      </c>
      <c r="Y172" s="770" t="s">
        <v>494</v>
      </c>
      <c r="Z172" s="770" t="s">
        <v>509</v>
      </c>
      <c r="AA172" s="770" t="s">
        <v>548</v>
      </c>
      <c r="AB172" s="770" t="s">
        <v>493</v>
      </c>
      <c r="AC172" s="770" t="s">
        <v>103</v>
      </c>
      <c r="AD172" s="770" t="s">
        <v>501</v>
      </c>
      <c r="AE172" s="784" t="s">
        <v>502</v>
      </c>
      <c r="AF172" s="771">
        <v>444.6813372</v>
      </c>
      <c r="AG172" s="771">
        <v>317.9010657</v>
      </c>
      <c r="AH172" s="771">
        <v>593.4964619</v>
      </c>
      <c r="AI172" s="772" t="s">
        <v>233</v>
      </c>
      <c r="AK172" s="769" t="s">
        <v>519</v>
      </c>
      <c r="AL172" s="770" t="s">
        <v>494</v>
      </c>
      <c r="AM172" s="770" t="s">
        <v>509</v>
      </c>
      <c r="AN172" s="770" t="s">
        <v>548</v>
      </c>
      <c r="AO172" s="770" t="s">
        <v>493</v>
      </c>
      <c r="AP172" s="770" t="s">
        <v>504</v>
      </c>
      <c r="AQ172" s="770" t="s">
        <v>501</v>
      </c>
      <c r="AR172" s="784" t="s">
        <v>502</v>
      </c>
      <c r="AS172" s="771">
        <v>3781.384238</v>
      </c>
      <c r="AT172" s="771">
        <v>2703.297797</v>
      </c>
      <c r="AU172" s="771">
        <v>5046.845861</v>
      </c>
      <c r="AV172" s="772" t="s">
        <v>233</v>
      </c>
      <c r="AW172" s="714"/>
    </row>
    <row r="173">
      <c r="A173" s="761"/>
      <c r="B173" s="769" t="s">
        <v>493</v>
      </c>
      <c r="C173" s="770" t="s">
        <v>557</v>
      </c>
      <c r="D173" s="770" t="s">
        <v>494</v>
      </c>
      <c r="E173" s="770" t="s">
        <v>505</v>
      </c>
      <c r="F173" s="770" t="s">
        <v>496</v>
      </c>
      <c r="G173" s="770" t="s">
        <v>103</v>
      </c>
      <c r="H173" s="770">
        <v>2019.0</v>
      </c>
      <c r="I173" s="771">
        <v>86.25055635</v>
      </c>
      <c r="J173" s="771">
        <v>117.76048</v>
      </c>
      <c r="K173" s="772">
        <v>62.12965906</v>
      </c>
      <c r="M173" s="769" t="s">
        <v>493</v>
      </c>
      <c r="N173" s="770" t="s">
        <v>557</v>
      </c>
      <c r="O173" s="770" t="s">
        <v>494</v>
      </c>
      <c r="P173" s="770" t="s">
        <v>505</v>
      </c>
      <c r="Q173" s="770" t="s">
        <v>496</v>
      </c>
      <c r="R173" s="770" t="s">
        <v>497</v>
      </c>
      <c r="S173" s="770">
        <v>2019.0</v>
      </c>
      <c r="T173" s="771">
        <v>42230.36259</v>
      </c>
      <c r="U173" s="771">
        <v>57658.38483</v>
      </c>
      <c r="V173" s="772">
        <v>30420.18673</v>
      </c>
      <c r="X173" s="769" t="s">
        <v>519</v>
      </c>
      <c r="Y173" s="770" t="s">
        <v>494</v>
      </c>
      <c r="Z173" s="770" t="s">
        <v>513</v>
      </c>
      <c r="AA173" s="770" t="s">
        <v>548</v>
      </c>
      <c r="AB173" s="770" t="s">
        <v>493</v>
      </c>
      <c r="AC173" s="770" t="s">
        <v>103</v>
      </c>
      <c r="AD173" s="770" t="s">
        <v>501</v>
      </c>
      <c r="AE173" s="784" t="s">
        <v>502</v>
      </c>
      <c r="AF173" s="771">
        <v>4655.107971</v>
      </c>
      <c r="AG173" s="771">
        <v>3671.335094</v>
      </c>
      <c r="AH173" s="771">
        <v>5884.345361</v>
      </c>
      <c r="AI173" s="772" t="s">
        <v>233</v>
      </c>
      <c r="AK173" s="769" t="s">
        <v>519</v>
      </c>
      <c r="AL173" s="770" t="s">
        <v>494</v>
      </c>
      <c r="AM173" s="770" t="s">
        <v>513</v>
      </c>
      <c r="AN173" s="770" t="s">
        <v>548</v>
      </c>
      <c r="AO173" s="770" t="s">
        <v>493</v>
      </c>
      <c r="AP173" s="770" t="s">
        <v>504</v>
      </c>
      <c r="AQ173" s="770" t="s">
        <v>501</v>
      </c>
      <c r="AR173" s="784" t="s">
        <v>502</v>
      </c>
      <c r="AS173" s="771">
        <v>485.664467</v>
      </c>
      <c r="AT173" s="771">
        <v>383.0280657</v>
      </c>
      <c r="AU173" s="771">
        <v>613.9100255</v>
      </c>
      <c r="AV173" s="772" t="s">
        <v>233</v>
      </c>
      <c r="AW173" s="714"/>
    </row>
    <row r="174">
      <c r="A174" s="761"/>
      <c r="B174" s="769" t="s">
        <v>493</v>
      </c>
      <c r="C174" s="770" t="s">
        <v>557</v>
      </c>
      <c r="D174" s="770" t="s">
        <v>494</v>
      </c>
      <c r="E174" s="770" t="s">
        <v>508</v>
      </c>
      <c r="F174" s="770" t="s">
        <v>496</v>
      </c>
      <c r="G174" s="770" t="s">
        <v>103</v>
      </c>
      <c r="H174" s="770">
        <v>2019.0</v>
      </c>
      <c r="I174" s="771">
        <v>52.33023359</v>
      </c>
      <c r="J174" s="771">
        <v>70.74349495</v>
      </c>
      <c r="K174" s="772">
        <v>37.66096044</v>
      </c>
      <c r="M174" s="769" t="s">
        <v>493</v>
      </c>
      <c r="N174" s="770" t="s">
        <v>557</v>
      </c>
      <c r="O174" s="770" t="s">
        <v>494</v>
      </c>
      <c r="P174" s="770" t="s">
        <v>508</v>
      </c>
      <c r="Q174" s="770" t="s">
        <v>496</v>
      </c>
      <c r="R174" s="770" t="s">
        <v>497</v>
      </c>
      <c r="S174" s="770">
        <v>2019.0</v>
      </c>
      <c r="T174" s="771">
        <v>535.1082889</v>
      </c>
      <c r="U174" s="771">
        <v>723.3950231</v>
      </c>
      <c r="V174" s="772">
        <v>385.1060987</v>
      </c>
      <c r="X174" s="769" t="s">
        <v>521</v>
      </c>
      <c r="Y174" s="770" t="s">
        <v>494</v>
      </c>
      <c r="Z174" s="770" t="s">
        <v>499</v>
      </c>
      <c r="AA174" s="770" t="s">
        <v>548</v>
      </c>
      <c r="AB174" s="770" t="s">
        <v>493</v>
      </c>
      <c r="AC174" s="770" t="s">
        <v>103</v>
      </c>
      <c r="AD174" s="770" t="s">
        <v>501</v>
      </c>
      <c r="AE174" s="784" t="s">
        <v>502</v>
      </c>
      <c r="AF174" s="771">
        <v>0.0</v>
      </c>
      <c r="AG174" s="771">
        <v>0.0</v>
      </c>
      <c r="AH174" s="771">
        <v>0.0</v>
      </c>
      <c r="AI174" s="772" t="s">
        <v>233</v>
      </c>
      <c r="AK174" s="769" t="s">
        <v>521</v>
      </c>
      <c r="AL174" s="770" t="s">
        <v>494</v>
      </c>
      <c r="AM174" s="770" t="s">
        <v>499</v>
      </c>
      <c r="AN174" s="770" t="s">
        <v>548</v>
      </c>
      <c r="AO174" s="770" t="s">
        <v>493</v>
      </c>
      <c r="AP174" s="770" t="s">
        <v>504</v>
      </c>
      <c r="AQ174" s="770" t="s">
        <v>501</v>
      </c>
      <c r="AR174" s="784" t="s">
        <v>502</v>
      </c>
      <c r="AS174" s="771">
        <v>0.0</v>
      </c>
      <c r="AT174" s="771">
        <v>0.0</v>
      </c>
      <c r="AU174" s="771">
        <v>0.0</v>
      </c>
      <c r="AV174" s="772" t="s">
        <v>233</v>
      </c>
      <c r="AW174" s="714"/>
    </row>
    <row r="175">
      <c r="A175" s="761"/>
      <c r="B175" s="769" t="s">
        <v>493</v>
      </c>
      <c r="C175" s="770" t="s">
        <v>557</v>
      </c>
      <c r="D175" s="770" t="s">
        <v>494</v>
      </c>
      <c r="E175" s="770" t="s">
        <v>512</v>
      </c>
      <c r="F175" s="770" t="s">
        <v>496</v>
      </c>
      <c r="G175" s="770" t="s">
        <v>103</v>
      </c>
      <c r="H175" s="770">
        <v>2019.0</v>
      </c>
      <c r="I175" s="771">
        <v>16.76267098</v>
      </c>
      <c r="J175" s="771">
        <v>22.82725808</v>
      </c>
      <c r="K175" s="772">
        <v>12.12024378</v>
      </c>
      <c r="M175" s="769" t="s">
        <v>493</v>
      </c>
      <c r="N175" s="770" t="s">
        <v>557</v>
      </c>
      <c r="O175" s="770" t="s">
        <v>494</v>
      </c>
      <c r="P175" s="770" t="s">
        <v>512</v>
      </c>
      <c r="Q175" s="770" t="s">
        <v>496</v>
      </c>
      <c r="R175" s="770" t="s">
        <v>497</v>
      </c>
      <c r="S175" s="770">
        <v>2019.0</v>
      </c>
      <c r="T175" s="771">
        <v>2748.445198</v>
      </c>
      <c r="U175" s="771">
        <v>3742.808524</v>
      </c>
      <c r="V175" s="772">
        <v>1987.262403</v>
      </c>
      <c r="X175" s="769" t="s">
        <v>521</v>
      </c>
      <c r="Y175" s="770" t="s">
        <v>494</v>
      </c>
      <c r="Z175" s="770" t="s">
        <v>507</v>
      </c>
      <c r="AA175" s="770" t="s">
        <v>548</v>
      </c>
      <c r="AB175" s="770" t="s">
        <v>493</v>
      </c>
      <c r="AC175" s="770" t="s">
        <v>103</v>
      </c>
      <c r="AD175" s="770" t="s">
        <v>501</v>
      </c>
      <c r="AE175" s="784" t="s">
        <v>502</v>
      </c>
      <c r="AF175" s="771">
        <v>43.07579025</v>
      </c>
      <c r="AG175" s="771">
        <v>15.16640754</v>
      </c>
      <c r="AH175" s="771">
        <v>98.57395972</v>
      </c>
      <c r="AI175" s="772" t="s">
        <v>233</v>
      </c>
      <c r="AK175" s="769" t="s">
        <v>521</v>
      </c>
      <c r="AL175" s="770" t="s">
        <v>494</v>
      </c>
      <c r="AM175" s="770" t="s">
        <v>507</v>
      </c>
      <c r="AN175" s="770" t="s">
        <v>548</v>
      </c>
      <c r="AO175" s="770" t="s">
        <v>493</v>
      </c>
      <c r="AP175" s="770" t="s">
        <v>504</v>
      </c>
      <c r="AQ175" s="770" t="s">
        <v>501</v>
      </c>
      <c r="AR175" s="784" t="s">
        <v>502</v>
      </c>
      <c r="AS175" s="771">
        <v>23.13168378</v>
      </c>
      <c r="AT175" s="771">
        <v>8.14435536</v>
      </c>
      <c r="AU175" s="771">
        <v>52.9341807</v>
      </c>
      <c r="AV175" s="772" t="s">
        <v>233</v>
      </c>
      <c r="AW175" s="714"/>
    </row>
    <row r="176">
      <c r="A176" s="761"/>
      <c r="B176" s="769" t="s">
        <v>493</v>
      </c>
      <c r="C176" s="770" t="s">
        <v>557</v>
      </c>
      <c r="D176" s="770" t="s">
        <v>494</v>
      </c>
      <c r="E176" s="770" t="s">
        <v>495</v>
      </c>
      <c r="F176" s="770" t="s">
        <v>514</v>
      </c>
      <c r="G176" s="770" t="s">
        <v>103</v>
      </c>
      <c r="H176" s="770">
        <v>2019.0</v>
      </c>
      <c r="I176" s="771">
        <v>139.7741822</v>
      </c>
      <c r="J176" s="771">
        <v>188.075968</v>
      </c>
      <c r="K176" s="772">
        <v>98.9137785</v>
      </c>
      <c r="M176" s="769" t="s">
        <v>493</v>
      </c>
      <c r="N176" s="770" t="s">
        <v>557</v>
      </c>
      <c r="O176" s="770" t="s">
        <v>494</v>
      </c>
      <c r="P176" s="770" t="s">
        <v>495</v>
      </c>
      <c r="Q176" s="770" t="s">
        <v>514</v>
      </c>
      <c r="R176" s="770" t="s">
        <v>497</v>
      </c>
      <c r="S176" s="770">
        <v>2019.0</v>
      </c>
      <c r="T176" s="771">
        <v>262.9682004</v>
      </c>
      <c r="U176" s="771">
        <v>353.8421621</v>
      </c>
      <c r="V176" s="772">
        <v>186.0942981</v>
      </c>
      <c r="X176" s="769" t="s">
        <v>521</v>
      </c>
      <c r="Y176" s="770" t="s">
        <v>494</v>
      </c>
      <c r="Z176" s="770" t="s">
        <v>509</v>
      </c>
      <c r="AA176" s="770" t="s">
        <v>548</v>
      </c>
      <c r="AB176" s="770" t="s">
        <v>493</v>
      </c>
      <c r="AC176" s="770" t="s">
        <v>103</v>
      </c>
      <c r="AD176" s="770" t="s">
        <v>501</v>
      </c>
      <c r="AE176" s="784" t="s">
        <v>502</v>
      </c>
      <c r="AF176" s="771">
        <v>0.0</v>
      </c>
      <c r="AG176" s="771">
        <v>0.0</v>
      </c>
      <c r="AH176" s="771">
        <v>0.0</v>
      </c>
      <c r="AI176" s="772" t="s">
        <v>233</v>
      </c>
      <c r="AK176" s="769" t="s">
        <v>521</v>
      </c>
      <c r="AL176" s="770" t="s">
        <v>494</v>
      </c>
      <c r="AM176" s="770" t="s">
        <v>509</v>
      </c>
      <c r="AN176" s="770" t="s">
        <v>548</v>
      </c>
      <c r="AO176" s="770" t="s">
        <v>493</v>
      </c>
      <c r="AP176" s="770" t="s">
        <v>504</v>
      </c>
      <c r="AQ176" s="770" t="s">
        <v>501</v>
      </c>
      <c r="AR176" s="784" t="s">
        <v>502</v>
      </c>
      <c r="AS176" s="771">
        <v>0.0</v>
      </c>
      <c r="AT176" s="771">
        <v>0.0</v>
      </c>
      <c r="AU176" s="771">
        <v>0.0</v>
      </c>
      <c r="AV176" s="772" t="s">
        <v>233</v>
      </c>
      <c r="AW176" s="714"/>
    </row>
    <row r="177">
      <c r="A177" s="761"/>
      <c r="B177" s="769" t="s">
        <v>493</v>
      </c>
      <c r="C177" s="770" t="s">
        <v>557</v>
      </c>
      <c r="D177" s="770" t="s">
        <v>494</v>
      </c>
      <c r="E177" s="770" t="s">
        <v>505</v>
      </c>
      <c r="F177" s="770" t="s">
        <v>514</v>
      </c>
      <c r="G177" s="770" t="s">
        <v>103</v>
      </c>
      <c r="H177" s="770">
        <v>2019.0</v>
      </c>
      <c r="I177" s="771">
        <v>77.44066829</v>
      </c>
      <c r="J177" s="771">
        <v>104.7269955</v>
      </c>
      <c r="K177" s="772">
        <v>55.58050244</v>
      </c>
      <c r="M177" s="769" t="s">
        <v>493</v>
      </c>
      <c r="N177" s="770" t="s">
        <v>557</v>
      </c>
      <c r="O177" s="770" t="s">
        <v>494</v>
      </c>
      <c r="P177" s="770" t="s">
        <v>505</v>
      </c>
      <c r="Q177" s="770" t="s">
        <v>514</v>
      </c>
      <c r="R177" s="770" t="s">
        <v>497</v>
      </c>
      <c r="S177" s="770">
        <v>2019.0</v>
      </c>
      <c r="T177" s="771">
        <v>37916.8279</v>
      </c>
      <c r="U177" s="771">
        <v>51276.87494</v>
      </c>
      <c r="V177" s="772">
        <v>27213.56094</v>
      </c>
      <c r="X177" s="769" t="s">
        <v>521</v>
      </c>
      <c r="Y177" s="770" t="s">
        <v>494</v>
      </c>
      <c r="Z177" s="770" t="s">
        <v>513</v>
      </c>
      <c r="AA177" s="770" t="s">
        <v>548</v>
      </c>
      <c r="AB177" s="770" t="s">
        <v>493</v>
      </c>
      <c r="AC177" s="770" t="s">
        <v>103</v>
      </c>
      <c r="AD177" s="770" t="s">
        <v>501</v>
      </c>
      <c r="AE177" s="784" t="s">
        <v>502</v>
      </c>
      <c r="AF177" s="771">
        <v>207.2461873</v>
      </c>
      <c r="AG177" s="771">
        <v>69.77299246</v>
      </c>
      <c r="AH177" s="771">
        <v>503.1887776</v>
      </c>
      <c r="AI177" s="772" t="s">
        <v>233</v>
      </c>
      <c r="AK177" s="769" t="s">
        <v>521</v>
      </c>
      <c r="AL177" s="770" t="s">
        <v>494</v>
      </c>
      <c r="AM177" s="770" t="s">
        <v>513</v>
      </c>
      <c r="AN177" s="770" t="s">
        <v>548</v>
      </c>
      <c r="AO177" s="770" t="s">
        <v>493</v>
      </c>
      <c r="AP177" s="770" t="s">
        <v>504</v>
      </c>
      <c r="AQ177" s="770" t="s">
        <v>501</v>
      </c>
      <c r="AR177" s="784" t="s">
        <v>502</v>
      </c>
      <c r="AS177" s="771">
        <v>21.62186349</v>
      </c>
      <c r="AT177" s="771">
        <v>7.279372123</v>
      </c>
      <c r="AU177" s="771">
        <v>52.49736655</v>
      </c>
      <c r="AV177" s="772" t="s">
        <v>233</v>
      </c>
      <c r="AW177" s="714"/>
    </row>
    <row r="178">
      <c r="A178" s="761"/>
      <c r="B178" s="769" t="s">
        <v>493</v>
      </c>
      <c r="C178" s="770" t="s">
        <v>557</v>
      </c>
      <c r="D178" s="770" t="s">
        <v>494</v>
      </c>
      <c r="E178" s="770" t="s">
        <v>508</v>
      </c>
      <c r="F178" s="770" t="s">
        <v>514</v>
      </c>
      <c r="G178" s="770" t="s">
        <v>103</v>
      </c>
      <c r="H178" s="770">
        <v>2019.0</v>
      </c>
      <c r="I178" s="771">
        <v>32.22930271</v>
      </c>
      <c r="J178" s="771">
        <v>46.60505761</v>
      </c>
      <c r="K178" s="772">
        <v>21.01742673</v>
      </c>
      <c r="M178" s="769" t="s">
        <v>493</v>
      </c>
      <c r="N178" s="770" t="s">
        <v>557</v>
      </c>
      <c r="O178" s="770" t="s">
        <v>494</v>
      </c>
      <c r="P178" s="770" t="s">
        <v>508</v>
      </c>
      <c r="Q178" s="770" t="s">
        <v>514</v>
      </c>
      <c r="R178" s="770" t="s">
        <v>497</v>
      </c>
      <c r="S178" s="770">
        <v>2019.0</v>
      </c>
      <c r="T178" s="771">
        <v>329.5641132</v>
      </c>
      <c r="U178" s="771">
        <v>476.5649018</v>
      </c>
      <c r="V178" s="772">
        <v>214.9159001</v>
      </c>
      <c r="X178" s="769" t="s">
        <v>523</v>
      </c>
      <c r="Y178" s="770" t="s">
        <v>494</v>
      </c>
      <c r="Z178" s="770" t="s">
        <v>507</v>
      </c>
      <c r="AA178" s="770" t="s">
        <v>548</v>
      </c>
      <c r="AB178" s="770" t="s">
        <v>493</v>
      </c>
      <c r="AC178" s="770" t="s">
        <v>103</v>
      </c>
      <c r="AD178" s="770" t="s">
        <v>501</v>
      </c>
      <c r="AE178" s="784" t="s">
        <v>502</v>
      </c>
      <c r="AF178" s="771">
        <v>44.76249135</v>
      </c>
      <c r="AG178" s="771">
        <v>21.63077477</v>
      </c>
      <c r="AH178" s="771">
        <v>85.4598362</v>
      </c>
      <c r="AI178" s="772" t="s">
        <v>233</v>
      </c>
      <c r="AK178" s="769" t="s">
        <v>523</v>
      </c>
      <c r="AL178" s="770" t="s">
        <v>494</v>
      </c>
      <c r="AM178" s="770" t="s">
        <v>507</v>
      </c>
      <c r="AN178" s="770" t="s">
        <v>548</v>
      </c>
      <c r="AO178" s="770" t="s">
        <v>493</v>
      </c>
      <c r="AP178" s="770" t="s">
        <v>504</v>
      </c>
      <c r="AQ178" s="770" t="s">
        <v>501</v>
      </c>
      <c r="AR178" s="784" t="s">
        <v>502</v>
      </c>
      <c r="AS178" s="771">
        <v>24.03744166</v>
      </c>
      <c r="AT178" s="771">
        <v>11.61571823</v>
      </c>
      <c r="AU178" s="771">
        <v>45.89190112</v>
      </c>
      <c r="AV178" s="772" t="s">
        <v>233</v>
      </c>
      <c r="AW178" s="714"/>
    </row>
    <row r="179">
      <c r="A179" s="761"/>
      <c r="B179" s="769" t="s">
        <v>493</v>
      </c>
      <c r="C179" s="770" t="s">
        <v>557</v>
      </c>
      <c r="D179" s="770" t="s">
        <v>494</v>
      </c>
      <c r="E179" s="770" t="s">
        <v>512</v>
      </c>
      <c r="F179" s="770" t="s">
        <v>514</v>
      </c>
      <c r="G179" s="770" t="s">
        <v>103</v>
      </c>
      <c r="H179" s="770">
        <v>2019.0</v>
      </c>
      <c r="I179" s="771">
        <v>13.89656566</v>
      </c>
      <c r="J179" s="771">
        <v>18.86513479</v>
      </c>
      <c r="K179" s="772">
        <v>9.708058422</v>
      </c>
      <c r="M179" s="769" t="s">
        <v>493</v>
      </c>
      <c r="N179" s="770" t="s">
        <v>557</v>
      </c>
      <c r="O179" s="770" t="s">
        <v>494</v>
      </c>
      <c r="P179" s="770" t="s">
        <v>512</v>
      </c>
      <c r="Q179" s="770" t="s">
        <v>514</v>
      </c>
      <c r="R179" s="770" t="s">
        <v>497</v>
      </c>
      <c r="S179" s="770">
        <v>2019.0</v>
      </c>
      <c r="T179" s="771">
        <v>2278.51213</v>
      </c>
      <c r="U179" s="771">
        <v>3093.169888</v>
      </c>
      <c r="V179" s="772">
        <v>1591.755072</v>
      </c>
      <c r="X179" s="769" t="s">
        <v>523</v>
      </c>
      <c r="Y179" s="770" t="s">
        <v>494</v>
      </c>
      <c r="Z179" s="770" t="s">
        <v>513</v>
      </c>
      <c r="AA179" s="770" t="s">
        <v>548</v>
      </c>
      <c r="AB179" s="770" t="s">
        <v>493</v>
      </c>
      <c r="AC179" s="770" t="s">
        <v>103</v>
      </c>
      <c r="AD179" s="770" t="s">
        <v>501</v>
      </c>
      <c r="AE179" s="784" t="s">
        <v>502</v>
      </c>
      <c r="AF179" s="771">
        <v>84.0183422</v>
      </c>
      <c r="AG179" s="771">
        <v>44.54917048</v>
      </c>
      <c r="AH179" s="771">
        <v>139.9962295</v>
      </c>
      <c r="AI179" s="772" t="s">
        <v>233</v>
      </c>
      <c r="AK179" s="769" t="s">
        <v>523</v>
      </c>
      <c r="AL179" s="770" t="s">
        <v>494</v>
      </c>
      <c r="AM179" s="770" t="s">
        <v>513</v>
      </c>
      <c r="AN179" s="770" t="s">
        <v>548</v>
      </c>
      <c r="AO179" s="770" t="s">
        <v>493</v>
      </c>
      <c r="AP179" s="770" t="s">
        <v>504</v>
      </c>
      <c r="AQ179" s="770" t="s">
        <v>501</v>
      </c>
      <c r="AR179" s="784" t="s">
        <v>502</v>
      </c>
      <c r="AS179" s="771">
        <v>8.765580442</v>
      </c>
      <c r="AT179" s="771">
        <v>4.647786748</v>
      </c>
      <c r="AU179" s="771">
        <v>14.60571798</v>
      </c>
      <c r="AV179" s="772" t="s">
        <v>233</v>
      </c>
      <c r="AW179" s="714"/>
    </row>
    <row r="180">
      <c r="A180" s="761"/>
      <c r="B180" s="769" t="s">
        <v>493</v>
      </c>
      <c r="C180" s="770" t="s">
        <v>557</v>
      </c>
      <c r="D180" s="770" t="s">
        <v>494</v>
      </c>
      <c r="E180" s="770" t="s">
        <v>495</v>
      </c>
      <c r="F180" s="770" t="s">
        <v>518</v>
      </c>
      <c r="G180" s="770" t="s">
        <v>103</v>
      </c>
      <c r="H180" s="770">
        <v>2019.0</v>
      </c>
      <c r="I180" s="771">
        <v>6.844117175</v>
      </c>
      <c r="J180" s="771">
        <v>11.91377291</v>
      </c>
      <c r="K180" s="772">
        <v>3.160782324</v>
      </c>
      <c r="M180" s="769" t="s">
        <v>493</v>
      </c>
      <c r="N180" s="770" t="s">
        <v>557</v>
      </c>
      <c r="O180" s="770" t="s">
        <v>494</v>
      </c>
      <c r="P180" s="770" t="s">
        <v>495</v>
      </c>
      <c r="Q180" s="770" t="s">
        <v>518</v>
      </c>
      <c r="R180" s="770" t="s">
        <v>497</v>
      </c>
      <c r="S180" s="770">
        <v>2019.0</v>
      </c>
      <c r="T180" s="771">
        <v>12.8763778</v>
      </c>
      <c r="U180" s="771">
        <v>22.41432125</v>
      </c>
      <c r="V180" s="772">
        <v>5.946629245</v>
      </c>
      <c r="X180" s="769" t="s">
        <v>496</v>
      </c>
      <c r="Y180" s="770" t="s">
        <v>494</v>
      </c>
      <c r="Z180" s="770" t="s">
        <v>499</v>
      </c>
      <c r="AA180" s="770" t="s">
        <v>561</v>
      </c>
      <c r="AB180" s="770" t="s">
        <v>493</v>
      </c>
      <c r="AC180" s="770" t="s">
        <v>103</v>
      </c>
      <c r="AD180" s="770" t="s">
        <v>501</v>
      </c>
      <c r="AE180" s="784" t="s">
        <v>502</v>
      </c>
      <c r="AF180" s="771">
        <v>1473.349813</v>
      </c>
      <c r="AG180" s="771">
        <v>1139.480592</v>
      </c>
      <c r="AH180" s="771">
        <v>1913.707854</v>
      </c>
      <c r="AI180" s="772" t="s">
        <v>233</v>
      </c>
      <c r="AK180" s="769" t="s">
        <v>496</v>
      </c>
      <c r="AL180" s="770" t="s">
        <v>494</v>
      </c>
      <c r="AM180" s="770" t="s">
        <v>499</v>
      </c>
      <c r="AN180" s="770" t="s">
        <v>561</v>
      </c>
      <c r="AO180" s="770" t="s">
        <v>493</v>
      </c>
      <c r="AP180" s="770" t="s">
        <v>504</v>
      </c>
      <c r="AQ180" s="770" t="s">
        <v>501</v>
      </c>
      <c r="AR180" s="784" t="s">
        <v>502</v>
      </c>
      <c r="AS180" s="771">
        <v>119750.5657</v>
      </c>
      <c r="AT180" s="771">
        <v>92614.42485</v>
      </c>
      <c r="AU180" s="771">
        <v>155541.8789</v>
      </c>
      <c r="AV180" s="772" t="s">
        <v>233</v>
      </c>
      <c r="AW180" s="714"/>
    </row>
    <row r="181">
      <c r="A181" s="761"/>
      <c r="B181" s="769" t="s">
        <v>493</v>
      </c>
      <c r="C181" s="770" t="s">
        <v>557</v>
      </c>
      <c r="D181" s="770" t="s">
        <v>494</v>
      </c>
      <c r="E181" s="770" t="s">
        <v>505</v>
      </c>
      <c r="F181" s="770" t="s">
        <v>518</v>
      </c>
      <c r="G181" s="770" t="s">
        <v>103</v>
      </c>
      <c r="H181" s="770">
        <v>2019.0</v>
      </c>
      <c r="I181" s="771">
        <v>0.3142380986</v>
      </c>
      <c r="J181" s="771">
        <v>0.5391654958</v>
      </c>
      <c r="K181" s="772">
        <v>0.1675736205</v>
      </c>
      <c r="M181" s="769" t="s">
        <v>493</v>
      </c>
      <c r="N181" s="770" t="s">
        <v>557</v>
      </c>
      <c r="O181" s="770" t="s">
        <v>494</v>
      </c>
      <c r="P181" s="770" t="s">
        <v>505</v>
      </c>
      <c r="Q181" s="770" t="s">
        <v>518</v>
      </c>
      <c r="R181" s="770" t="s">
        <v>497</v>
      </c>
      <c r="S181" s="770">
        <v>2019.0</v>
      </c>
      <c r="T181" s="771">
        <v>153.8585883</v>
      </c>
      <c r="U181" s="771">
        <v>263.9884929</v>
      </c>
      <c r="V181" s="772">
        <v>82.0481056</v>
      </c>
      <c r="X181" s="769" t="s">
        <v>496</v>
      </c>
      <c r="Y181" s="770" t="s">
        <v>494</v>
      </c>
      <c r="Z181" s="770" t="s">
        <v>507</v>
      </c>
      <c r="AA181" s="770" t="s">
        <v>561</v>
      </c>
      <c r="AB181" s="770" t="s">
        <v>493</v>
      </c>
      <c r="AC181" s="770" t="s">
        <v>103</v>
      </c>
      <c r="AD181" s="770" t="s">
        <v>501</v>
      </c>
      <c r="AE181" s="784" t="s">
        <v>502</v>
      </c>
      <c r="AF181" s="771">
        <v>883.7643872</v>
      </c>
      <c r="AG181" s="771">
        <v>679.669056</v>
      </c>
      <c r="AH181" s="771">
        <v>1154.49875</v>
      </c>
      <c r="AI181" s="772" t="s">
        <v>233</v>
      </c>
      <c r="AK181" s="769" t="s">
        <v>496</v>
      </c>
      <c r="AL181" s="770" t="s">
        <v>494</v>
      </c>
      <c r="AM181" s="770" t="s">
        <v>507</v>
      </c>
      <c r="AN181" s="770" t="s">
        <v>561</v>
      </c>
      <c r="AO181" s="770" t="s">
        <v>493</v>
      </c>
      <c r="AP181" s="770" t="s">
        <v>504</v>
      </c>
      <c r="AQ181" s="770" t="s">
        <v>501</v>
      </c>
      <c r="AR181" s="784" t="s">
        <v>502</v>
      </c>
      <c r="AS181" s="771">
        <v>1492.421948</v>
      </c>
      <c r="AT181" s="771">
        <v>1147.764077</v>
      </c>
      <c r="AU181" s="771">
        <v>1949.613831</v>
      </c>
      <c r="AV181" s="772" t="s">
        <v>233</v>
      </c>
      <c r="AW181" s="714"/>
    </row>
    <row r="182">
      <c r="A182" s="761"/>
      <c r="B182" s="769" t="s">
        <v>493</v>
      </c>
      <c r="C182" s="770" t="s">
        <v>557</v>
      </c>
      <c r="D182" s="770" t="s">
        <v>494</v>
      </c>
      <c r="E182" s="770" t="s">
        <v>508</v>
      </c>
      <c r="F182" s="770" t="s">
        <v>518</v>
      </c>
      <c r="G182" s="770" t="s">
        <v>103</v>
      </c>
      <c r="H182" s="770">
        <v>2019.0</v>
      </c>
      <c r="I182" s="771">
        <v>4.390122243</v>
      </c>
      <c r="J182" s="771">
        <v>8.366124247</v>
      </c>
      <c r="K182" s="772">
        <v>1.522759992</v>
      </c>
      <c r="M182" s="769" t="s">
        <v>493</v>
      </c>
      <c r="N182" s="770" t="s">
        <v>557</v>
      </c>
      <c r="O182" s="770" t="s">
        <v>494</v>
      </c>
      <c r="P182" s="770" t="s">
        <v>508</v>
      </c>
      <c r="Q182" s="770" t="s">
        <v>518</v>
      </c>
      <c r="R182" s="770" t="s">
        <v>497</v>
      </c>
      <c r="S182" s="770">
        <v>2019.0</v>
      </c>
      <c r="T182" s="771">
        <v>44.89165517</v>
      </c>
      <c r="U182" s="771">
        <v>85.54868044</v>
      </c>
      <c r="V182" s="772">
        <v>15.57114192</v>
      </c>
      <c r="X182" s="769" t="s">
        <v>496</v>
      </c>
      <c r="Y182" s="770" t="s">
        <v>494</v>
      </c>
      <c r="Z182" s="770" t="s">
        <v>509</v>
      </c>
      <c r="AA182" s="770" t="s">
        <v>561</v>
      </c>
      <c r="AB182" s="770" t="s">
        <v>493</v>
      </c>
      <c r="AC182" s="770" t="s">
        <v>103</v>
      </c>
      <c r="AD182" s="770" t="s">
        <v>501</v>
      </c>
      <c r="AE182" s="784" t="s">
        <v>502</v>
      </c>
      <c r="AF182" s="771">
        <v>245.3962476</v>
      </c>
      <c r="AG182" s="771">
        <v>187.9402782</v>
      </c>
      <c r="AH182" s="771">
        <v>321.3419094</v>
      </c>
      <c r="AI182" s="772" t="s">
        <v>233</v>
      </c>
      <c r="AK182" s="769" t="s">
        <v>496</v>
      </c>
      <c r="AL182" s="770" t="s">
        <v>494</v>
      </c>
      <c r="AM182" s="770" t="s">
        <v>509</v>
      </c>
      <c r="AN182" s="770" t="s">
        <v>561</v>
      </c>
      <c r="AO182" s="770" t="s">
        <v>493</v>
      </c>
      <c r="AP182" s="770" t="s">
        <v>504</v>
      </c>
      <c r="AQ182" s="770" t="s">
        <v>501</v>
      </c>
      <c r="AR182" s="784" t="s">
        <v>502</v>
      </c>
      <c r="AS182" s="771">
        <v>6727.699011</v>
      </c>
      <c r="AT182" s="771">
        <v>5152.505944</v>
      </c>
      <c r="AU182" s="771">
        <v>8809.799122</v>
      </c>
      <c r="AV182" s="772" t="s">
        <v>233</v>
      </c>
      <c r="AW182" s="714"/>
    </row>
    <row r="183">
      <c r="A183" s="761"/>
      <c r="B183" s="769" t="s">
        <v>493</v>
      </c>
      <c r="C183" s="770" t="s">
        <v>557</v>
      </c>
      <c r="D183" s="770" t="s">
        <v>494</v>
      </c>
      <c r="E183" s="770" t="s">
        <v>512</v>
      </c>
      <c r="F183" s="770" t="s">
        <v>518</v>
      </c>
      <c r="G183" s="770" t="s">
        <v>103</v>
      </c>
      <c r="H183" s="770">
        <v>2019.0</v>
      </c>
      <c r="I183" s="771">
        <v>0.4468480492</v>
      </c>
      <c r="J183" s="771">
        <v>0.8565215652</v>
      </c>
      <c r="K183" s="772">
        <v>0.1868040899</v>
      </c>
      <c r="M183" s="769" t="s">
        <v>493</v>
      </c>
      <c r="N183" s="770" t="s">
        <v>557</v>
      </c>
      <c r="O183" s="770" t="s">
        <v>494</v>
      </c>
      <c r="P183" s="770" t="s">
        <v>512</v>
      </c>
      <c r="Q183" s="770" t="s">
        <v>518</v>
      </c>
      <c r="R183" s="770" t="s">
        <v>497</v>
      </c>
      <c r="S183" s="770">
        <v>2019.0</v>
      </c>
      <c r="T183" s="771">
        <v>73.26621017</v>
      </c>
      <c r="U183" s="771">
        <v>140.4372003</v>
      </c>
      <c r="V183" s="772">
        <v>30.6288183</v>
      </c>
      <c r="X183" s="769" t="s">
        <v>496</v>
      </c>
      <c r="Y183" s="770" t="s">
        <v>494</v>
      </c>
      <c r="Z183" s="770" t="s">
        <v>513</v>
      </c>
      <c r="AA183" s="770" t="s">
        <v>561</v>
      </c>
      <c r="AB183" s="770" t="s">
        <v>493</v>
      </c>
      <c r="AC183" s="770" t="s">
        <v>103</v>
      </c>
      <c r="AD183" s="770" t="s">
        <v>501</v>
      </c>
      <c r="AE183" s="784" t="s">
        <v>502</v>
      </c>
      <c r="AF183" s="771">
        <v>3564.610216</v>
      </c>
      <c r="AG183" s="771">
        <v>2743.155684</v>
      </c>
      <c r="AH183" s="771">
        <v>4660.499024</v>
      </c>
      <c r="AI183" s="772" t="s">
        <v>233</v>
      </c>
      <c r="AK183" s="769" t="s">
        <v>496</v>
      </c>
      <c r="AL183" s="770" t="s">
        <v>494</v>
      </c>
      <c r="AM183" s="770" t="s">
        <v>513</v>
      </c>
      <c r="AN183" s="770" t="s">
        <v>561</v>
      </c>
      <c r="AO183" s="770" t="s">
        <v>493</v>
      </c>
      <c r="AP183" s="770" t="s">
        <v>504</v>
      </c>
      <c r="AQ183" s="770" t="s">
        <v>501</v>
      </c>
      <c r="AR183" s="784" t="s">
        <v>502</v>
      </c>
      <c r="AS183" s="771">
        <v>1124.20271</v>
      </c>
      <c r="AT183" s="771">
        <v>865.1333155</v>
      </c>
      <c r="AU183" s="771">
        <v>1469.822875</v>
      </c>
      <c r="AV183" s="772" t="s">
        <v>233</v>
      </c>
      <c r="AW183" s="714"/>
    </row>
    <row r="184">
      <c r="A184" s="761"/>
      <c r="B184" s="769" t="s">
        <v>493</v>
      </c>
      <c r="C184" s="770" t="s">
        <v>557</v>
      </c>
      <c r="D184" s="770" t="s">
        <v>494</v>
      </c>
      <c r="E184" s="770" t="s">
        <v>495</v>
      </c>
      <c r="F184" s="770" t="s">
        <v>519</v>
      </c>
      <c r="G184" s="770" t="s">
        <v>103</v>
      </c>
      <c r="H184" s="770">
        <v>2019.0</v>
      </c>
      <c r="I184" s="771">
        <v>92.2884152</v>
      </c>
      <c r="J184" s="771">
        <v>125.2557435</v>
      </c>
      <c r="K184" s="772">
        <v>66.22578718</v>
      </c>
      <c r="M184" s="769" t="s">
        <v>493</v>
      </c>
      <c r="N184" s="770" t="s">
        <v>557</v>
      </c>
      <c r="O184" s="770" t="s">
        <v>494</v>
      </c>
      <c r="P184" s="770" t="s">
        <v>495</v>
      </c>
      <c r="Q184" s="770" t="s">
        <v>519</v>
      </c>
      <c r="R184" s="770" t="s">
        <v>497</v>
      </c>
      <c r="S184" s="770">
        <v>2019.0</v>
      </c>
      <c r="T184" s="771">
        <v>173.6294792</v>
      </c>
      <c r="U184" s="771">
        <v>235.6535159</v>
      </c>
      <c r="V184" s="772">
        <v>124.5958002</v>
      </c>
      <c r="X184" s="769" t="s">
        <v>514</v>
      </c>
      <c r="Y184" s="770" t="s">
        <v>494</v>
      </c>
      <c r="Z184" s="770" t="s">
        <v>499</v>
      </c>
      <c r="AA184" s="770" t="s">
        <v>561</v>
      </c>
      <c r="AB184" s="770" t="s">
        <v>493</v>
      </c>
      <c r="AC184" s="770" t="s">
        <v>103</v>
      </c>
      <c r="AD184" s="770" t="s">
        <v>501</v>
      </c>
      <c r="AE184" s="784" t="s">
        <v>502</v>
      </c>
      <c r="AF184" s="771">
        <v>1342.794667</v>
      </c>
      <c r="AG184" s="771">
        <v>1023.186638</v>
      </c>
      <c r="AH184" s="771">
        <v>1734.0396</v>
      </c>
      <c r="AI184" s="772" t="s">
        <v>233</v>
      </c>
      <c r="AK184" s="769" t="s">
        <v>514</v>
      </c>
      <c r="AL184" s="770" t="s">
        <v>494</v>
      </c>
      <c r="AM184" s="770" t="s">
        <v>499</v>
      </c>
      <c r="AN184" s="770" t="s">
        <v>561</v>
      </c>
      <c r="AO184" s="770" t="s">
        <v>493</v>
      </c>
      <c r="AP184" s="770" t="s">
        <v>504</v>
      </c>
      <c r="AQ184" s="770" t="s">
        <v>501</v>
      </c>
      <c r="AR184" s="784" t="s">
        <v>502</v>
      </c>
      <c r="AS184" s="771">
        <v>109139.3365</v>
      </c>
      <c r="AT184" s="771">
        <v>83162.31327</v>
      </c>
      <c r="AU184" s="771">
        <v>140938.8465</v>
      </c>
      <c r="AV184" s="772" t="s">
        <v>233</v>
      </c>
      <c r="AW184" s="714"/>
    </row>
    <row r="185">
      <c r="A185" s="761"/>
      <c r="B185" s="769" t="s">
        <v>493</v>
      </c>
      <c r="C185" s="770" t="s">
        <v>557</v>
      </c>
      <c r="D185" s="770" t="s">
        <v>494</v>
      </c>
      <c r="E185" s="770" t="s">
        <v>505</v>
      </c>
      <c r="F185" s="770" t="s">
        <v>519</v>
      </c>
      <c r="G185" s="770" t="s">
        <v>103</v>
      </c>
      <c r="H185" s="770">
        <v>2019.0</v>
      </c>
      <c r="I185" s="771">
        <v>73.39167619</v>
      </c>
      <c r="J185" s="771">
        <v>99.8042766</v>
      </c>
      <c r="K185" s="772">
        <v>52.57735988</v>
      </c>
      <c r="M185" s="769" t="s">
        <v>493</v>
      </c>
      <c r="N185" s="770" t="s">
        <v>557</v>
      </c>
      <c r="O185" s="770" t="s">
        <v>494</v>
      </c>
      <c r="P185" s="770" t="s">
        <v>505</v>
      </c>
      <c r="Q185" s="770" t="s">
        <v>519</v>
      </c>
      <c r="R185" s="770" t="s">
        <v>497</v>
      </c>
      <c r="S185" s="770">
        <v>2019.0</v>
      </c>
      <c r="T185" s="771">
        <v>35934.34324</v>
      </c>
      <c r="U185" s="771">
        <v>48866.59249</v>
      </c>
      <c r="V185" s="772">
        <v>25743.14956</v>
      </c>
      <c r="X185" s="769" t="s">
        <v>514</v>
      </c>
      <c r="Y185" s="770" t="s">
        <v>494</v>
      </c>
      <c r="Z185" s="770" t="s">
        <v>507</v>
      </c>
      <c r="AA185" s="770" t="s">
        <v>561</v>
      </c>
      <c r="AB185" s="770" t="s">
        <v>493</v>
      </c>
      <c r="AC185" s="770" t="s">
        <v>103</v>
      </c>
      <c r="AD185" s="770" t="s">
        <v>501</v>
      </c>
      <c r="AE185" s="784" t="s">
        <v>502</v>
      </c>
      <c r="AF185" s="771">
        <v>760.9475227</v>
      </c>
      <c r="AG185" s="771">
        <v>580.8082262</v>
      </c>
      <c r="AH185" s="771">
        <v>999.6868689</v>
      </c>
      <c r="AI185" s="772" t="s">
        <v>233</v>
      </c>
      <c r="AK185" s="769" t="s">
        <v>514</v>
      </c>
      <c r="AL185" s="770" t="s">
        <v>494</v>
      </c>
      <c r="AM185" s="770" t="s">
        <v>507</v>
      </c>
      <c r="AN185" s="770" t="s">
        <v>561</v>
      </c>
      <c r="AO185" s="770" t="s">
        <v>493</v>
      </c>
      <c r="AP185" s="770" t="s">
        <v>504</v>
      </c>
      <c r="AQ185" s="770" t="s">
        <v>501</v>
      </c>
      <c r="AR185" s="784" t="s">
        <v>502</v>
      </c>
      <c r="AS185" s="771">
        <v>1285.019854</v>
      </c>
      <c r="AT185" s="771">
        <v>980.8167842</v>
      </c>
      <c r="AU185" s="771">
        <v>1688.181427</v>
      </c>
      <c r="AV185" s="772" t="s">
        <v>233</v>
      </c>
      <c r="AW185" s="714"/>
    </row>
    <row r="186">
      <c r="A186" s="761"/>
      <c r="B186" s="769" t="s">
        <v>493</v>
      </c>
      <c r="C186" s="770" t="s">
        <v>557</v>
      </c>
      <c r="D186" s="770" t="s">
        <v>494</v>
      </c>
      <c r="E186" s="770" t="s">
        <v>508</v>
      </c>
      <c r="F186" s="770" t="s">
        <v>519</v>
      </c>
      <c r="G186" s="770" t="s">
        <v>103</v>
      </c>
      <c r="H186" s="770">
        <v>2019.0</v>
      </c>
      <c r="I186" s="771">
        <v>7.210816293</v>
      </c>
      <c r="J186" s="771">
        <v>11.69045344</v>
      </c>
      <c r="K186" s="772">
        <v>3.272748843</v>
      </c>
      <c r="M186" s="769" t="s">
        <v>493</v>
      </c>
      <c r="N186" s="770" t="s">
        <v>557</v>
      </c>
      <c r="O186" s="770" t="s">
        <v>494</v>
      </c>
      <c r="P186" s="770" t="s">
        <v>508</v>
      </c>
      <c r="Q186" s="770" t="s">
        <v>519</v>
      </c>
      <c r="R186" s="770" t="s">
        <v>497</v>
      </c>
      <c r="S186" s="770">
        <v>2019.0</v>
      </c>
      <c r="T186" s="771">
        <v>73.73495785</v>
      </c>
      <c r="U186" s="771">
        <v>119.5419571</v>
      </c>
      <c r="V186" s="772">
        <v>33.46583635</v>
      </c>
      <c r="X186" s="769" t="s">
        <v>514</v>
      </c>
      <c r="Y186" s="770" t="s">
        <v>494</v>
      </c>
      <c r="Z186" s="770" t="s">
        <v>509</v>
      </c>
      <c r="AA186" s="770" t="s">
        <v>561</v>
      </c>
      <c r="AB186" s="770" t="s">
        <v>493</v>
      </c>
      <c r="AC186" s="770" t="s">
        <v>103</v>
      </c>
      <c r="AD186" s="770" t="s">
        <v>501</v>
      </c>
      <c r="AE186" s="784" t="s">
        <v>502</v>
      </c>
      <c r="AF186" s="771">
        <v>215.5456268</v>
      </c>
      <c r="AG186" s="771">
        <v>164.8067255</v>
      </c>
      <c r="AH186" s="771">
        <v>284.9991957</v>
      </c>
      <c r="AI186" s="772" t="s">
        <v>233</v>
      </c>
      <c r="AK186" s="769" t="s">
        <v>514</v>
      </c>
      <c r="AL186" s="770" t="s">
        <v>494</v>
      </c>
      <c r="AM186" s="770" t="s">
        <v>509</v>
      </c>
      <c r="AN186" s="770" t="s">
        <v>561</v>
      </c>
      <c r="AO186" s="770" t="s">
        <v>493</v>
      </c>
      <c r="AP186" s="770" t="s">
        <v>504</v>
      </c>
      <c r="AQ186" s="770" t="s">
        <v>501</v>
      </c>
      <c r="AR186" s="784" t="s">
        <v>502</v>
      </c>
      <c r="AS186" s="771">
        <v>5909.324674</v>
      </c>
      <c r="AT186" s="771">
        <v>4518.284429</v>
      </c>
      <c r="AU186" s="771">
        <v>7813.439799</v>
      </c>
      <c r="AV186" s="772" t="s">
        <v>233</v>
      </c>
      <c r="AW186" s="714"/>
    </row>
    <row r="187">
      <c r="A187" s="761"/>
      <c r="B187" s="769" t="s">
        <v>493</v>
      </c>
      <c r="C187" s="770" t="s">
        <v>557</v>
      </c>
      <c r="D187" s="770" t="s">
        <v>494</v>
      </c>
      <c r="E187" s="770" t="s">
        <v>512</v>
      </c>
      <c r="F187" s="770" t="s">
        <v>519</v>
      </c>
      <c r="G187" s="770" t="s">
        <v>103</v>
      </c>
      <c r="H187" s="770">
        <v>2019.0</v>
      </c>
      <c r="I187" s="771">
        <v>11.21846471</v>
      </c>
      <c r="J187" s="771">
        <v>15.48654346</v>
      </c>
      <c r="K187" s="772">
        <v>7.331082019</v>
      </c>
      <c r="M187" s="769" t="s">
        <v>493</v>
      </c>
      <c r="N187" s="770" t="s">
        <v>557</v>
      </c>
      <c r="O187" s="770" t="s">
        <v>494</v>
      </c>
      <c r="P187" s="770" t="s">
        <v>512</v>
      </c>
      <c r="Q187" s="770" t="s">
        <v>519</v>
      </c>
      <c r="R187" s="770" t="s">
        <v>497</v>
      </c>
      <c r="S187" s="770">
        <v>2019.0</v>
      </c>
      <c r="T187" s="771">
        <v>1839.40468</v>
      </c>
      <c r="U187" s="771">
        <v>2539.208461</v>
      </c>
      <c r="V187" s="772">
        <v>1202.02068</v>
      </c>
      <c r="X187" s="769" t="s">
        <v>514</v>
      </c>
      <c r="Y187" s="770" t="s">
        <v>494</v>
      </c>
      <c r="Z187" s="770" t="s">
        <v>513</v>
      </c>
      <c r="AA187" s="770" t="s">
        <v>561</v>
      </c>
      <c r="AB187" s="770" t="s">
        <v>493</v>
      </c>
      <c r="AC187" s="770" t="s">
        <v>103</v>
      </c>
      <c r="AD187" s="770" t="s">
        <v>501</v>
      </c>
      <c r="AE187" s="784" t="s">
        <v>502</v>
      </c>
      <c r="AF187" s="771">
        <v>3181.450209</v>
      </c>
      <c r="AG187" s="771">
        <v>2423.241431</v>
      </c>
      <c r="AH187" s="771">
        <v>4137.047653</v>
      </c>
      <c r="AI187" s="772" t="s">
        <v>233</v>
      </c>
      <c r="AK187" s="769" t="s">
        <v>514</v>
      </c>
      <c r="AL187" s="770" t="s">
        <v>494</v>
      </c>
      <c r="AM187" s="770" t="s">
        <v>513</v>
      </c>
      <c r="AN187" s="770" t="s">
        <v>561</v>
      </c>
      <c r="AO187" s="770" t="s">
        <v>493</v>
      </c>
      <c r="AP187" s="770" t="s">
        <v>504</v>
      </c>
      <c r="AQ187" s="770" t="s">
        <v>501</v>
      </c>
      <c r="AR187" s="784" t="s">
        <v>502</v>
      </c>
      <c r="AS187" s="771">
        <v>1003.362144</v>
      </c>
      <c r="AT187" s="771">
        <v>764.2391227</v>
      </c>
      <c r="AU187" s="771">
        <v>1304.737377</v>
      </c>
      <c r="AV187" s="772" t="s">
        <v>233</v>
      </c>
      <c r="AW187" s="714"/>
    </row>
    <row r="188">
      <c r="A188" s="761"/>
      <c r="B188" s="769" t="s">
        <v>493</v>
      </c>
      <c r="C188" s="770" t="s">
        <v>557</v>
      </c>
      <c r="D188" s="770" t="s">
        <v>494</v>
      </c>
      <c r="E188" s="770" t="s">
        <v>495</v>
      </c>
      <c r="F188" s="770" t="s">
        <v>521</v>
      </c>
      <c r="G188" s="770" t="s">
        <v>103</v>
      </c>
      <c r="H188" s="770">
        <v>2019.0</v>
      </c>
      <c r="I188" s="771">
        <v>1.377979776</v>
      </c>
      <c r="J188" s="771">
        <v>3.526264074</v>
      </c>
      <c r="K188" s="772">
        <v>0.2833852569</v>
      </c>
      <c r="M188" s="769" t="s">
        <v>493</v>
      </c>
      <c r="N188" s="770" t="s">
        <v>557</v>
      </c>
      <c r="O188" s="770" t="s">
        <v>494</v>
      </c>
      <c r="P188" s="770" t="s">
        <v>495</v>
      </c>
      <c r="Q188" s="770" t="s">
        <v>521</v>
      </c>
      <c r="R188" s="770" t="s">
        <v>497</v>
      </c>
      <c r="S188" s="770">
        <v>2019.0</v>
      </c>
      <c r="T188" s="771">
        <v>2.592502108</v>
      </c>
      <c r="U188" s="771">
        <v>6.634238905</v>
      </c>
      <c r="V188" s="772">
        <v>0.5331550495</v>
      </c>
      <c r="X188" s="769" t="s">
        <v>518</v>
      </c>
      <c r="Y188" s="770" t="s">
        <v>494</v>
      </c>
      <c r="Z188" s="770" t="s">
        <v>499</v>
      </c>
      <c r="AA188" s="770" t="s">
        <v>561</v>
      </c>
      <c r="AB188" s="770" t="s">
        <v>493</v>
      </c>
      <c r="AC188" s="770" t="s">
        <v>103</v>
      </c>
      <c r="AD188" s="770" t="s">
        <v>501</v>
      </c>
      <c r="AE188" s="784" t="s">
        <v>502</v>
      </c>
      <c r="AF188" s="771">
        <v>11.8317996</v>
      </c>
      <c r="AG188" s="771">
        <v>5.939699928</v>
      </c>
      <c r="AH188" s="771">
        <v>21.9804537</v>
      </c>
      <c r="AI188" s="772" t="s">
        <v>233</v>
      </c>
      <c r="AK188" s="769" t="s">
        <v>518</v>
      </c>
      <c r="AL188" s="770" t="s">
        <v>494</v>
      </c>
      <c r="AM188" s="770" t="s">
        <v>499</v>
      </c>
      <c r="AN188" s="770" t="s">
        <v>561</v>
      </c>
      <c r="AO188" s="770" t="s">
        <v>493</v>
      </c>
      <c r="AP188" s="770" t="s">
        <v>504</v>
      </c>
      <c r="AQ188" s="770" t="s">
        <v>501</v>
      </c>
      <c r="AR188" s="784" t="s">
        <v>502</v>
      </c>
      <c r="AS188" s="771">
        <v>961.6621138</v>
      </c>
      <c r="AT188" s="771">
        <v>482.7654779</v>
      </c>
      <c r="AU188" s="771">
        <v>1786.521939</v>
      </c>
      <c r="AV188" s="772" t="s">
        <v>233</v>
      </c>
      <c r="AW188" s="714"/>
    </row>
    <row r="189">
      <c r="A189" s="761"/>
      <c r="B189" s="769" t="s">
        <v>493</v>
      </c>
      <c r="C189" s="770" t="s">
        <v>557</v>
      </c>
      <c r="D189" s="770" t="s">
        <v>494</v>
      </c>
      <c r="E189" s="770" t="s">
        <v>505</v>
      </c>
      <c r="F189" s="770" t="s">
        <v>521</v>
      </c>
      <c r="G189" s="770" t="s">
        <v>103</v>
      </c>
      <c r="H189" s="770">
        <v>2019.0</v>
      </c>
      <c r="I189" s="771">
        <v>0.0</v>
      </c>
      <c r="J189" s="771">
        <v>0.0</v>
      </c>
      <c r="K189" s="772">
        <v>0.0</v>
      </c>
      <c r="M189" s="769" t="s">
        <v>493</v>
      </c>
      <c r="N189" s="770" t="s">
        <v>557</v>
      </c>
      <c r="O189" s="770" t="s">
        <v>494</v>
      </c>
      <c r="P189" s="770" t="s">
        <v>505</v>
      </c>
      <c r="Q189" s="770" t="s">
        <v>521</v>
      </c>
      <c r="R189" s="770" t="s">
        <v>497</v>
      </c>
      <c r="S189" s="770">
        <v>2019.0</v>
      </c>
      <c r="T189" s="771">
        <v>0.0</v>
      </c>
      <c r="U189" s="771">
        <v>0.0</v>
      </c>
      <c r="V189" s="772">
        <v>0.0</v>
      </c>
      <c r="X189" s="769" t="s">
        <v>518</v>
      </c>
      <c r="Y189" s="770" t="s">
        <v>494</v>
      </c>
      <c r="Z189" s="770" t="s">
        <v>507</v>
      </c>
      <c r="AA189" s="770" t="s">
        <v>561</v>
      </c>
      <c r="AB189" s="770" t="s">
        <v>493</v>
      </c>
      <c r="AC189" s="770" t="s">
        <v>103</v>
      </c>
      <c r="AD189" s="770" t="s">
        <v>501</v>
      </c>
      <c r="AE189" s="784" t="s">
        <v>502</v>
      </c>
      <c r="AF189" s="771">
        <v>167.0632897</v>
      </c>
      <c r="AG189" s="771">
        <v>76.82059414</v>
      </c>
      <c r="AH189" s="771">
        <v>307.5563382</v>
      </c>
      <c r="AI189" s="772" t="s">
        <v>233</v>
      </c>
      <c r="AK189" s="769" t="s">
        <v>518</v>
      </c>
      <c r="AL189" s="770" t="s">
        <v>494</v>
      </c>
      <c r="AM189" s="770" t="s">
        <v>507</v>
      </c>
      <c r="AN189" s="770" t="s">
        <v>561</v>
      </c>
      <c r="AO189" s="770" t="s">
        <v>493</v>
      </c>
      <c r="AP189" s="770" t="s">
        <v>504</v>
      </c>
      <c r="AQ189" s="770" t="s">
        <v>501</v>
      </c>
      <c r="AR189" s="784" t="s">
        <v>502</v>
      </c>
      <c r="AS189" s="771">
        <v>282.1214838</v>
      </c>
      <c r="AT189" s="771">
        <v>129.727722</v>
      </c>
      <c r="AU189" s="771">
        <v>519.3735299</v>
      </c>
      <c r="AV189" s="772" t="s">
        <v>233</v>
      </c>
      <c r="AW189" s="714"/>
    </row>
    <row r="190">
      <c r="A190" s="761"/>
      <c r="B190" s="769" t="s">
        <v>493</v>
      </c>
      <c r="C190" s="770" t="s">
        <v>557</v>
      </c>
      <c r="D190" s="770" t="s">
        <v>494</v>
      </c>
      <c r="E190" s="770" t="s">
        <v>508</v>
      </c>
      <c r="F190" s="770" t="s">
        <v>521</v>
      </c>
      <c r="G190" s="770" t="s">
        <v>103</v>
      </c>
      <c r="H190" s="770">
        <v>2019.0</v>
      </c>
      <c r="I190" s="771">
        <v>0.4140471847</v>
      </c>
      <c r="J190" s="771">
        <v>1.105296727</v>
      </c>
      <c r="K190" s="772">
        <v>0.08676581886</v>
      </c>
      <c r="M190" s="769" t="s">
        <v>493</v>
      </c>
      <c r="N190" s="770" t="s">
        <v>557</v>
      </c>
      <c r="O190" s="770" t="s">
        <v>494</v>
      </c>
      <c r="P190" s="770" t="s">
        <v>508</v>
      </c>
      <c r="Q190" s="770" t="s">
        <v>521</v>
      </c>
      <c r="R190" s="770" t="s">
        <v>497</v>
      </c>
      <c r="S190" s="770">
        <v>2019.0</v>
      </c>
      <c r="T190" s="771">
        <v>4.233882888</v>
      </c>
      <c r="U190" s="771">
        <v>11.30232754</v>
      </c>
      <c r="V190" s="772">
        <v>0.8872329757</v>
      </c>
      <c r="X190" s="769" t="s">
        <v>518</v>
      </c>
      <c r="Y190" s="770" t="s">
        <v>494</v>
      </c>
      <c r="Z190" s="770" t="s">
        <v>509</v>
      </c>
      <c r="AA190" s="770" t="s">
        <v>561</v>
      </c>
      <c r="AB190" s="770" t="s">
        <v>493</v>
      </c>
      <c r="AC190" s="770" t="s">
        <v>103</v>
      </c>
      <c r="AD190" s="770" t="s">
        <v>501</v>
      </c>
      <c r="AE190" s="784" t="s">
        <v>502</v>
      </c>
      <c r="AF190" s="771">
        <v>17.56124978</v>
      </c>
      <c r="AG190" s="771">
        <v>6.332938857</v>
      </c>
      <c r="AH190" s="771">
        <v>39.2462578</v>
      </c>
      <c r="AI190" s="772" t="s">
        <v>233</v>
      </c>
      <c r="AK190" s="769" t="s">
        <v>518</v>
      </c>
      <c r="AL190" s="770" t="s">
        <v>494</v>
      </c>
      <c r="AM190" s="770" t="s">
        <v>509</v>
      </c>
      <c r="AN190" s="770" t="s">
        <v>561</v>
      </c>
      <c r="AO190" s="770" t="s">
        <v>493</v>
      </c>
      <c r="AP190" s="770" t="s">
        <v>504</v>
      </c>
      <c r="AQ190" s="770" t="s">
        <v>501</v>
      </c>
      <c r="AR190" s="784" t="s">
        <v>502</v>
      </c>
      <c r="AS190" s="771">
        <v>481.4531761</v>
      </c>
      <c r="AT190" s="771">
        <v>173.6216707</v>
      </c>
      <c r="AU190" s="771">
        <v>1075.961888</v>
      </c>
      <c r="AV190" s="772" t="s">
        <v>233</v>
      </c>
      <c r="AW190" s="714"/>
    </row>
    <row r="191">
      <c r="A191" s="761"/>
      <c r="B191" s="769" t="s">
        <v>493</v>
      </c>
      <c r="C191" s="770" t="s">
        <v>557</v>
      </c>
      <c r="D191" s="770" t="s">
        <v>494</v>
      </c>
      <c r="E191" s="770" t="s">
        <v>512</v>
      </c>
      <c r="F191" s="770" t="s">
        <v>521</v>
      </c>
      <c r="G191" s="770" t="s">
        <v>103</v>
      </c>
      <c r="H191" s="770">
        <v>2019.0</v>
      </c>
      <c r="I191" s="771">
        <v>0.0</v>
      </c>
      <c r="J191" s="771">
        <v>0.0</v>
      </c>
      <c r="K191" s="772">
        <v>0.0</v>
      </c>
      <c r="M191" s="769" t="s">
        <v>493</v>
      </c>
      <c r="N191" s="770" t="s">
        <v>557</v>
      </c>
      <c r="O191" s="770" t="s">
        <v>494</v>
      </c>
      <c r="P191" s="770" t="s">
        <v>512</v>
      </c>
      <c r="Q191" s="770" t="s">
        <v>521</v>
      </c>
      <c r="R191" s="770" t="s">
        <v>497</v>
      </c>
      <c r="S191" s="770">
        <v>2019.0</v>
      </c>
      <c r="T191" s="771">
        <v>0.0</v>
      </c>
      <c r="U191" s="771">
        <v>0.0</v>
      </c>
      <c r="V191" s="772">
        <v>0.0</v>
      </c>
      <c r="X191" s="769" t="s">
        <v>518</v>
      </c>
      <c r="Y191" s="770" t="s">
        <v>494</v>
      </c>
      <c r="Z191" s="770" t="s">
        <v>513</v>
      </c>
      <c r="AA191" s="770" t="s">
        <v>561</v>
      </c>
      <c r="AB191" s="770" t="s">
        <v>493</v>
      </c>
      <c r="AC191" s="770" t="s">
        <v>103</v>
      </c>
      <c r="AD191" s="770" t="s">
        <v>501</v>
      </c>
      <c r="AE191" s="784" t="s">
        <v>502</v>
      </c>
      <c r="AF191" s="771">
        <v>308.8631716</v>
      </c>
      <c r="AG191" s="771">
        <v>147.4646222</v>
      </c>
      <c r="AH191" s="771">
        <v>544.0820024</v>
      </c>
      <c r="AI191" s="772" t="s">
        <v>233</v>
      </c>
      <c r="AK191" s="769" t="s">
        <v>518</v>
      </c>
      <c r="AL191" s="770" t="s">
        <v>494</v>
      </c>
      <c r="AM191" s="770" t="s">
        <v>513</v>
      </c>
      <c r="AN191" s="770" t="s">
        <v>561</v>
      </c>
      <c r="AO191" s="770" t="s">
        <v>493</v>
      </c>
      <c r="AP191" s="770" t="s">
        <v>504</v>
      </c>
      <c r="AQ191" s="770" t="s">
        <v>501</v>
      </c>
      <c r="AR191" s="784" t="s">
        <v>502</v>
      </c>
      <c r="AS191" s="771">
        <v>97.4089153</v>
      </c>
      <c r="AT191" s="771">
        <v>46.50722461</v>
      </c>
      <c r="AU191" s="771">
        <v>171.5919623</v>
      </c>
      <c r="AV191" s="772" t="s">
        <v>233</v>
      </c>
      <c r="AW191" s="714"/>
    </row>
    <row r="192">
      <c r="A192" s="761"/>
      <c r="B192" s="769" t="s">
        <v>493</v>
      </c>
      <c r="C192" s="770" t="s">
        <v>557</v>
      </c>
      <c r="D192" s="770" t="s">
        <v>494</v>
      </c>
      <c r="E192" s="770" t="s">
        <v>495</v>
      </c>
      <c r="F192" s="770" t="s">
        <v>523</v>
      </c>
      <c r="G192" s="770" t="s">
        <v>103</v>
      </c>
      <c r="H192" s="770">
        <v>2019.0</v>
      </c>
      <c r="I192" s="771">
        <v>2.684165052</v>
      </c>
      <c r="J192" s="771">
        <v>4.608700842</v>
      </c>
      <c r="K192" s="772">
        <v>1.125639506</v>
      </c>
      <c r="M192" s="769" t="s">
        <v>493</v>
      </c>
      <c r="N192" s="770" t="s">
        <v>557</v>
      </c>
      <c r="O192" s="770" t="s">
        <v>494</v>
      </c>
      <c r="P192" s="770" t="s">
        <v>495</v>
      </c>
      <c r="Q192" s="770" t="s">
        <v>523</v>
      </c>
      <c r="R192" s="770" t="s">
        <v>497</v>
      </c>
      <c r="S192" s="770">
        <v>2019.0</v>
      </c>
      <c r="T192" s="771">
        <v>5.049931554</v>
      </c>
      <c r="U192" s="771">
        <v>8.670712628</v>
      </c>
      <c r="V192" s="772">
        <v>2.117754441</v>
      </c>
      <c r="X192" s="769" t="s">
        <v>519</v>
      </c>
      <c r="Y192" s="770" t="s">
        <v>494</v>
      </c>
      <c r="Z192" s="770" t="s">
        <v>499</v>
      </c>
      <c r="AA192" s="770" t="s">
        <v>561</v>
      </c>
      <c r="AB192" s="770" t="s">
        <v>493</v>
      </c>
      <c r="AC192" s="770" t="s">
        <v>103</v>
      </c>
      <c r="AD192" s="770" t="s">
        <v>501</v>
      </c>
      <c r="AE192" s="784" t="s">
        <v>502</v>
      </c>
      <c r="AF192" s="771">
        <v>1099.701763</v>
      </c>
      <c r="AG192" s="771">
        <v>821.9554025</v>
      </c>
      <c r="AH192" s="771">
        <v>1432.712238</v>
      </c>
      <c r="AI192" s="772" t="s">
        <v>233</v>
      </c>
      <c r="AK192" s="769" t="s">
        <v>519</v>
      </c>
      <c r="AL192" s="770" t="s">
        <v>494</v>
      </c>
      <c r="AM192" s="770" t="s">
        <v>499</v>
      </c>
      <c r="AN192" s="770" t="s">
        <v>561</v>
      </c>
      <c r="AO192" s="770" t="s">
        <v>493</v>
      </c>
      <c r="AP192" s="770" t="s">
        <v>504</v>
      </c>
      <c r="AQ192" s="770" t="s">
        <v>501</v>
      </c>
      <c r="AR192" s="784" t="s">
        <v>502</v>
      </c>
      <c r="AS192" s="771">
        <v>89381.29088</v>
      </c>
      <c r="AT192" s="771">
        <v>66806.69015</v>
      </c>
      <c r="AU192" s="771">
        <v>116447.6348</v>
      </c>
      <c r="AV192" s="772" t="s">
        <v>233</v>
      </c>
      <c r="AW192" s="714"/>
    </row>
    <row r="193">
      <c r="A193" s="761"/>
      <c r="B193" s="769" t="s">
        <v>493</v>
      </c>
      <c r="C193" s="770" t="s">
        <v>557</v>
      </c>
      <c r="D193" s="770" t="s">
        <v>494</v>
      </c>
      <c r="E193" s="770" t="s">
        <v>505</v>
      </c>
      <c r="F193" s="770" t="s">
        <v>523</v>
      </c>
      <c r="G193" s="770" t="s">
        <v>103</v>
      </c>
      <c r="H193" s="770">
        <v>2019.0</v>
      </c>
      <c r="I193" s="771">
        <v>0.0</v>
      </c>
      <c r="J193" s="771">
        <v>0.0</v>
      </c>
      <c r="K193" s="772">
        <v>0.0</v>
      </c>
      <c r="M193" s="769" t="s">
        <v>493</v>
      </c>
      <c r="N193" s="770" t="s">
        <v>557</v>
      </c>
      <c r="O193" s="770" t="s">
        <v>494</v>
      </c>
      <c r="P193" s="770" t="s">
        <v>505</v>
      </c>
      <c r="Q193" s="770" t="s">
        <v>523</v>
      </c>
      <c r="R193" s="770" t="s">
        <v>497</v>
      </c>
      <c r="S193" s="770">
        <v>2019.0</v>
      </c>
      <c r="T193" s="771">
        <v>0.0</v>
      </c>
      <c r="U193" s="771">
        <v>0.0</v>
      </c>
      <c r="V193" s="772">
        <v>0.0</v>
      </c>
      <c r="X193" s="769" t="s">
        <v>519</v>
      </c>
      <c r="Y193" s="770" t="s">
        <v>494</v>
      </c>
      <c r="Z193" s="770" t="s">
        <v>507</v>
      </c>
      <c r="AA193" s="770" t="s">
        <v>561</v>
      </c>
      <c r="AB193" s="770" t="s">
        <v>493</v>
      </c>
      <c r="AC193" s="770" t="s">
        <v>103</v>
      </c>
      <c r="AD193" s="770" t="s">
        <v>501</v>
      </c>
      <c r="AE193" s="784" t="s">
        <v>502</v>
      </c>
      <c r="AF193" s="771">
        <v>5.525133359</v>
      </c>
      <c r="AG193" s="771">
        <v>2.854129274</v>
      </c>
      <c r="AH193" s="771">
        <v>9.750499446</v>
      </c>
      <c r="AI193" s="772" t="s">
        <v>233</v>
      </c>
      <c r="AK193" s="769" t="s">
        <v>519</v>
      </c>
      <c r="AL193" s="770" t="s">
        <v>494</v>
      </c>
      <c r="AM193" s="770" t="s">
        <v>507</v>
      </c>
      <c r="AN193" s="770" t="s">
        <v>561</v>
      </c>
      <c r="AO193" s="770" t="s">
        <v>493</v>
      </c>
      <c r="AP193" s="770" t="s">
        <v>504</v>
      </c>
      <c r="AQ193" s="770" t="s">
        <v>501</v>
      </c>
      <c r="AR193" s="784" t="s">
        <v>502</v>
      </c>
      <c r="AS193" s="771">
        <v>9.330349139</v>
      </c>
      <c r="AT193" s="771">
        <v>4.819797258</v>
      </c>
      <c r="AU193" s="771">
        <v>16.46576801</v>
      </c>
      <c r="AV193" s="772" t="s">
        <v>233</v>
      </c>
      <c r="AW193" s="714"/>
    </row>
    <row r="194">
      <c r="A194" s="761"/>
      <c r="B194" s="769" t="s">
        <v>493</v>
      </c>
      <c r="C194" s="770" t="s">
        <v>557</v>
      </c>
      <c r="D194" s="770" t="s">
        <v>494</v>
      </c>
      <c r="E194" s="770" t="s">
        <v>508</v>
      </c>
      <c r="F194" s="770" t="s">
        <v>523</v>
      </c>
      <c r="G194" s="770" t="s">
        <v>103</v>
      </c>
      <c r="H194" s="770">
        <v>2019.0</v>
      </c>
      <c r="I194" s="771">
        <v>1.720380549</v>
      </c>
      <c r="J194" s="771">
        <v>3.15677428</v>
      </c>
      <c r="K194" s="772">
        <v>0.6082808983</v>
      </c>
      <c r="M194" s="769" t="s">
        <v>493</v>
      </c>
      <c r="N194" s="770" t="s">
        <v>557</v>
      </c>
      <c r="O194" s="770" t="s">
        <v>494</v>
      </c>
      <c r="P194" s="770" t="s">
        <v>508</v>
      </c>
      <c r="Q194" s="770" t="s">
        <v>523</v>
      </c>
      <c r="R194" s="770" t="s">
        <v>497</v>
      </c>
      <c r="S194" s="770">
        <v>2019.0</v>
      </c>
      <c r="T194" s="771">
        <v>17.59193164</v>
      </c>
      <c r="U194" s="771">
        <v>32.2799263</v>
      </c>
      <c r="V194" s="772">
        <v>6.220040087</v>
      </c>
      <c r="X194" s="769" t="s">
        <v>519</v>
      </c>
      <c r="Y194" s="770" t="s">
        <v>494</v>
      </c>
      <c r="Z194" s="770" t="s">
        <v>509</v>
      </c>
      <c r="AA194" s="770" t="s">
        <v>561</v>
      </c>
      <c r="AB194" s="770" t="s">
        <v>493</v>
      </c>
      <c r="AC194" s="770" t="s">
        <v>103</v>
      </c>
      <c r="AD194" s="770" t="s">
        <v>501</v>
      </c>
      <c r="AE194" s="784" t="s">
        <v>502</v>
      </c>
      <c r="AF194" s="771">
        <v>80.62587244</v>
      </c>
      <c r="AG194" s="771">
        <v>48.03855877</v>
      </c>
      <c r="AH194" s="771">
        <v>120.9233446</v>
      </c>
      <c r="AI194" s="772" t="s">
        <v>233</v>
      </c>
      <c r="AK194" s="769" t="s">
        <v>519</v>
      </c>
      <c r="AL194" s="770" t="s">
        <v>494</v>
      </c>
      <c r="AM194" s="770" t="s">
        <v>509</v>
      </c>
      <c r="AN194" s="770" t="s">
        <v>561</v>
      </c>
      <c r="AO194" s="770" t="s">
        <v>493</v>
      </c>
      <c r="AP194" s="770" t="s">
        <v>504</v>
      </c>
      <c r="AQ194" s="770" t="s">
        <v>501</v>
      </c>
      <c r="AR194" s="784" t="s">
        <v>502</v>
      </c>
      <c r="AS194" s="771">
        <v>2210.411152</v>
      </c>
      <c r="AT194" s="771">
        <v>1317.008583</v>
      </c>
      <c r="AU194" s="771">
        <v>3315.192771</v>
      </c>
      <c r="AV194" s="772" t="s">
        <v>233</v>
      </c>
      <c r="AW194" s="714"/>
    </row>
    <row r="195">
      <c r="A195" s="761"/>
      <c r="B195" s="769" t="s">
        <v>493</v>
      </c>
      <c r="C195" s="770" t="s">
        <v>557</v>
      </c>
      <c r="D195" s="770" t="s">
        <v>494</v>
      </c>
      <c r="E195" s="770" t="s">
        <v>512</v>
      </c>
      <c r="F195" s="770" t="s">
        <v>523</v>
      </c>
      <c r="G195" s="770" t="s">
        <v>103</v>
      </c>
      <c r="H195" s="770">
        <v>2019.0</v>
      </c>
      <c r="I195" s="771">
        <v>0.0</v>
      </c>
      <c r="J195" s="771">
        <v>0.0</v>
      </c>
      <c r="K195" s="772">
        <v>0.0</v>
      </c>
      <c r="M195" s="769" t="s">
        <v>493</v>
      </c>
      <c r="N195" s="770" t="s">
        <v>557</v>
      </c>
      <c r="O195" s="770" t="s">
        <v>494</v>
      </c>
      <c r="P195" s="770" t="s">
        <v>512</v>
      </c>
      <c r="Q195" s="770" t="s">
        <v>523</v>
      </c>
      <c r="R195" s="770" t="s">
        <v>497</v>
      </c>
      <c r="S195" s="770">
        <v>2019.0</v>
      </c>
      <c r="T195" s="771">
        <v>0.0</v>
      </c>
      <c r="U195" s="771">
        <v>0.0</v>
      </c>
      <c r="V195" s="772">
        <v>0.0</v>
      </c>
      <c r="X195" s="769" t="s">
        <v>519</v>
      </c>
      <c r="Y195" s="770" t="s">
        <v>494</v>
      </c>
      <c r="Z195" s="770" t="s">
        <v>513</v>
      </c>
      <c r="AA195" s="770" t="s">
        <v>561</v>
      </c>
      <c r="AB195" s="770" t="s">
        <v>493</v>
      </c>
      <c r="AC195" s="770" t="s">
        <v>103</v>
      </c>
      <c r="AD195" s="770" t="s">
        <v>501</v>
      </c>
      <c r="AE195" s="784" t="s">
        <v>502</v>
      </c>
      <c r="AF195" s="771">
        <v>1186.665089</v>
      </c>
      <c r="AG195" s="771">
        <v>887.6162816</v>
      </c>
      <c r="AH195" s="771">
        <v>1558.150604</v>
      </c>
      <c r="AI195" s="772" t="s">
        <v>233</v>
      </c>
      <c r="AK195" s="769" t="s">
        <v>519</v>
      </c>
      <c r="AL195" s="770" t="s">
        <v>494</v>
      </c>
      <c r="AM195" s="770" t="s">
        <v>513</v>
      </c>
      <c r="AN195" s="770" t="s">
        <v>561</v>
      </c>
      <c r="AO195" s="770" t="s">
        <v>493</v>
      </c>
      <c r="AP195" s="770" t="s">
        <v>504</v>
      </c>
      <c r="AQ195" s="770" t="s">
        <v>501</v>
      </c>
      <c r="AR195" s="784" t="s">
        <v>502</v>
      </c>
      <c r="AS195" s="771">
        <v>374.2490843</v>
      </c>
      <c r="AT195" s="771">
        <v>279.935412</v>
      </c>
      <c r="AU195" s="771">
        <v>491.407763</v>
      </c>
      <c r="AV195" s="772" t="s">
        <v>233</v>
      </c>
      <c r="AW195" s="714"/>
    </row>
    <row r="196">
      <c r="A196" s="761"/>
      <c r="B196" s="769" t="s">
        <v>493</v>
      </c>
      <c r="C196" s="770" t="s">
        <v>6</v>
      </c>
      <c r="D196" s="770" t="s">
        <v>494</v>
      </c>
      <c r="E196" s="770" t="s">
        <v>495</v>
      </c>
      <c r="F196" s="770" t="s">
        <v>496</v>
      </c>
      <c r="G196" s="770" t="s">
        <v>103</v>
      </c>
      <c r="H196" s="770">
        <v>2019.0</v>
      </c>
      <c r="I196" s="771">
        <v>64035.00739</v>
      </c>
      <c r="J196" s="771">
        <v>77248.08216</v>
      </c>
      <c r="K196" s="772">
        <v>52538.23828</v>
      </c>
      <c r="M196" s="769" t="s">
        <v>493</v>
      </c>
      <c r="N196" s="770" t="s">
        <v>6</v>
      </c>
      <c r="O196" s="770" t="s">
        <v>494</v>
      </c>
      <c r="P196" s="770" t="s">
        <v>495</v>
      </c>
      <c r="Q196" s="770" t="s">
        <v>496</v>
      </c>
      <c r="R196" s="770" t="s">
        <v>497</v>
      </c>
      <c r="S196" s="770">
        <v>2019.0</v>
      </c>
      <c r="T196" s="771">
        <v>1522.066664</v>
      </c>
      <c r="U196" s="771">
        <v>1836.13207</v>
      </c>
      <c r="V196" s="772">
        <v>1248.796624</v>
      </c>
      <c r="X196" s="769" t="s">
        <v>521</v>
      </c>
      <c r="Y196" s="770" t="s">
        <v>494</v>
      </c>
      <c r="Z196" s="770" t="s">
        <v>499</v>
      </c>
      <c r="AA196" s="770" t="s">
        <v>561</v>
      </c>
      <c r="AB196" s="770" t="s">
        <v>493</v>
      </c>
      <c r="AC196" s="770" t="s">
        <v>103</v>
      </c>
      <c r="AD196" s="770" t="s">
        <v>501</v>
      </c>
      <c r="AE196" s="784" t="s">
        <v>502</v>
      </c>
      <c r="AF196" s="771">
        <v>0.0</v>
      </c>
      <c r="AG196" s="771">
        <v>0.0</v>
      </c>
      <c r="AH196" s="771">
        <v>0.0</v>
      </c>
      <c r="AI196" s="772" t="s">
        <v>233</v>
      </c>
      <c r="AK196" s="769" t="s">
        <v>521</v>
      </c>
      <c r="AL196" s="770" t="s">
        <v>494</v>
      </c>
      <c r="AM196" s="770" t="s">
        <v>499</v>
      </c>
      <c r="AN196" s="770" t="s">
        <v>561</v>
      </c>
      <c r="AO196" s="770" t="s">
        <v>493</v>
      </c>
      <c r="AP196" s="770" t="s">
        <v>504</v>
      </c>
      <c r="AQ196" s="770" t="s">
        <v>501</v>
      </c>
      <c r="AR196" s="784" t="s">
        <v>502</v>
      </c>
      <c r="AS196" s="771">
        <v>0.0</v>
      </c>
      <c r="AT196" s="771">
        <v>0.0</v>
      </c>
      <c r="AU196" s="771">
        <v>0.0</v>
      </c>
      <c r="AV196" s="772" t="s">
        <v>233</v>
      </c>
      <c r="AW196" s="714"/>
    </row>
    <row r="197">
      <c r="A197" s="761"/>
      <c r="B197" s="769" t="s">
        <v>493</v>
      </c>
      <c r="C197" s="770" t="s">
        <v>6</v>
      </c>
      <c r="D197" s="770" t="s">
        <v>494</v>
      </c>
      <c r="E197" s="770" t="s">
        <v>505</v>
      </c>
      <c r="F197" s="770" t="s">
        <v>496</v>
      </c>
      <c r="G197" s="770" t="s">
        <v>103</v>
      </c>
      <c r="H197" s="770">
        <v>2019.0</v>
      </c>
      <c r="I197" s="771">
        <v>17016.72353</v>
      </c>
      <c r="J197" s="771">
        <v>21101.23693</v>
      </c>
      <c r="K197" s="772">
        <v>13378.47318</v>
      </c>
      <c r="M197" s="769" t="s">
        <v>493</v>
      </c>
      <c r="N197" s="770" t="s">
        <v>6</v>
      </c>
      <c r="O197" s="770" t="s">
        <v>494</v>
      </c>
      <c r="P197" s="770" t="s">
        <v>505</v>
      </c>
      <c r="Q197" s="770" t="s">
        <v>496</v>
      </c>
      <c r="R197" s="770" t="s">
        <v>497</v>
      </c>
      <c r="S197" s="770">
        <v>2019.0</v>
      </c>
      <c r="T197" s="771">
        <v>99166.03668</v>
      </c>
      <c r="U197" s="771">
        <v>122968.7978</v>
      </c>
      <c r="V197" s="772">
        <v>77963.90177</v>
      </c>
      <c r="X197" s="769" t="s">
        <v>521</v>
      </c>
      <c r="Y197" s="770" t="s">
        <v>494</v>
      </c>
      <c r="Z197" s="770" t="s">
        <v>507</v>
      </c>
      <c r="AA197" s="770" t="s">
        <v>561</v>
      </c>
      <c r="AB197" s="770" t="s">
        <v>493</v>
      </c>
      <c r="AC197" s="770" t="s">
        <v>103</v>
      </c>
      <c r="AD197" s="770" t="s">
        <v>501</v>
      </c>
      <c r="AE197" s="784" t="s">
        <v>502</v>
      </c>
      <c r="AF197" s="771">
        <v>2.266829426</v>
      </c>
      <c r="AG197" s="771">
        <v>0.5910918038</v>
      </c>
      <c r="AH197" s="771">
        <v>5.81024446</v>
      </c>
      <c r="AI197" s="772" t="s">
        <v>233</v>
      </c>
      <c r="AK197" s="769" t="s">
        <v>521</v>
      </c>
      <c r="AL197" s="770" t="s">
        <v>494</v>
      </c>
      <c r="AM197" s="770" t="s">
        <v>507</v>
      </c>
      <c r="AN197" s="770" t="s">
        <v>561</v>
      </c>
      <c r="AO197" s="770" t="s">
        <v>493</v>
      </c>
      <c r="AP197" s="770" t="s">
        <v>504</v>
      </c>
      <c r="AQ197" s="770" t="s">
        <v>501</v>
      </c>
      <c r="AR197" s="784" t="s">
        <v>502</v>
      </c>
      <c r="AS197" s="771">
        <v>3.828018005</v>
      </c>
      <c r="AT197" s="771">
        <v>0.9981827667</v>
      </c>
      <c r="AU197" s="771">
        <v>9.811819168</v>
      </c>
      <c r="AV197" s="772" t="s">
        <v>233</v>
      </c>
      <c r="AW197" s="714"/>
    </row>
    <row r="198">
      <c r="A198" s="761"/>
      <c r="B198" s="769" t="s">
        <v>493</v>
      </c>
      <c r="C198" s="770" t="s">
        <v>6</v>
      </c>
      <c r="D198" s="770" t="s">
        <v>494</v>
      </c>
      <c r="E198" s="770" t="s">
        <v>508</v>
      </c>
      <c r="F198" s="770" t="s">
        <v>496</v>
      </c>
      <c r="G198" s="770" t="s">
        <v>103</v>
      </c>
      <c r="H198" s="770">
        <v>2019.0</v>
      </c>
      <c r="I198" s="771">
        <v>19245.01042</v>
      </c>
      <c r="J198" s="771">
        <v>26412.59835</v>
      </c>
      <c r="K198" s="772">
        <v>13730.83529</v>
      </c>
      <c r="M198" s="769" t="s">
        <v>493</v>
      </c>
      <c r="N198" s="770" t="s">
        <v>6</v>
      </c>
      <c r="O198" s="770" t="s">
        <v>494</v>
      </c>
      <c r="P198" s="770" t="s">
        <v>508</v>
      </c>
      <c r="Q198" s="770" t="s">
        <v>496</v>
      </c>
      <c r="R198" s="770" t="s">
        <v>497</v>
      </c>
      <c r="S198" s="770">
        <v>2019.0</v>
      </c>
      <c r="T198" s="771">
        <v>2417.462642</v>
      </c>
      <c r="U198" s="771">
        <v>3317.819445</v>
      </c>
      <c r="V198" s="772">
        <v>1724.799344</v>
      </c>
      <c r="X198" s="769" t="s">
        <v>521</v>
      </c>
      <c r="Y198" s="770" t="s">
        <v>494</v>
      </c>
      <c r="Z198" s="770" t="s">
        <v>509</v>
      </c>
      <c r="AA198" s="770" t="s">
        <v>561</v>
      </c>
      <c r="AB198" s="770" t="s">
        <v>493</v>
      </c>
      <c r="AC198" s="770" t="s">
        <v>103</v>
      </c>
      <c r="AD198" s="770" t="s">
        <v>501</v>
      </c>
      <c r="AE198" s="784" t="s">
        <v>502</v>
      </c>
      <c r="AF198" s="771">
        <v>0.0</v>
      </c>
      <c r="AG198" s="771">
        <v>0.0</v>
      </c>
      <c r="AH198" s="771">
        <v>0.0</v>
      </c>
      <c r="AI198" s="772" t="s">
        <v>233</v>
      </c>
      <c r="AK198" s="769" t="s">
        <v>521</v>
      </c>
      <c r="AL198" s="770" t="s">
        <v>494</v>
      </c>
      <c r="AM198" s="770" t="s">
        <v>509</v>
      </c>
      <c r="AN198" s="770" t="s">
        <v>561</v>
      </c>
      <c r="AO198" s="770" t="s">
        <v>493</v>
      </c>
      <c r="AP198" s="770" t="s">
        <v>504</v>
      </c>
      <c r="AQ198" s="770" t="s">
        <v>501</v>
      </c>
      <c r="AR198" s="784" t="s">
        <v>502</v>
      </c>
      <c r="AS198" s="771">
        <v>0.0</v>
      </c>
      <c r="AT198" s="771">
        <v>0.0</v>
      </c>
      <c r="AU198" s="771">
        <v>0.0</v>
      </c>
      <c r="AV198" s="772" t="s">
        <v>233</v>
      </c>
      <c r="AW198" s="714"/>
    </row>
    <row r="199">
      <c r="A199" s="761"/>
      <c r="B199" s="769" t="s">
        <v>493</v>
      </c>
      <c r="C199" s="770" t="s">
        <v>6</v>
      </c>
      <c r="D199" s="770" t="s">
        <v>494</v>
      </c>
      <c r="E199" s="770" t="s">
        <v>512</v>
      </c>
      <c r="F199" s="770" t="s">
        <v>496</v>
      </c>
      <c r="G199" s="770" t="s">
        <v>103</v>
      </c>
      <c r="H199" s="770">
        <v>2019.0</v>
      </c>
      <c r="I199" s="771">
        <v>4718.894707</v>
      </c>
      <c r="J199" s="771">
        <v>5863.542948</v>
      </c>
      <c r="K199" s="772">
        <v>3697.397716</v>
      </c>
      <c r="M199" s="769" t="s">
        <v>493</v>
      </c>
      <c r="N199" s="770" t="s">
        <v>6</v>
      </c>
      <c r="O199" s="770" t="s">
        <v>494</v>
      </c>
      <c r="P199" s="770" t="s">
        <v>512</v>
      </c>
      <c r="Q199" s="770" t="s">
        <v>496</v>
      </c>
      <c r="R199" s="770" t="s">
        <v>497</v>
      </c>
      <c r="S199" s="770">
        <v>2019.0</v>
      </c>
      <c r="T199" s="771">
        <v>9286.277587</v>
      </c>
      <c r="U199" s="771">
        <v>11538.8223</v>
      </c>
      <c r="V199" s="772">
        <v>7276.081301</v>
      </c>
      <c r="X199" s="769" t="s">
        <v>521</v>
      </c>
      <c r="Y199" s="770" t="s">
        <v>494</v>
      </c>
      <c r="Z199" s="770" t="s">
        <v>513</v>
      </c>
      <c r="AA199" s="770" t="s">
        <v>561</v>
      </c>
      <c r="AB199" s="770" t="s">
        <v>493</v>
      </c>
      <c r="AC199" s="770" t="s">
        <v>103</v>
      </c>
      <c r="AD199" s="770" t="s">
        <v>501</v>
      </c>
      <c r="AE199" s="784" t="s">
        <v>502</v>
      </c>
      <c r="AF199" s="771">
        <v>9.810726352</v>
      </c>
      <c r="AG199" s="771">
        <v>2.445401161</v>
      </c>
      <c r="AH199" s="771">
        <v>26.3150072</v>
      </c>
      <c r="AI199" s="772" t="s">
        <v>233</v>
      </c>
      <c r="AK199" s="769" t="s">
        <v>521</v>
      </c>
      <c r="AL199" s="770" t="s">
        <v>494</v>
      </c>
      <c r="AM199" s="770" t="s">
        <v>513</v>
      </c>
      <c r="AN199" s="770" t="s">
        <v>561</v>
      </c>
      <c r="AO199" s="770" t="s">
        <v>493</v>
      </c>
      <c r="AP199" s="770" t="s">
        <v>504</v>
      </c>
      <c r="AQ199" s="770" t="s">
        <v>501</v>
      </c>
      <c r="AR199" s="784" t="s">
        <v>502</v>
      </c>
      <c r="AS199" s="771">
        <v>3.094095704</v>
      </c>
      <c r="AT199" s="771">
        <v>0.771227833</v>
      </c>
      <c r="AU199" s="771">
        <v>8.299197</v>
      </c>
      <c r="AV199" s="772" t="s">
        <v>233</v>
      </c>
      <c r="AW199" s="714"/>
    </row>
    <row r="200">
      <c r="A200" s="761"/>
      <c r="B200" s="769" t="s">
        <v>493</v>
      </c>
      <c r="C200" s="770" t="s">
        <v>6</v>
      </c>
      <c r="D200" s="770" t="s">
        <v>494</v>
      </c>
      <c r="E200" s="770" t="s">
        <v>495</v>
      </c>
      <c r="F200" s="770" t="s">
        <v>514</v>
      </c>
      <c r="G200" s="770" t="s">
        <v>103</v>
      </c>
      <c r="H200" s="770">
        <v>2019.0</v>
      </c>
      <c r="I200" s="771">
        <v>55800.17046</v>
      </c>
      <c r="J200" s="771">
        <v>68414.16209</v>
      </c>
      <c r="K200" s="772">
        <v>44970.44415</v>
      </c>
      <c r="M200" s="769" t="s">
        <v>493</v>
      </c>
      <c r="N200" s="770" t="s">
        <v>6</v>
      </c>
      <c r="O200" s="770" t="s">
        <v>494</v>
      </c>
      <c r="P200" s="770" t="s">
        <v>495</v>
      </c>
      <c r="Q200" s="770" t="s">
        <v>514</v>
      </c>
      <c r="R200" s="770" t="s">
        <v>497</v>
      </c>
      <c r="S200" s="770">
        <v>2019.0</v>
      </c>
      <c r="T200" s="771">
        <v>1326.330436</v>
      </c>
      <c r="U200" s="771">
        <v>1626.156062</v>
      </c>
      <c r="V200" s="772">
        <v>1068.91553</v>
      </c>
      <c r="X200" s="769" t="s">
        <v>523</v>
      </c>
      <c r="Y200" s="770" t="s">
        <v>494</v>
      </c>
      <c r="Z200" s="770" t="s">
        <v>507</v>
      </c>
      <c r="AA200" s="770" t="s">
        <v>561</v>
      </c>
      <c r="AB200" s="770" t="s">
        <v>493</v>
      </c>
      <c r="AC200" s="770" t="s">
        <v>103</v>
      </c>
      <c r="AD200" s="770" t="s">
        <v>501</v>
      </c>
      <c r="AE200" s="784" t="s">
        <v>502</v>
      </c>
      <c r="AF200" s="771">
        <v>7.561715051</v>
      </c>
      <c r="AG200" s="771">
        <v>3.122529183</v>
      </c>
      <c r="AH200" s="771">
        <v>15.33982379</v>
      </c>
      <c r="AI200" s="772" t="s">
        <v>233</v>
      </c>
      <c r="AK200" s="769" t="s">
        <v>523</v>
      </c>
      <c r="AL200" s="770" t="s">
        <v>494</v>
      </c>
      <c r="AM200" s="770" t="s">
        <v>507</v>
      </c>
      <c r="AN200" s="770" t="s">
        <v>561</v>
      </c>
      <c r="AO200" s="770" t="s">
        <v>493</v>
      </c>
      <c r="AP200" s="770" t="s">
        <v>504</v>
      </c>
      <c r="AQ200" s="770" t="s">
        <v>501</v>
      </c>
      <c r="AR200" s="784" t="s">
        <v>502</v>
      </c>
      <c r="AS200" s="771">
        <v>12.76954544</v>
      </c>
      <c r="AT200" s="771">
        <v>5.273046926</v>
      </c>
      <c r="AU200" s="771">
        <v>25.90451713</v>
      </c>
      <c r="AV200" s="772" t="s">
        <v>233</v>
      </c>
      <c r="AW200" s="714"/>
    </row>
    <row r="201">
      <c r="A201" s="761"/>
      <c r="B201" s="769" t="s">
        <v>493</v>
      </c>
      <c r="C201" s="770" t="s">
        <v>6</v>
      </c>
      <c r="D201" s="770" t="s">
        <v>494</v>
      </c>
      <c r="E201" s="770" t="s">
        <v>505</v>
      </c>
      <c r="F201" s="770" t="s">
        <v>514</v>
      </c>
      <c r="G201" s="770" t="s">
        <v>103</v>
      </c>
      <c r="H201" s="770">
        <v>2019.0</v>
      </c>
      <c r="I201" s="771">
        <v>15658.22488</v>
      </c>
      <c r="J201" s="771">
        <v>19361.15105</v>
      </c>
      <c r="K201" s="772">
        <v>12261.19798</v>
      </c>
      <c r="M201" s="769" t="s">
        <v>493</v>
      </c>
      <c r="N201" s="770" t="s">
        <v>6</v>
      </c>
      <c r="O201" s="770" t="s">
        <v>494</v>
      </c>
      <c r="P201" s="770" t="s">
        <v>505</v>
      </c>
      <c r="Q201" s="770" t="s">
        <v>514</v>
      </c>
      <c r="R201" s="770" t="s">
        <v>497</v>
      </c>
      <c r="S201" s="770">
        <v>2019.0</v>
      </c>
      <c r="T201" s="771">
        <v>91249.29957</v>
      </c>
      <c r="U201" s="771">
        <v>112828.3369</v>
      </c>
      <c r="V201" s="772">
        <v>71452.90965</v>
      </c>
      <c r="X201" s="769" t="s">
        <v>523</v>
      </c>
      <c r="Y201" s="770" t="s">
        <v>494</v>
      </c>
      <c r="Z201" s="770" t="s">
        <v>513</v>
      </c>
      <c r="AA201" s="770" t="s">
        <v>561</v>
      </c>
      <c r="AB201" s="770" t="s">
        <v>493</v>
      </c>
      <c r="AC201" s="770" t="s">
        <v>103</v>
      </c>
      <c r="AD201" s="770" t="s">
        <v>501</v>
      </c>
      <c r="AE201" s="784" t="s">
        <v>502</v>
      </c>
      <c r="AF201" s="771">
        <v>12.21144446</v>
      </c>
      <c r="AG201" s="771">
        <v>5.521375452</v>
      </c>
      <c r="AH201" s="771">
        <v>22.63849565</v>
      </c>
      <c r="AI201" s="772" t="s">
        <v>233</v>
      </c>
      <c r="AK201" s="769" t="s">
        <v>523</v>
      </c>
      <c r="AL201" s="770" t="s">
        <v>494</v>
      </c>
      <c r="AM201" s="770" t="s">
        <v>513</v>
      </c>
      <c r="AN201" s="770" t="s">
        <v>561</v>
      </c>
      <c r="AO201" s="770" t="s">
        <v>493</v>
      </c>
      <c r="AP201" s="770" t="s">
        <v>504</v>
      </c>
      <c r="AQ201" s="770" t="s">
        <v>501</v>
      </c>
      <c r="AR201" s="784" t="s">
        <v>502</v>
      </c>
      <c r="AS201" s="771">
        <v>3.851231448</v>
      </c>
      <c r="AT201" s="771">
        <v>1.741325102</v>
      </c>
      <c r="AU201" s="771">
        <v>7.139702976</v>
      </c>
      <c r="AV201" s="772" t="s">
        <v>233</v>
      </c>
      <c r="AW201" s="714"/>
    </row>
    <row r="202">
      <c r="A202" s="761"/>
      <c r="B202" s="769" t="s">
        <v>493</v>
      </c>
      <c r="C202" s="770" t="s">
        <v>6</v>
      </c>
      <c r="D202" s="770" t="s">
        <v>494</v>
      </c>
      <c r="E202" s="770" t="s">
        <v>508</v>
      </c>
      <c r="F202" s="770" t="s">
        <v>514</v>
      </c>
      <c r="G202" s="770" t="s">
        <v>103</v>
      </c>
      <c r="H202" s="770">
        <v>2019.0</v>
      </c>
      <c r="I202" s="771">
        <v>16398.31882</v>
      </c>
      <c r="J202" s="771">
        <v>22742.30393</v>
      </c>
      <c r="K202" s="772">
        <v>11376.77518</v>
      </c>
      <c r="M202" s="769" t="s">
        <v>493</v>
      </c>
      <c r="N202" s="770" t="s">
        <v>6</v>
      </c>
      <c r="O202" s="770" t="s">
        <v>494</v>
      </c>
      <c r="P202" s="770" t="s">
        <v>508</v>
      </c>
      <c r="Q202" s="770" t="s">
        <v>514</v>
      </c>
      <c r="R202" s="770" t="s">
        <v>497</v>
      </c>
      <c r="S202" s="770">
        <v>2019.0</v>
      </c>
      <c r="T202" s="771">
        <v>2059.875379</v>
      </c>
      <c r="U202" s="771">
        <v>2856.775286</v>
      </c>
      <c r="V202" s="772">
        <v>1429.094004</v>
      </c>
      <c r="X202" s="769" t="s">
        <v>496</v>
      </c>
      <c r="Y202" s="770" t="s">
        <v>494</v>
      </c>
      <c r="Z202" s="770" t="s">
        <v>499</v>
      </c>
      <c r="AA202" s="770" t="s">
        <v>32</v>
      </c>
      <c r="AB202" s="770" t="s">
        <v>493</v>
      </c>
      <c r="AC202" s="770" t="s">
        <v>103</v>
      </c>
      <c r="AD202" s="770" t="s">
        <v>501</v>
      </c>
      <c r="AE202" s="784" t="s">
        <v>502</v>
      </c>
      <c r="AF202" s="771">
        <v>2787.57299</v>
      </c>
      <c r="AG202" s="771">
        <v>2236.364123</v>
      </c>
      <c r="AH202" s="771">
        <v>3478.007391</v>
      </c>
      <c r="AI202" s="772" t="s">
        <v>233</v>
      </c>
      <c r="AK202" s="769" t="s">
        <v>496</v>
      </c>
      <c r="AL202" s="770" t="s">
        <v>494</v>
      </c>
      <c r="AM202" s="770" t="s">
        <v>499</v>
      </c>
      <c r="AN202" s="770" t="s">
        <v>32</v>
      </c>
      <c r="AO202" s="770" t="s">
        <v>493</v>
      </c>
      <c r="AP202" s="770" t="s">
        <v>504</v>
      </c>
      <c r="AQ202" s="770" t="s">
        <v>501</v>
      </c>
      <c r="AR202" s="784" t="s">
        <v>502</v>
      </c>
      <c r="AS202" s="771">
        <v>139845.3935</v>
      </c>
      <c r="AT202" s="771">
        <v>112192.6572</v>
      </c>
      <c r="AU202" s="771">
        <v>174482.7181</v>
      </c>
      <c r="AV202" s="772" t="s">
        <v>233</v>
      </c>
      <c r="AW202" s="714"/>
    </row>
    <row r="203">
      <c r="A203" s="761"/>
      <c r="B203" s="769" t="s">
        <v>493</v>
      </c>
      <c r="C203" s="770" t="s">
        <v>6</v>
      </c>
      <c r="D203" s="770" t="s">
        <v>494</v>
      </c>
      <c r="E203" s="770" t="s">
        <v>512</v>
      </c>
      <c r="F203" s="770" t="s">
        <v>514</v>
      </c>
      <c r="G203" s="770" t="s">
        <v>103</v>
      </c>
      <c r="H203" s="770">
        <v>2019.0</v>
      </c>
      <c r="I203" s="771">
        <v>4182.320652</v>
      </c>
      <c r="J203" s="771">
        <v>5234.704939</v>
      </c>
      <c r="K203" s="772">
        <v>3230.22451</v>
      </c>
      <c r="M203" s="769" t="s">
        <v>493</v>
      </c>
      <c r="N203" s="770" t="s">
        <v>6</v>
      </c>
      <c r="O203" s="770" t="s">
        <v>494</v>
      </c>
      <c r="P203" s="770" t="s">
        <v>512</v>
      </c>
      <c r="Q203" s="770" t="s">
        <v>514</v>
      </c>
      <c r="R203" s="770" t="s">
        <v>497</v>
      </c>
      <c r="S203" s="770">
        <v>2019.0</v>
      </c>
      <c r="T203" s="771">
        <v>8230.357519</v>
      </c>
      <c r="U203" s="771">
        <v>10301.33668</v>
      </c>
      <c r="V203" s="772">
        <v>6356.734645</v>
      </c>
      <c r="X203" s="769" t="s">
        <v>496</v>
      </c>
      <c r="Y203" s="770" t="s">
        <v>494</v>
      </c>
      <c r="Z203" s="770" t="s">
        <v>507</v>
      </c>
      <c r="AA203" s="770" t="s">
        <v>32</v>
      </c>
      <c r="AB203" s="770" t="s">
        <v>493</v>
      </c>
      <c r="AC203" s="770" t="s">
        <v>103</v>
      </c>
      <c r="AD203" s="770" t="s">
        <v>501</v>
      </c>
      <c r="AE203" s="784" t="s">
        <v>502</v>
      </c>
      <c r="AF203" s="771">
        <v>2133.298156</v>
      </c>
      <c r="AG203" s="771">
        <v>1710.092839</v>
      </c>
      <c r="AH203" s="771">
        <v>2666.396608</v>
      </c>
      <c r="AI203" s="772" t="s">
        <v>233</v>
      </c>
      <c r="AK203" s="769" t="s">
        <v>496</v>
      </c>
      <c r="AL203" s="770" t="s">
        <v>494</v>
      </c>
      <c r="AM203" s="770" t="s">
        <v>507</v>
      </c>
      <c r="AN203" s="770" t="s">
        <v>32</v>
      </c>
      <c r="AO203" s="770" t="s">
        <v>493</v>
      </c>
      <c r="AP203" s="770" t="s">
        <v>504</v>
      </c>
      <c r="AQ203" s="770" t="s">
        <v>501</v>
      </c>
      <c r="AR203" s="784" t="s">
        <v>502</v>
      </c>
      <c r="AS203" s="771">
        <v>2265.774042</v>
      </c>
      <c r="AT203" s="771">
        <v>1816.288058</v>
      </c>
      <c r="AU203" s="771">
        <v>2831.977426</v>
      </c>
      <c r="AV203" s="772" t="s">
        <v>233</v>
      </c>
      <c r="AW203" s="714"/>
    </row>
    <row r="204">
      <c r="A204" s="761"/>
      <c r="B204" s="769" t="s">
        <v>493</v>
      </c>
      <c r="C204" s="770" t="s">
        <v>6</v>
      </c>
      <c r="D204" s="770" t="s">
        <v>494</v>
      </c>
      <c r="E204" s="770" t="s">
        <v>495</v>
      </c>
      <c r="F204" s="770" t="s">
        <v>518</v>
      </c>
      <c r="G204" s="770" t="s">
        <v>103</v>
      </c>
      <c r="H204" s="770">
        <v>2019.0</v>
      </c>
      <c r="I204" s="771">
        <v>13471.72799</v>
      </c>
      <c r="J204" s="771">
        <v>21902.79502</v>
      </c>
      <c r="K204" s="772">
        <v>5654.668046</v>
      </c>
      <c r="M204" s="769" t="s">
        <v>493</v>
      </c>
      <c r="N204" s="770" t="s">
        <v>6</v>
      </c>
      <c r="O204" s="770" t="s">
        <v>494</v>
      </c>
      <c r="P204" s="770" t="s">
        <v>495</v>
      </c>
      <c r="Q204" s="770" t="s">
        <v>518</v>
      </c>
      <c r="R204" s="770" t="s">
        <v>497</v>
      </c>
      <c r="S204" s="770">
        <v>2019.0</v>
      </c>
      <c r="T204" s="771">
        <v>320.21341</v>
      </c>
      <c r="U204" s="771">
        <v>520.6138876</v>
      </c>
      <c r="V204" s="772">
        <v>134.4074449</v>
      </c>
      <c r="X204" s="769" t="s">
        <v>496</v>
      </c>
      <c r="Y204" s="770" t="s">
        <v>494</v>
      </c>
      <c r="Z204" s="770" t="s">
        <v>509</v>
      </c>
      <c r="AA204" s="770" t="s">
        <v>32</v>
      </c>
      <c r="AB204" s="770" t="s">
        <v>493</v>
      </c>
      <c r="AC204" s="770" t="s">
        <v>103</v>
      </c>
      <c r="AD204" s="770" t="s">
        <v>501</v>
      </c>
      <c r="AE204" s="784" t="s">
        <v>502</v>
      </c>
      <c r="AF204" s="771">
        <v>557.1714584</v>
      </c>
      <c r="AG204" s="771">
        <v>441.7167643</v>
      </c>
      <c r="AH204" s="771">
        <v>701.1976334</v>
      </c>
      <c r="AI204" s="772" t="s">
        <v>233</v>
      </c>
      <c r="AK204" s="769" t="s">
        <v>496</v>
      </c>
      <c r="AL204" s="770" t="s">
        <v>494</v>
      </c>
      <c r="AM204" s="770" t="s">
        <v>509</v>
      </c>
      <c r="AN204" s="770" t="s">
        <v>32</v>
      </c>
      <c r="AO204" s="770" t="s">
        <v>493</v>
      </c>
      <c r="AP204" s="770" t="s">
        <v>504</v>
      </c>
      <c r="AQ204" s="770" t="s">
        <v>501</v>
      </c>
      <c r="AR204" s="784" t="s">
        <v>502</v>
      </c>
      <c r="AS204" s="771">
        <v>9460.008674</v>
      </c>
      <c r="AT204" s="771">
        <v>7499.746008</v>
      </c>
      <c r="AU204" s="771">
        <v>11905.37597</v>
      </c>
      <c r="AV204" s="772" t="s">
        <v>233</v>
      </c>
      <c r="AW204" s="714"/>
    </row>
    <row r="205">
      <c r="A205" s="761"/>
      <c r="B205" s="769" t="s">
        <v>493</v>
      </c>
      <c r="C205" s="770" t="s">
        <v>6</v>
      </c>
      <c r="D205" s="770" t="s">
        <v>494</v>
      </c>
      <c r="E205" s="770" t="s">
        <v>505</v>
      </c>
      <c r="F205" s="770" t="s">
        <v>518</v>
      </c>
      <c r="G205" s="770" t="s">
        <v>103</v>
      </c>
      <c r="H205" s="770">
        <v>2019.0</v>
      </c>
      <c r="I205" s="771">
        <v>290.1973452</v>
      </c>
      <c r="J205" s="771">
        <v>585.5740701</v>
      </c>
      <c r="K205" s="772">
        <v>88.26878658</v>
      </c>
      <c r="M205" s="769" t="s">
        <v>493</v>
      </c>
      <c r="N205" s="770" t="s">
        <v>6</v>
      </c>
      <c r="O205" s="770" t="s">
        <v>494</v>
      </c>
      <c r="P205" s="770" t="s">
        <v>505</v>
      </c>
      <c r="Q205" s="770" t="s">
        <v>518</v>
      </c>
      <c r="R205" s="770" t="s">
        <v>497</v>
      </c>
      <c r="S205" s="770">
        <v>2019.0</v>
      </c>
      <c r="T205" s="771">
        <v>1691.143453</v>
      </c>
      <c r="U205" s="771">
        <v>3412.470069</v>
      </c>
      <c r="V205" s="772">
        <v>514.3919576</v>
      </c>
      <c r="X205" s="769" t="s">
        <v>496</v>
      </c>
      <c r="Y205" s="770" t="s">
        <v>494</v>
      </c>
      <c r="Z205" s="770" t="s">
        <v>513</v>
      </c>
      <c r="AA205" s="770" t="s">
        <v>32</v>
      </c>
      <c r="AB205" s="770" t="s">
        <v>493</v>
      </c>
      <c r="AC205" s="770" t="s">
        <v>103</v>
      </c>
      <c r="AD205" s="770" t="s">
        <v>501</v>
      </c>
      <c r="AE205" s="784" t="s">
        <v>502</v>
      </c>
      <c r="AF205" s="771">
        <v>7861.21423</v>
      </c>
      <c r="AG205" s="771">
        <v>6300.910321</v>
      </c>
      <c r="AH205" s="771">
        <v>9846.444027</v>
      </c>
      <c r="AI205" s="772" t="s">
        <v>233</v>
      </c>
      <c r="AK205" s="769" t="s">
        <v>496</v>
      </c>
      <c r="AL205" s="770" t="s">
        <v>494</v>
      </c>
      <c r="AM205" s="770" t="s">
        <v>513</v>
      </c>
      <c r="AN205" s="770" t="s">
        <v>32</v>
      </c>
      <c r="AO205" s="770" t="s">
        <v>493</v>
      </c>
      <c r="AP205" s="770" t="s">
        <v>504</v>
      </c>
      <c r="AQ205" s="770" t="s">
        <v>501</v>
      </c>
      <c r="AR205" s="784" t="s">
        <v>502</v>
      </c>
      <c r="AS205" s="771">
        <v>1546.205875</v>
      </c>
      <c r="AT205" s="771">
        <v>1239.312945</v>
      </c>
      <c r="AU205" s="771">
        <v>1936.676594</v>
      </c>
      <c r="AV205" s="772" t="s">
        <v>233</v>
      </c>
      <c r="AW205" s="714"/>
    </row>
    <row r="206">
      <c r="A206" s="761"/>
      <c r="B206" s="769" t="s">
        <v>493</v>
      </c>
      <c r="C206" s="770" t="s">
        <v>6</v>
      </c>
      <c r="D206" s="770" t="s">
        <v>494</v>
      </c>
      <c r="E206" s="770" t="s">
        <v>508</v>
      </c>
      <c r="F206" s="770" t="s">
        <v>518</v>
      </c>
      <c r="G206" s="770" t="s">
        <v>103</v>
      </c>
      <c r="H206" s="770">
        <v>2019.0</v>
      </c>
      <c r="I206" s="771">
        <v>6046.204418</v>
      </c>
      <c r="J206" s="771">
        <v>10802.39695</v>
      </c>
      <c r="K206" s="772">
        <v>2487.302708</v>
      </c>
      <c r="M206" s="769" t="s">
        <v>493</v>
      </c>
      <c r="N206" s="770" t="s">
        <v>6</v>
      </c>
      <c r="O206" s="770" t="s">
        <v>494</v>
      </c>
      <c r="P206" s="770" t="s">
        <v>508</v>
      </c>
      <c r="Q206" s="770" t="s">
        <v>518</v>
      </c>
      <c r="R206" s="770" t="s">
        <v>497</v>
      </c>
      <c r="S206" s="770">
        <v>2019.0</v>
      </c>
      <c r="T206" s="771">
        <v>759.4941748</v>
      </c>
      <c r="U206" s="771">
        <v>1356.943462</v>
      </c>
      <c r="V206" s="772">
        <v>312.4426147</v>
      </c>
      <c r="X206" s="769" t="s">
        <v>514</v>
      </c>
      <c r="Y206" s="770" t="s">
        <v>494</v>
      </c>
      <c r="Z206" s="770" t="s">
        <v>499</v>
      </c>
      <c r="AA206" s="770" t="s">
        <v>32</v>
      </c>
      <c r="AB206" s="770" t="s">
        <v>493</v>
      </c>
      <c r="AC206" s="770" t="s">
        <v>103</v>
      </c>
      <c r="AD206" s="770" t="s">
        <v>501</v>
      </c>
      <c r="AE206" s="784" t="s">
        <v>502</v>
      </c>
      <c r="AF206" s="771">
        <v>2568.288103</v>
      </c>
      <c r="AG206" s="771">
        <v>2055.234516</v>
      </c>
      <c r="AH206" s="771">
        <v>3233.633218</v>
      </c>
      <c r="AI206" s="772" t="s">
        <v>233</v>
      </c>
      <c r="AK206" s="769" t="s">
        <v>514</v>
      </c>
      <c r="AL206" s="770" t="s">
        <v>494</v>
      </c>
      <c r="AM206" s="770" t="s">
        <v>499</v>
      </c>
      <c r="AN206" s="770" t="s">
        <v>32</v>
      </c>
      <c r="AO206" s="770" t="s">
        <v>493</v>
      </c>
      <c r="AP206" s="770" t="s">
        <v>504</v>
      </c>
      <c r="AQ206" s="770" t="s">
        <v>501</v>
      </c>
      <c r="AR206" s="784" t="s">
        <v>502</v>
      </c>
      <c r="AS206" s="771">
        <v>128844.4326</v>
      </c>
      <c r="AT206" s="771">
        <v>103105.8489</v>
      </c>
      <c r="AU206" s="771">
        <v>162223.0921</v>
      </c>
      <c r="AV206" s="772" t="s">
        <v>233</v>
      </c>
      <c r="AW206" s="714"/>
    </row>
    <row r="207">
      <c r="A207" s="761"/>
      <c r="B207" s="769" t="s">
        <v>493</v>
      </c>
      <c r="C207" s="770" t="s">
        <v>6</v>
      </c>
      <c r="D207" s="770" t="s">
        <v>494</v>
      </c>
      <c r="E207" s="770" t="s">
        <v>512</v>
      </c>
      <c r="F207" s="770" t="s">
        <v>518</v>
      </c>
      <c r="G207" s="770" t="s">
        <v>103</v>
      </c>
      <c r="H207" s="770">
        <v>2019.0</v>
      </c>
      <c r="I207" s="771">
        <v>626.5421438</v>
      </c>
      <c r="J207" s="771">
        <v>1276.215909</v>
      </c>
      <c r="K207" s="772">
        <v>183.1175592</v>
      </c>
      <c r="M207" s="769" t="s">
        <v>493</v>
      </c>
      <c r="N207" s="770" t="s">
        <v>6</v>
      </c>
      <c r="O207" s="770" t="s">
        <v>494</v>
      </c>
      <c r="P207" s="770" t="s">
        <v>512</v>
      </c>
      <c r="Q207" s="770" t="s">
        <v>518</v>
      </c>
      <c r="R207" s="770" t="s">
        <v>497</v>
      </c>
      <c r="S207" s="770">
        <v>2019.0</v>
      </c>
      <c r="T207" s="771">
        <v>1232.967597</v>
      </c>
      <c r="U207" s="771">
        <v>2511.455739</v>
      </c>
      <c r="V207" s="772">
        <v>360.3556746</v>
      </c>
      <c r="X207" s="769" t="s">
        <v>514</v>
      </c>
      <c r="Y207" s="770" t="s">
        <v>494</v>
      </c>
      <c r="Z207" s="770" t="s">
        <v>507</v>
      </c>
      <c r="AA207" s="770" t="s">
        <v>32</v>
      </c>
      <c r="AB207" s="770" t="s">
        <v>493</v>
      </c>
      <c r="AC207" s="770" t="s">
        <v>103</v>
      </c>
      <c r="AD207" s="770" t="s">
        <v>501</v>
      </c>
      <c r="AE207" s="784" t="s">
        <v>502</v>
      </c>
      <c r="AF207" s="771">
        <v>1799.650355</v>
      </c>
      <c r="AG207" s="771">
        <v>1412.552654</v>
      </c>
      <c r="AH207" s="771">
        <v>2294.734542</v>
      </c>
      <c r="AI207" s="772" t="s">
        <v>233</v>
      </c>
      <c r="AK207" s="769" t="s">
        <v>514</v>
      </c>
      <c r="AL207" s="770" t="s">
        <v>494</v>
      </c>
      <c r="AM207" s="770" t="s">
        <v>507</v>
      </c>
      <c r="AN207" s="770" t="s">
        <v>32</v>
      </c>
      <c r="AO207" s="770" t="s">
        <v>493</v>
      </c>
      <c r="AP207" s="770" t="s">
        <v>504</v>
      </c>
      <c r="AQ207" s="770" t="s">
        <v>501</v>
      </c>
      <c r="AR207" s="784" t="s">
        <v>502</v>
      </c>
      <c r="AS207" s="771">
        <v>1911.407014</v>
      </c>
      <c r="AT207" s="771">
        <v>1500.270897</v>
      </c>
      <c r="AU207" s="771">
        <v>2437.235482</v>
      </c>
      <c r="AV207" s="772" t="s">
        <v>233</v>
      </c>
      <c r="AW207" s="714"/>
    </row>
    <row r="208">
      <c r="A208" s="761"/>
      <c r="B208" s="769" t="s">
        <v>493</v>
      </c>
      <c r="C208" s="770" t="s">
        <v>6</v>
      </c>
      <c r="D208" s="770" t="s">
        <v>494</v>
      </c>
      <c r="E208" s="770" t="s">
        <v>495</v>
      </c>
      <c r="F208" s="770" t="s">
        <v>519</v>
      </c>
      <c r="G208" s="770" t="s">
        <v>103</v>
      </c>
      <c r="H208" s="770">
        <v>2019.0</v>
      </c>
      <c r="I208" s="771">
        <v>15687.77267</v>
      </c>
      <c r="J208" s="771">
        <v>19482.74427</v>
      </c>
      <c r="K208" s="772">
        <v>12144.39622</v>
      </c>
      <c r="M208" s="769" t="s">
        <v>493</v>
      </c>
      <c r="N208" s="770" t="s">
        <v>6</v>
      </c>
      <c r="O208" s="770" t="s">
        <v>494</v>
      </c>
      <c r="P208" s="770" t="s">
        <v>495</v>
      </c>
      <c r="Q208" s="770" t="s">
        <v>519</v>
      </c>
      <c r="R208" s="770" t="s">
        <v>497</v>
      </c>
      <c r="S208" s="770">
        <v>2019.0</v>
      </c>
      <c r="T208" s="771">
        <v>372.8872189</v>
      </c>
      <c r="U208" s="771">
        <v>463.0909993</v>
      </c>
      <c r="V208" s="772">
        <v>288.6636763</v>
      </c>
      <c r="X208" s="769" t="s">
        <v>514</v>
      </c>
      <c r="Y208" s="770" t="s">
        <v>494</v>
      </c>
      <c r="Z208" s="770" t="s">
        <v>509</v>
      </c>
      <c r="AA208" s="770" t="s">
        <v>32</v>
      </c>
      <c r="AB208" s="770" t="s">
        <v>493</v>
      </c>
      <c r="AC208" s="770" t="s">
        <v>103</v>
      </c>
      <c r="AD208" s="770" t="s">
        <v>501</v>
      </c>
      <c r="AE208" s="784" t="s">
        <v>502</v>
      </c>
      <c r="AF208" s="771">
        <v>492.2771106</v>
      </c>
      <c r="AG208" s="771">
        <v>387.2979329</v>
      </c>
      <c r="AH208" s="771">
        <v>623.6118824</v>
      </c>
      <c r="AI208" s="772" t="s">
        <v>233</v>
      </c>
      <c r="AK208" s="769" t="s">
        <v>514</v>
      </c>
      <c r="AL208" s="770" t="s">
        <v>494</v>
      </c>
      <c r="AM208" s="770" t="s">
        <v>509</v>
      </c>
      <c r="AN208" s="770" t="s">
        <v>32</v>
      </c>
      <c r="AO208" s="770" t="s">
        <v>493</v>
      </c>
      <c r="AP208" s="770" t="s">
        <v>504</v>
      </c>
      <c r="AQ208" s="770" t="s">
        <v>501</v>
      </c>
      <c r="AR208" s="784" t="s">
        <v>502</v>
      </c>
      <c r="AS208" s="771">
        <v>8358.191478</v>
      </c>
      <c r="AT208" s="771">
        <v>6575.788744</v>
      </c>
      <c r="AU208" s="771">
        <v>10588.07612</v>
      </c>
      <c r="AV208" s="772" t="s">
        <v>233</v>
      </c>
      <c r="AW208" s="714"/>
    </row>
    <row r="209">
      <c r="A209" s="761"/>
      <c r="B209" s="769" t="s">
        <v>493</v>
      </c>
      <c r="C209" s="770" t="s">
        <v>6</v>
      </c>
      <c r="D209" s="770" t="s">
        <v>494</v>
      </c>
      <c r="E209" s="770" t="s">
        <v>505</v>
      </c>
      <c r="F209" s="770" t="s">
        <v>519</v>
      </c>
      <c r="G209" s="770" t="s">
        <v>103</v>
      </c>
      <c r="H209" s="770">
        <v>2019.0</v>
      </c>
      <c r="I209" s="771">
        <v>13371.45288</v>
      </c>
      <c r="J209" s="771">
        <v>16617.62284</v>
      </c>
      <c r="K209" s="772">
        <v>10299.27353</v>
      </c>
      <c r="M209" s="769" t="s">
        <v>493</v>
      </c>
      <c r="N209" s="770" t="s">
        <v>6</v>
      </c>
      <c r="O209" s="770" t="s">
        <v>494</v>
      </c>
      <c r="P209" s="770" t="s">
        <v>505</v>
      </c>
      <c r="Q209" s="770" t="s">
        <v>519</v>
      </c>
      <c r="R209" s="770" t="s">
        <v>497</v>
      </c>
      <c r="S209" s="770">
        <v>2019.0</v>
      </c>
      <c r="T209" s="771">
        <v>77922.99056</v>
      </c>
      <c r="U209" s="771">
        <v>96840.25207</v>
      </c>
      <c r="V209" s="772">
        <v>60019.67037</v>
      </c>
      <c r="X209" s="769" t="s">
        <v>514</v>
      </c>
      <c r="Y209" s="770" t="s">
        <v>494</v>
      </c>
      <c r="Z209" s="770" t="s">
        <v>513</v>
      </c>
      <c r="AA209" s="770" t="s">
        <v>32</v>
      </c>
      <c r="AB209" s="770" t="s">
        <v>493</v>
      </c>
      <c r="AC209" s="770" t="s">
        <v>103</v>
      </c>
      <c r="AD209" s="770" t="s">
        <v>501</v>
      </c>
      <c r="AE209" s="784" t="s">
        <v>502</v>
      </c>
      <c r="AF209" s="771">
        <v>6913.635617</v>
      </c>
      <c r="AG209" s="771">
        <v>5513.006731</v>
      </c>
      <c r="AH209" s="771">
        <v>8711.97537</v>
      </c>
      <c r="AI209" s="772" t="s">
        <v>233</v>
      </c>
      <c r="AK209" s="769" t="s">
        <v>514</v>
      </c>
      <c r="AL209" s="770" t="s">
        <v>494</v>
      </c>
      <c r="AM209" s="770" t="s">
        <v>513</v>
      </c>
      <c r="AN209" s="770" t="s">
        <v>32</v>
      </c>
      <c r="AO209" s="770" t="s">
        <v>493</v>
      </c>
      <c r="AP209" s="770" t="s">
        <v>504</v>
      </c>
      <c r="AQ209" s="770" t="s">
        <v>501</v>
      </c>
      <c r="AR209" s="784" t="s">
        <v>502</v>
      </c>
      <c r="AS209" s="771">
        <v>1359.828609</v>
      </c>
      <c r="AT209" s="771">
        <v>1084.341826</v>
      </c>
      <c r="AU209" s="771">
        <v>1713.540314</v>
      </c>
      <c r="AV209" s="772" t="s">
        <v>233</v>
      </c>
      <c r="AW209" s="714"/>
    </row>
    <row r="210">
      <c r="A210" s="761"/>
      <c r="B210" s="769" t="s">
        <v>493</v>
      </c>
      <c r="C210" s="770" t="s">
        <v>6</v>
      </c>
      <c r="D210" s="770" t="s">
        <v>494</v>
      </c>
      <c r="E210" s="770" t="s">
        <v>508</v>
      </c>
      <c r="F210" s="770" t="s">
        <v>519</v>
      </c>
      <c r="G210" s="770" t="s">
        <v>103</v>
      </c>
      <c r="H210" s="770">
        <v>2019.0</v>
      </c>
      <c r="I210" s="771">
        <v>274.2068971</v>
      </c>
      <c r="J210" s="771">
        <v>477.6044673</v>
      </c>
      <c r="K210" s="772">
        <v>136.8767683</v>
      </c>
      <c r="M210" s="769" t="s">
        <v>493</v>
      </c>
      <c r="N210" s="770" t="s">
        <v>6</v>
      </c>
      <c r="O210" s="770" t="s">
        <v>494</v>
      </c>
      <c r="P210" s="770" t="s">
        <v>508</v>
      </c>
      <c r="Q210" s="770" t="s">
        <v>519</v>
      </c>
      <c r="R210" s="770" t="s">
        <v>497</v>
      </c>
      <c r="S210" s="770">
        <v>2019.0</v>
      </c>
      <c r="T210" s="771">
        <v>34.44450876</v>
      </c>
      <c r="U210" s="771">
        <v>59.99430149</v>
      </c>
      <c r="V210" s="772">
        <v>17.19377993</v>
      </c>
      <c r="X210" s="769" t="s">
        <v>518</v>
      </c>
      <c r="Y210" s="770" t="s">
        <v>494</v>
      </c>
      <c r="Z210" s="770" t="s">
        <v>499</v>
      </c>
      <c r="AA210" s="770" t="s">
        <v>32</v>
      </c>
      <c r="AB210" s="770" t="s">
        <v>493</v>
      </c>
      <c r="AC210" s="770" t="s">
        <v>103</v>
      </c>
      <c r="AD210" s="770" t="s">
        <v>501</v>
      </c>
      <c r="AE210" s="784" t="s">
        <v>502</v>
      </c>
      <c r="AF210" s="771">
        <v>22.96305318</v>
      </c>
      <c r="AG210" s="771">
        <v>9.368683829</v>
      </c>
      <c r="AH210" s="771">
        <v>47.98869169</v>
      </c>
      <c r="AI210" s="772" t="s">
        <v>233</v>
      </c>
      <c r="AK210" s="769" t="s">
        <v>518</v>
      </c>
      <c r="AL210" s="770" t="s">
        <v>494</v>
      </c>
      <c r="AM210" s="770" t="s">
        <v>499</v>
      </c>
      <c r="AN210" s="770" t="s">
        <v>32</v>
      </c>
      <c r="AO210" s="770" t="s">
        <v>493</v>
      </c>
      <c r="AP210" s="770" t="s">
        <v>504</v>
      </c>
      <c r="AQ210" s="770" t="s">
        <v>501</v>
      </c>
      <c r="AR210" s="784" t="s">
        <v>502</v>
      </c>
      <c r="AS210" s="771">
        <v>1151.997533</v>
      </c>
      <c r="AT210" s="771">
        <v>470.0028595</v>
      </c>
      <c r="AU210" s="771">
        <v>2407.469686</v>
      </c>
      <c r="AV210" s="772" t="s">
        <v>233</v>
      </c>
      <c r="AW210" s="714"/>
    </row>
    <row r="211">
      <c r="A211" s="761"/>
      <c r="B211" s="769" t="s">
        <v>493</v>
      </c>
      <c r="C211" s="770" t="s">
        <v>6</v>
      </c>
      <c r="D211" s="770" t="s">
        <v>494</v>
      </c>
      <c r="E211" s="770" t="s">
        <v>512</v>
      </c>
      <c r="F211" s="770" t="s">
        <v>519</v>
      </c>
      <c r="G211" s="770" t="s">
        <v>103</v>
      </c>
      <c r="H211" s="770">
        <v>2019.0</v>
      </c>
      <c r="I211" s="771">
        <v>1993.632276</v>
      </c>
      <c r="J211" s="771">
        <v>2724.755293</v>
      </c>
      <c r="K211" s="772">
        <v>1400.544562</v>
      </c>
      <c r="M211" s="769" t="s">
        <v>493</v>
      </c>
      <c r="N211" s="770" t="s">
        <v>6</v>
      </c>
      <c r="O211" s="770" t="s">
        <v>494</v>
      </c>
      <c r="P211" s="770" t="s">
        <v>512</v>
      </c>
      <c r="Q211" s="770" t="s">
        <v>519</v>
      </c>
      <c r="R211" s="770" t="s">
        <v>497</v>
      </c>
      <c r="S211" s="770">
        <v>2019.0</v>
      </c>
      <c r="T211" s="771">
        <v>3923.25404</v>
      </c>
      <c r="U211" s="771">
        <v>5362.025554</v>
      </c>
      <c r="V211" s="772">
        <v>2756.121165</v>
      </c>
      <c r="X211" s="769" t="s">
        <v>518</v>
      </c>
      <c r="Y211" s="770" t="s">
        <v>494</v>
      </c>
      <c r="Z211" s="770" t="s">
        <v>507</v>
      </c>
      <c r="AA211" s="770" t="s">
        <v>32</v>
      </c>
      <c r="AB211" s="770" t="s">
        <v>493</v>
      </c>
      <c r="AC211" s="770" t="s">
        <v>103</v>
      </c>
      <c r="AD211" s="770" t="s">
        <v>501</v>
      </c>
      <c r="AE211" s="784" t="s">
        <v>502</v>
      </c>
      <c r="AF211" s="771">
        <v>491.3626913</v>
      </c>
      <c r="AG211" s="771">
        <v>231.2163412</v>
      </c>
      <c r="AH211" s="771">
        <v>826.9502042</v>
      </c>
      <c r="AI211" s="772" t="s">
        <v>233</v>
      </c>
      <c r="AK211" s="769" t="s">
        <v>518</v>
      </c>
      <c r="AL211" s="770" t="s">
        <v>494</v>
      </c>
      <c r="AM211" s="770" t="s">
        <v>507</v>
      </c>
      <c r="AN211" s="770" t="s">
        <v>32</v>
      </c>
      <c r="AO211" s="770" t="s">
        <v>493</v>
      </c>
      <c r="AP211" s="770" t="s">
        <v>504</v>
      </c>
      <c r="AQ211" s="770" t="s">
        <v>501</v>
      </c>
      <c r="AR211" s="784" t="s">
        <v>502</v>
      </c>
      <c r="AS211" s="771">
        <v>521.87587</v>
      </c>
      <c r="AT211" s="771">
        <v>245.5746669</v>
      </c>
      <c r="AU211" s="771">
        <v>878.3030639</v>
      </c>
      <c r="AV211" s="772" t="s">
        <v>233</v>
      </c>
      <c r="AW211" s="714"/>
    </row>
    <row r="212">
      <c r="A212" s="761"/>
      <c r="B212" s="769" t="s">
        <v>493</v>
      </c>
      <c r="C212" s="770" t="s">
        <v>6</v>
      </c>
      <c r="D212" s="770" t="s">
        <v>494</v>
      </c>
      <c r="E212" s="770" t="s">
        <v>495</v>
      </c>
      <c r="F212" s="770" t="s">
        <v>521</v>
      </c>
      <c r="G212" s="770" t="s">
        <v>103</v>
      </c>
      <c r="H212" s="770">
        <v>2019.0</v>
      </c>
      <c r="I212" s="771">
        <v>1942.618027</v>
      </c>
      <c r="J212" s="771">
        <v>4575.479587</v>
      </c>
      <c r="K212" s="772">
        <v>569.1262647</v>
      </c>
      <c r="M212" s="769" t="s">
        <v>493</v>
      </c>
      <c r="N212" s="770" t="s">
        <v>6</v>
      </c>
      <c r="O212" s="770" t="s">
        <v>494</v>
      </c>
      <c r="P212" s="770" t="s">
        <v>495</v>
      </c>
      <c r="Q212" s="770" t="s">
        <v>521</v>
      </c>
      <c r="R212" s="770" t="s">
        <v>497</v>
      </c>
      <c r="S212" s="770">
        <v>2019.0</v>
      </c>
      <c r="T212" s="771">
        <v>46.17465132</v>
      </c>
      <c r="U212" s="771">
        <v>108.7559014</v>
      </c>
      <c r="V212" s="772">
        <v>13.52772726</v>
      </c>
      <c r="X212" s="769" t="s">
        <v>518</v>
      </c>
      <c r="Y212" s="770" t="s">
        <v>494</v>
      </c>
      <c r="Z212" s="770" t="s">
        <v>509</v>
      </c>
      <c r="AA212" s="770" t="s">
        <v>32</v>
      </c>
      <c r="AB212" s="770" t="s">
        <v>493</v>
      </c>
      <c r="AC212" s="770" t="s">
        <v>103</v>
      </c>
      <c r="AD212" s="770" t="s">
        <v>501</v>
      </c>
      <c r="AE212" s="784" t="s">
        <v>502</v>
      </c>
      <c r="AF212" s="771">
        <v>43.09390723</v>
      </c>
      <c r="AG212" s="771">
        <v>21.4712664</v>
      </c>
      <c r="AH212" s="771">
        <v>75.15657923</v>
      </c>
      <c r="AI212" s="772" t="s">
        <v>233</v>
      </c>
      <c r="AK212" s="769" t="s">
        <v>518</v>
      </c>
      <c r="AL212" s="770" t="s">
        <v>494</v>
      </c>
      <c r="AM212" s="770" t="s">
        <v>509</v>
      </c>
      <c r="AN212" s="770" t="s">
        <v>32</v>
      </c>
      <c r="AO212" s="770" t="s">
        <v>493</v>
      </c>
      <c r="AP212" s="770" t="s">
        <v>504</v>
      </c>
      <c r="AQ212" s="770" t="s">
        <v>501</v>
      </c>
      <c r="AR212" s="784" t="s">
        <v>502</v>
      </c>
      <c r="AS212" s="771">
        <v>731.6755552</v>
      </c>
      <c r="AT212" s="771">
        <v>364.5527123</v>
      </c>
      <c r="AU212" s="771">
        <v>1276.055836</v>
      </c>
      <c r="AV212" s="772" t="s">
        <v>233</v>
      </c>
      <c r="AW212" s="714"/>
    </row>
    <row r="213">
      <c r="A213" s="761"/>
      <c r="B213" s="769" t="s">
        <v>493</v>
      </c>
      <c r="C213" s="770" t="s">
        <v>6</v>
      </c>
      <c r="D213" s="770" t="s">
        <v>494</v>
      </c>
      <c r="E213" s="770" t="s">
        <v>505</v>
      </c>
      <c r="F213" s="770" t="s">
        <v>521</v>
      </c>
      <c r="G213" s="770" t="s">
        <v>103</v>
      </c>
      <c r="H213" s="770">
        <v>2019.0</v>
      </c>
      <c r="I213" s="771">
        <v>0.0</v>
      </c>
      <c r="J213" s="771">
        <v>0.0</v>
      </c>
      <c r="K213" s="772">
        <v>0.0</v>
      </c>
      <c r="M213" s="769" t="s">
        <v>493</v>
      </c>
      <c r="N213" s="770" t="s">
        <v>6</v>
      </c>
      <c r="O213" s="770" t="s">
        <v>494</v>
      </c>
      <c r="P213" s="770" t="s">
        <v>505</v>
      </c>
      <c r="Q213" s="770" t="s">
        <v>521</v>
      </c>
      <c r="R213" s="770" t="s">
        <v>497</v>
      </c>
      <c r="S213" s="770">
        <v>2019.0</v>
      </c>
      <c r="T213" s="771">
        <v>0.0</v>
      </c>
      <c r="U213" s="771">
        <v>0.0</v>
      </c>
      <c r="V213" s="772">
        <v>0.0</v>
      </c>
      <c r="X213" s="769" t="s">
        <v>518</v>
      </c>
      <c r="Y213" s="770" t="s">
        <v>494</v>
      </c>
      <c r="Z213" s="770" t="s">
        <v>513</v>
      </c>
      <c r="AA213" s="770" t="s">
        <v>32</v>
      </c>
      <c r="AB213" s="770" t="s">
        <v>493</v>
      </c>
      <c r="AC213" s="770" t="s">
        <v>103</v>
      </c>
      <c r="AD213" s="770" t="s">
        <v>501</v>
      </c>
      <c r="AE213" s="784" t="s">
        <v>502</v>
      </c>
      <c r="AF213" s="771">
        <v>932.7184668</v>
      </c>
      <c r="AG213" s="771">
        <v>482.8689659</v>
      </c>
      <c r="AH213" s="771">
        <v>1498.105895</v>
      </c>
      <c r="AI213" s="772" t="s">
        <v>233</v>
      </c>
      <c r="AK213" s="769" t="s">
        <v>518</v>
      </c>
      <c r="AL213" s="770" t="s">
        <v>494</v>
      </c>
      <c r="AM213" s="770" t="s">
        <v>513</v>
      </c>
      <c r="AN213" s="770" t="s">
        <v>32</v>
      </c>
      <c r="AO213" s="770" t="s">
        <v>493</v>
      </c>
      <c r="AP213" s="770" t="s">
        <v>504</v>
      </c>
      <c r="AQ213" s="770" t="s">
        <v>501</v>
      </c>
      <c r="AR213" s="784" t="s">
        <v>502</v>
      </c>
      <c r="AS213" s="771">
        <v>183.4544551</v>
      </c>
      <c r="AT213" s="771">
        <v>94.97449249</v>
      </c>
      <c r="AU213" s="771">
        <v>294.6593323</v>
      </c>
      <c r="AV213" s="772" t="s">
        <v>233</v>
      </c>
      <c r="AW213" s="714"/>
    </row>
    <row r="214">
      <c r="A214" s="761"/>
      <c r="B214" s="769" t="s">
        <v>493</v>
      </c>
      <c r="C214" s="770" t="s">
        <v>6</v>
      </c>
      <c r="D214" s="770" t="s">
        <v>494</v>
      </c>
      <c r="E214" s="770" t="s">
        <v>508</v>
      </c>
      <c r="F214" s="770" t="s">
        <v>521</v>
      </c>
      <c r="G214" s="770" t="s">
        <v>103</v>
      </c>
      <c r="H214" s="770">
        <v>2019.0</v>
      </c>
      <c r="I214" s="771">
        <v>528.3430129</v>
      </c>
      <c r="J214" s="771">
        <v>1338.892955</v>
      </c>
      <c r="K214" s="772">
        <v>155.1668259</v>
      </c>
      <c r="M214" s="769" t="s">
        <v>493</v>
      </c>
      <c r="N214" s="770" t="s">
        <v>6</v>
      </c>
      <c r="O214" s="770" t="s">
        <v>494</v>
      </c>
      <c r="P214" s="770" t="s">
        <v>508</v>
      </c>
      <c r="Q214" s="770" t="s">
        <v>521</v>
      </c>
      <c r="R214" s="770" t="s">
        <v>497</v>
      </c>
      <c r="S214" s="770">
        <v>2019.0</v>
      </c>
      <c r="T214" s="771">
        <v>66.36782563</v>
      </c>
      <c r="U214" s="771">
        <v>168.1850844</v>
      </c>
      <c r="V214" s="772">
        <v>19.49128615</v>
      </c>
      <c r="X214" s="769" t="s">
        <v>519</v>
      </c>
      <c r="Y214" s="770" t="s">
        <v>494</v>
      </c>
      <c r="Z214" s="770" t="s">
        <v>499</v>
      </c>
      <c r="AA214" s="770" t="s">
        <v>32</v>
      </c>
      <c r="AB214" s="770" t="s">
        <v>493</v>
      </c>
      <c r="AC214" s="770" t="s">
        <v>103</v>
      </c>
      <c r="AD214" s="770" t="s">
        <v>501</v>
      </c>
      <c r="AE214" s="784" t="s">
        <v>502</v>
      </c>
      <c r="AF214" s="771">
        <v>2098.355926</v>
      </c>
      <c r="AG214" s="771">
        <v>1645.318164</v>
      </c>
      <c r="AH214" s="771">
        <v>2645.656737</v>
      </c>
      <c r="AI214" s="772" t="s">
        <v>233</v>
      </c>
      <c r="AK214" s="769" t="s">
        <v>519</v>
      </c>
      <c r="AL214" s="770" t="s">
        <v>494</v>
      </c>
      <c r="AM214" s="770" t="s">
        <v>499</v>
      </c>
      <c r="AN214" s="770" t="s">
        <v>32</v>
      </c>
      <c r="AO214" s="770" t="s">
        <v>493</v>
      </c>
      <c r="AP214" s="770" t="s">
        <v>504</v>
      </c>
      <c r="AQ214" s="770" t="s">
        <v>501</v>
      </c>
      <c r="AR214" s="784" t="s">
        <v>502</v>
      </c>
      <c r="AS214" s="771">
        <v>105269.1395</v>
      </c>
      <c r="AT214" s="771">
        <v>82541.39601</v>
      </c>
      <c r="AU214" s="771">
        <v>132725.8187</v>
      </c>
      <c r="AV214" s="772" t="s">
        <v>233</v>
      </c>
      <c r="AW214" s="714"/>
    </row>
    <row r="215">
      <c r="A215" s="761"/>
      <c r="B215" s="769" t="s">
        <v>493</v>
      </c>
      <c r="C215" s="770" t="s">
        <v>6</v>
      </c>
      <c r="D215" s="770" t="s">
        <v>494</v>
      </c>
      <c r="E215" s="770" t="s">
        <v>512</v>
      </c>
      <c r="F215" s="770" t="s">
        <v>521</v>
      </c>
      <c r="G215" s="770" t="s">
        <v>103</v>
      </c>
      <c r="H215" s="770">
        <v>2019.0</v>
      </c>
      <c r="I215" s="771">
        <v>0.0</v>
      </c>
      <c r="J215" s="771">
        <v>0.0</v>
      </c>
      <c r="K215" s="772">
        <v>0.0</v>
      </c>
      <c r="M215" s="769" t="s">
        <v>493</v>
      </c>
      <c r="N215" s="770" t="s">
        <v>6</v>
      </c>
      <c r="O215" s="770" t="s">
        <v>494</v>
      </c>
      <c r="P215" s="770" t="s">
        <v>512</v>
      </c>
      <c r="Q215" s="770" t="s">
        <v>521</v>
      </c>
      <c r="R215" s="770" t="s">
        <v>497</v>
      </c>
      <c r="S215" s="770">
        <v>2019.0</v>
      </c>
      <c r="T215" s="771">
        <v>0.0</v>
      </c>
      <c r="U215" s="771">
        <v>0.0</v>
      </c>
      <c r="V215" s="772">
        <v>0.0</v>
      </c>
      <c r="X215" s="769" t="s">
        <v>519</v>
      </c>
      <c r="Y215" s="770" t="s">
        <v>494</v>
      </c>
      <c r="Z215" s="770" t="s">
        <v>507</v>
      </c>
      <c r="AA215" s="770" t="s">
        <v>32</v>
      </c>
      <c r="AB215" s="770" t="s">
        <v>493</v>
      </c>
      <c r="AC215" s="770" t="s">
        <v>103</v>
      </c>
      <c r="AD215" s="770" t="s">
        <v>501</v>
      </c>
      <c r="AE215" s="784" t="s">
        <v>502</v>
      </c>
      <c r="AF215" s="771">
        <v>13.55421143</v>
      </c>
      <c r="AG215" s="771">
        <v>6.870907268</v>
      </c>
      <c r="AH215" s="771">
        <v>22.45749407</v>
      </c>
      <c r="AI215" s="772" t="s">
        <v>233</v>
      </c>
      <c r="AK215" s="769" t="s">
        <v>519</v>
      </c>
      <c r="AL215" s="770" t="s">
        <v>494</v>
      </c>
      <c r="AM215" s="770" t="s">
        <v>507</v>
      </c>
      <c r="AN215" s="770" t="s">
        <v>32</v>
      </c>
      <c r="AO215" s="770" t="s">
        <v>493</v>
      </c>
      <c r="AP215" s="770" t="s">
        <v>504</v>
      </c>
      <c r="AQ215" s="770" t="s">
        <v>501</v>
      </c>
      <c r="AR215" s="784" t="s">
        <v>502</v>
      </c>
      <c r="AS215" s="771">
        <v>14.3959157</v>
      </c>
      <c r="AT215" s="771">
        <v>7.297584394</v>
      </c>
      <c r="AU215" s="771">
        <v>23.85208414</v>
      </c>
      <c r="AV215" s="772" t="s">
        <v>233</v>
      </c>
      <c r="AW215" s="714"/>
    </row>
    <row r="216">
      <c r="A216" s="761"/>
      <c r="B216" s="769" t="s">
        <v>493</v>
      </c>
      <c r="C216" s="770" t="s">
        <v>6</v>
      </c>
      <c r="D216" s="770" t="s">
        <v>494</v>
      </c>
      <c r="E216" s="770" t="s">
        <v>495</v>
      </c>
      <c r="F216" s="770" t="s">
        <v>523</v>
      </c>
      <c r="G216" s="770" t="s">
        <v>103</v>
      </c>
      <c r="H216" s="770">
        <v>2019.0</v>
      </c>
      <c r="I216" s="771">
        <v>511.8589187</v>
      </c>
      <c r="J216" s="771">
        <v>960.1271961</v>
      </c>
      <c r="K216" s="772">
        <v>242.768558</v>
      </c>
      <c r="M216" s="769" t="s">
        <v>493</v>
      </c>
      <c r="N216" s="770" t="s">
        <v>6</v>
      </c>
      <c r="O216" s="770" t="s">
        <v>494</v>
      </c>
      <c r="P216" s="770" t="s">
        <v>495</v>
      </c>
      <c r="Q216" s="770" t="s">
        <v>523</v>
      </c>
      <c r="R216" s="770" t="s">
        <v>497</v>
      </c>
      <c r="S216" s="770">
        <v>2019.0</v>
      </c>
      <c r="T216" s="771">
        <v>12.1665231</v>
      </c>
      <c r="U216" s="771">
        <v>22.8215418</v>
      </c>
      <c r="V216" s="772">
        <v>5.770436269</v>
      </c>
      <c r="X216" s="769" t="s">
        <v>519</v>
      </c>
      <c r="Y216" s="770" t="s">
        <v>494</v>
      </c>
      <c r="Z216" s="770" t="s">
        <v>509</v>
      </c>
      <c r="AA216" s="770" t="s">
        <v>32</v>
      </c>
      <c r="AB216" s="770" t="s">
        <v>493</v>
      </c>
      <c r="AC216" s="770" t="s">
        <v>103</v>
      </c>
      <c r="AD216" s="770" t="s">
        <v>501</v>
      </c>
      <c r="AE216" s="784" t="s">
        <v>502</v>
      </c>
      <c r="AF216" s="771">
        <v>201.4449966</v>
      </c>
      <c r="AG216" s="771">
        <v>129.3920907</v>
      </c>
      <c r="AH216" s="771">
        <v>281.4097713</v>
      </c>
      <c r="AI216" s="772" t="s">
        <v>233</v>
      </c>
      <c r="AK216" s="769" t="s">
        <v>519</v>
      </c>
      <c r="AL216" s="770" t="s">
        <v>494</v>
      </c>
      <c r="AM216" s="770" t="s">
        <v>509</v>
      </c>
      <c r="AN216" s="770" t="s">
        <v>32</v>
      </c>
      <c r="AO216" s="770" t="s">
        <v>493</v>
      </c>
      <c r="AP216" s="770" t="s">
        <v>504</v>
      </c>
      <c r="AQ216" s="770" t="s">
        <v>501</v>
      </c>
      <c r="AR216" s="784" t="s">
        <v>502</v>
      </c>
      <c r="AS216" s="771">
        <v>3420.260292</v>
      </c>
      <c r="AT216" s="771">
        <v>2196.90058</v>
      </c>
      <c r="AU216" s="771">
        <v>4777.952706</v>
      </c>
      <c r="AV216" s="772" t="s">
        <v>233</v>
      </c>
      <c r="AW216" s="714"/>
    </row>
    <row r="217">
      <c r="A217" s="761"/>
      <c r="B217" s="769" t="s">
        <v>493</v>
      </c>
      <c r="C217" s="770" t="s">
        <v>6</v>
      </c>
      <c r="D217" s="770" t="s">
        <v>494</v>
      </c>
      <c r="E217" s="770" t="s">
        <v>505</v>
      </c>
      <c r="F217" s="770" t="s">
        <v>523</v>
      </c>
      <c r="G217" s="770" t="s">
        <v>103</v>
      </c>
      <c r="H217" s="770">
        <v>2019.0</v>
      </c>
      <c r="I217" s="771">
        <v>0.0</v>
      </c>
      <c r="J217" s="771">
        <v>0.0</v>
      </c>
      <c r="K217" s="772">
        <v>0.0</v>
      </c>
      <c r="M217" s="769" t="s">
        <v>493</v>
      </c>
      <c r="N217" s="770" t="s">
        <v>6</v>
      </c>
      <c r="O217" s="770" t="s">
        <v>494</v>
      </c>
      <c r="P217" s="770" t="s">
        <v>505</v>
      </c>
      <c r="Q217" s="770" t="s">
        <v>523</v>
      </c>
      <c r="R217" s="770" t="s">
        <v>497</v>
      </c>
      <c r="S217" s="770">
        <v>2019.0</v>
      </c>
      <c r="T217" s="771">
        <v>0.0</v>
      </c>
      <c r="U217" s="771">
        <v>0.0</v>
      </c>
      <c r="V217" s="772">
        <v>0.0</v>
      </c>
      <c r="X217" s="769" t="s">
        <v>519</v>
      </c>
      <c r="Y217" s="770" t="s">
        <v>494</v>
      </c>
      <c r="Z217" s="770" t="s">
        <v>513</v>
      </c>
      <c r="AA217" s="770" t="s">
        <v>32</v>
      </c>
      <c r="AB217" s="770" t="s">
        <v>493</v>
      </c>
      <c r="AC217" s="770" t="s">
        <v>103</v>
      </c>
      <c r="AD217" s="770" t="s">
        <v>501</v>
      </c>
      <c r="AE217" s="784" t="s">
        <v>502</v>
      </c>
      <c r="AF217" s="771">
        <v>2316.256909</v>
      </c>
      <c r="AG217" s="771">
        <v>1820.268718</v>
      </c>
      <c r="AH217" s="771">
        <v>2936.726258</v>
      </c>
      <c r="AI217" s="772" t="s">
        <v>233</v>
      </c>
      <c r="AK217" s="769" t="s">
        <v>519</v>
      </c>
      <c r="AL217" s="770" t="s">
        <v>494</v>
      </c>
      <c r="AM217" s="770" t="s">
        <v>513</v>
      </c>
      <c r="AN217" s="770" t="s">
        <v>32</v>
      </c>
      <c r="AO217" s="770" t="s">
        <v>493</v>
      </c>
      <c r="AP217" s="770" t="s">
        <v>504</v>
      </c>
      <c r="AQ217" s="770" t="s">
        <v>501</v>
      </c>
      <c r="AR217" s="784" t="s">
        <v>502</v>
      </c>
      <c r="AS217" s="771">
        <v>455.5797534</v>
      </c>
      <c r="AT217" s="771">
        <v>358.0248678</v>
      </c>
      <c r="AU217" s="771">
        <v>577.6185791</v>
      </c>
      <c r="AV217" s="772" t="s">
        <v>233</v>
      </c>
      <c r="AW217" s="714"/>
    </row>
    <row r="218">
      <c r="A218" s="761"/>
      <c r="B218" s="769" t="s">
        <v>493</v>
      </c>
      <c r="C218" s="770" t="s">
        <v>6</v>
      </c>
      <c r="D218" s="770" t="s">
        <v>494</v>
      </c>
      <c r="E218" s="770" t="s">
        <v>508</v>
      </c>
      <c r="F218" s="770" t="s">
        <v>523</v>
      </c>
      <c r="G218" s="770" t="s">
        <v>103</v>
      </c>
      <c r="H218" s="770">
        <v>2019.0</v>
      </c>
      <c r="I218" s="771">
        <v>227.6493195</v>
      </c>
      <c r="J218" s="771">
        <v>477.2898198</v>
      </c>
      <c r="K218" s="772">
        <v>88.34734079</v>
      </c>
      <c r="M218" s="769" t="s">
        <v>493</v>
      </c>
      <c r="N218" s="770" t="s">
        <v>6</v>
      </c>
      <c r="O218" s="770" t="s">
        <v>494</v>
      </c>
      <c r="P218" s="770" t="s">
        <v>508</v>
      </c>
      <c r="Q218" s="770" t="s">
        <v>523</v>
      </c>
      <c r="R218" s="770" t="s">
        <v>497</v>
      </c>
      <c r="S218" s="770">
        <v>2019.0</v>
      </c>
      <c r="T218" s="771">
        <v>28.59617706</v>
      </c>
      <c r="U218" s="771">
        <v>59.95477704</v>
      </c>
      <c r="V218" s="772">
        <v>11.09775424</v>
      </c>
      <c r="X218" s="769" t="s">
        <v>521</v>
      </c>
      <c r="Y218" s="770" t="s">
        <v>494</v>
      </c>
      <c r="Z218" s="770" t="s">
        <v>499</v>
      </c>
      <c r="AA218" s="770" t="s">
        <v>32</v>
      </c>
      <c r="AB218" s="770" t="s">
        <v>493</v>
      </c>
      <c r="AC218" s="770" t="s">
        <v>103</v>
      </c>
      <c r="AD218" s="770" t="s">
        <v>501</v>
      </c>
      <c r="AE218" s="784" t="s">
        <v>502</v>
      </c>
      <c r="AF218" s="771">
        <v>0.0</v>
      </c>
      <c r="AG218" s="771">
        <v>0.0</v>
      </c>
      <c r="AH218" s="771">
        <v>0.0</v>
      </c>
      <c r="AI218" s="772" t="s">
        <v>233</v>
      </c>
      <c r="AK218" s="769" t="s">
        <v>521</v>
      </c>
      <c r="AL218" s="770" t="s">
        <v>494</v>
      </c>
      <c r="AM218" s="770" t="s">
        <v>499</v>
      </c>
      <c r="AN218" s="770" t="s">
        <v>32</v>
      </c>
      <c r="AO218" s="770" t="s">
        <v>493</v>
      </c>
      <c r="AP218" s="770" t="s">
        <v>504</v>
      </c>
      <c r="AQ218" s="770" t="s">
        <v>501</v>
      </c>
      <c r="AR218" s="784" t="s">
        <v>502</v>
      </c>
      <c r="AS218" s="771">
        <v>0.0</v>
      </c>
      <c r="AT218" s="771">
        <v>0.0</v>
      </c>
      <c r="AU218" s="771">
        <v>0.0</v>
      </c>
      <c r="AV218" s="772" t="s">
        <v>233</v>
      </c>
      <c r="AW218" s="714"/>
    </row>
    <row r="219">
      <c r="A219" s="761"/>
      <c r="B219" s="769" t="s">
        <v>493</v>
      </c>
      <c r="C219" s="770" t="s">
        <v>6</v>
      </c>
      <c r="D219" s="770" t="s">
        <v>494</v>
      </c>
      <c r="E219" s="770" t="s">
        <v>512</v>
      </c>
      <c r="F219" s="770" t="s">
        <v>523</v>
      </c>
      <c r="G219" s="770" t="s">
        <v>103</v>
      </c>
      <c r="H219" s="770">
        <v>2019.0</v>
      </c>
      <c r="I219" s="771">
        <v>0.0</v>
      </c>
      <c r="J219" s="771">
        <v>0.0</v>
      </c>
      <c r="K219" s="772">
        <v>0.0</v>
      </c>
      <c r="M219" s="769" t="s">
        <v>493</v>
      </c>
      <c r="N219" s="770" t="s">
        <v>6</v>
      </c>
      <c r="O219" s="770" t="s">
        <v>494</v>
      </c>
      <c r="P219" s="770" t="s">
        <v>512</v>
      </c>
      <c r="Q219" s="770" t="s">
        <v>523</v>
      </c>
      <c r="R219" s="770" t="s">
        <v>497</v>
      </c>
      <c r="S219" s="770">
        <v>2019.0</v>
      </c>
      <c r="T219" s="771">
        <v>0.0</v>
      </c>
      <c r="U219" s="771">
        <v>0.0</v>
      </c>
      <c r="V219" s="772">
        <v>0.0</v>
      </c>
      <c r="X219" s="769" t="s">
        <v>521</v>
      </c>
      <c r="Y219" s="770" t="s">
        <v>494</v>
      </c>
      <c r="Z219" s="770" t="s">
        <v>507</v>
      </c>
      <c r="AA219" s="770" t="s">
        <v>32</v>
      </c>
      <c r="AB219" s="770" t="s">
        <v>493</v>
      </c>
      <c r="AC219" s="770" t="s">
        <v>103</v>
      </c>
      <c r="AD219" s="770" t="s">
        <v>501</v>
      </c>
      <c r="AE219" s="784" t="s">
        <v>502</v>
      </c>
      <c r="AF219" s="771">
        <v>3.76375812</v>
      </c>
      <c r="AG219" s="771">
        <v>1.043601984</v>
      </c>
      <c r="AH219" s="771">
        <v>9.650174532</v>
      </c>
      <c r="AI219" s="772" t="s">
        <v>233</v>
      </c>
      <c r="AK219" s="769" t="s">
        <v>521</v>
      </c>
      <c r="AL219" s="770" t="s">
        <v>494</v>
      </c>
      <c r="AM219" s="770" t="s">
        <v>507</v>
      </c>
      <c r="AN219" s="770" t="s">
        <v>32</v>
      </c>
      <c r="AO219" s="770" t="s">
        <v>493</v>
      </c>
      <c r="AP219" s="770" t="s">
        <v>504</v>
      </c>
      <c r="AQ219" s="770" t="s">
        <v>501</v>
      </c>
      <c r="AR219" s="784" t="s">
        <v>502</v>
      </c>
      <c r="AS219" s="771">
        <v>3.997484095</v>
      </c>
      <c r="AT219" s="771">
        <v>1.108408723</v>
      </c>
      <c r="AU219" s="771">
        <v>10.24944164</v>
      </c>
      <c r="AV219" s="772" t="s">
        <v>233</v>
      </c>
      <c r="AW219" s="714"/>
    </row>
    <row r="220">
      <c r="A220" s="761"/>
      <c r="B220" s="769" t="s">
        <v>493</v>
      </c>
      <c r="C220" s="770" t="s">
        <v>576</v>
      </c>
      <c r="D220" s="770" t="s">
        <v>494</v>
      </c>
      <c r="E220" s="770" t="s">
        <v>495</v>
      </c>
      <c r="F220" s="770" t="s">
        <v>496</v>
      </c>
      <c r="G220" s="770" t="s">
        <v>103</v>
      </c>
      <c r="H220" s="770">
        <v>2019.0</v>
      </c>
      <c r="I220" s="771">
        <v>23959.0479</v>
      </c>
      <c r="J220" s="771">
        <v>30037.09125</v>
      </c>
      <c r="K220" s="772">
        <v>19186.66103</v>
      </c>
      <c r="M220" s="769" t="s">
        <v>493</v>
      </c>
      <c r="N220" s="770" t="s">
        <v>576</v>
      </c>
      <c r="O220" s="770" t="s">
        <v>494</v>
      </c>
      <c r="P220" s="770" t="s">
        <v>495</v>
      </c>
      <c r="Q220" s="770" t="s">
        <v>496</v>
      </c>
      <c r="R220" s="770" t="s">
        <v>497</v>
      </c>
      <c r="S220" s="770">
        <v>2019.0</v>
      </c>
      <c r="T220" s="771">
        <v>2847.364147</v>
      </c>
      <c r="U220" s="771">
        <v>3569.696803</v>
      </c>
      <c r="V220" s="772">
        <v>2280.199569</v>
      </c>
      <c r="X220" s="769" t="s">
        <v>521</v>
      </c>
      <c r="Y220" s="770" t="s">
        <v>494</v>
      </c>
      <c r="Z220" s="770" t="s">
        <v>509</v>
      </c>
      <c r="AA220" s="770" t="s">
        <v>32</v>
      </c>
      <c r="AB220" s="770" t="s">
        <v>493</v>
      </c>
      <c r="AC220" s="770" t="s">
        <v>103</v>
      </c>
      <c r="AD220" s="770" t="s">
        <v>501</v>
      </c>
      <c r="AE220" s="784" t="s">
        <v>502</v>
      </c>
      <c r="AF220" s="771">
        <v>0.0</v>
      </c>
      <c r="AG220" s="771">
        <v>0.0</v>
      </c>
      <c r="AH220" s="771">
        <v>0.0</v>
      </c>
      <c r="AI220" s="772" t="s">
        <v>233</v>
      </c>
      <c r="AK220" s="769" t="s">
        <v>521</v>
      </c>
      <c r="AL220" s="770" t="s">
        <v>494</v>
      </c>
      <c r="AM220" s="770" t="s">
        <v>509</v>
      </c>
      <c r="AN220" s="770" t="s">
        <v>32</v>
      </c>
      <c r="AO220" s="770" t="s">
        <v>493</v>
      </c>
      <c r="AP220" s="770" t="s">
        <v>504</v>
      </c>
      <c r="AQ220" s="770" t="s">
        <v>501</v>
      </c>
      <c r="AR220" s="784" t="s">
        <v>502</v>
      </c>
      <c r="AS220" s="771">
        <v>0.0</v>
      </c>
      <c r="AT220" s="771">
        <v>0.0</v>
      </c>
      <c r="AU220" s="771">
        <v>0.0</v>
      </c>
      <c r="AV220" s="772" t="s">
        <v>233</v>
      </c>
      <c r="AW220" s="714"/>
    </row>
    <row r="221">
      <c r="A221" s="761"/>
      <c r="B221" s="769" t="s">
        <v>493</v>
      </c>
      <c r="C221" s="770" t="s">
        <v>576</v>
      </c>
      <c r="D221" s="770" t="s">
        <v>494</v>
      </c>
      <c r="E221" s="770" t="s">
        <v>505</v>
      </c>
      <c r="F221" s="770" t="s">
        <v>496</v>
      </c>
      <c r="G221" s="770" t="s">
        <v>103</v>
      </c>
      <c r="H221" s="770">
        <v>2019.0</v>
      </c>
      <c r="I221" s="771">
        <v>5864.479533</v>
      </c>
      <c r="J221" s="771">
        <v>7502.252515</v>
      </c>
      <c r="K221" s="772">
        <v>4632.568172</v>
      </c>
      <c r="M221" s="769" t="s">
        <v>493</v>
      </c>
      <c r="N221" s="770" t="s">
        <v>576</v>
      </c>
      <c r="O221" s="770" t="s">
        <v>494</v>
      </c>
      <c r="P221" s="770" t="s">
        <v>505</v>
      </c>
      <c r="Q221" s="770" t="s">
        <v>496</v>
      </c>
      <c r="R221" s="770" t="s">
        <v>497</v>
      </c>
      <c r="S221" s="770">
        <v>2019.0</v>
      </c>
      <c r="T221" s="771">
        <v>156671.1571</v>
      </c>
      <c r="U221" s="771">
        <v>200424.7053</v>
      </c>
      <c r="V221" s="772">
        <v>123760.3119</v>
      </c>
      <c r="X221" s="769" t="s">
        <v>521</v>
      </c>
      <c r="Y221" s="770" t="s">
        <v>494</v>
      </c>
      <c r="Z221" s="770" t="s">
        <v>513</v>
      </c>
      <c r="AA221" s="770" t="s">
        <v>32</v>
      </c>
      <c r="AB221" s="770" t="s">
        <v>493</v>
      </c>
      <c r="AC221" s="770" t="s">
        <v>103</v>
      </c>
      <c r="AD221" s="770" t="s">
        <v>501</v>
      </c>
      <c r="AE221" s="784" t="s">
        <v>502</v>
      </c>
      <c r="AF221" s="771">
        <v>18.72352073</v>
      </c>
      <c r="AG221" s="771">
        <v>4.655866781</v>
      </c>
      <c r="AH221" s="771">
        <v>48.70437462</v>
      </c>
      <c r="AI221" s="772" t="s">
        <v>233</v>
      </c>
      <c r="AK221" s="769" t="s">
        <v>521</v>
      </c>
      <c r="AL221" s="770" t="s">
        <v>494</v>
      </c>
      <c r="AM221" s="770" t="s">
        <v>513</v>
      </c>
      <c r="AN221" s="770" t="s">
        <v>32</v>
      </c>
      <c r="AO221" s="770" t="s">
        <v>493</v>
      </c>
      <c r="AP221" s="770" t="s">
        <v>504</v>
      </c>
      <c r="AQ221" s="770" t="s">
        <v>501</v>
      </c>
      <c r="AR221" s="784" t="s">
        <v>502</v>
      </c>
      <c r="AS221" s="771">
        <v>3.682690345</v>
      </c>
      <c r="AT221" s="771">
        <v>0.9157527525</v>
      </c>
      <c r="AU221" s="771">
        <v>9.579562133</v>
      </c>
      <c r="AV221" s="772" t="s">
        <v>233</v>
      </c>
      <c r="AW221" s="714"/>
    </row>
    <row r="222">
      <c r="A222" s="761"/>
      <c r="B222" s="769" t="s">
        <v>493</v>
      </c>
      <c r="C222" s="770" t="s">
        <v>576</v>
      </c>
      <c r="D222" s="770" t="s">
        <v>494</v>
      </c>
      <c r="E222" s="770" t="s">
        <v>508</v>
      </c>
      <c r="F222" s="770" t="s">
        <v>496</v>
      </c>
      <c r="G222" s="770" t="s">
        <v>103</v>
      </c>
      <c r="H222" s="770">
        <v>2019.0</v>
      </c>
      <c r="I222" s="771">
        <v>8012.567151</v>
      </c>
      <c r="J222" s="771">
        <v>10116.92395</v>
      </c>
      <c r="K222" s="772">
        <v>6386.93693</v>
      </c>
      <c r="M222" s="769" t="s">
        <v>493</v>
      </c>
      <c r="N222" s="770" t="s">
        <v>576</v>
      </c>
      <c r="O222" s="770" t="s">
        <v>494</v>
      </c>
      <c r="P222" s="770" t="s">
        <v>508</v>
      </c>
      <c r="Q222" s="770" t="s">
        <v>496</v>
      </c>
      <c r="R222" s="770" t="s">
        <v>497</v>
      </c>
      <c r="S222" s="770">
        <v>2019.0</v>
      </c>
      <c r="T222" s="771">
        <v>4732.249325</v>
      </c>
      <c r="U222" s="771">
        <v>5975.089583</v>
      </c>
      <c r="V222" s="772">
        <v>3772.146605</v>
      </c>
      <c r="X222" s="769" t="s">
        <v>523</v>
      </c>
      <c r="Y222" s="770" t="s">
        <v>494</v>
      </c>
      <c r="Z222" s="770" t="s">
        <v>507</v>
      </c>
      <c r="AA222" s="770" t="s">
        <v>32</v>
      </c>
      <c r="AB222" s="770" t="s">
        <v>493</v>
      </c>
      <c r="AC222" s="770" t="s">
        <v>103</v>
      </c>
      <c r="AD222" s="770" t="s">
        <v>501</v>
      </c>
      <c r="AE222" s="784" t="s">
        <v>502</v>
      </c>
      <c r="AF222" s="771">
        <v>23.99536706</v>
      </c>
      <c r="AG222" s="771">
        <v>10.48012656</v>
      </c>
      <c r="AH222" s="771">
        <v>44.93799582</v>
      </c>
      <c r="AI222" s="772" t="s">
        <v>233</v>
      </c>
      <c r="AK222" s="769" t="s">
        <v>523</v>
      </c>
      <c r="AL222" s="770" t="s">
        <v>494</v>
      </c>
      <c r="AM222" s="770" t="s">
        <v>507</v>
      </c>
      <c r="AN222" s="770" t="s">
        <v>32</v>
      </c>
      <c r="AO222" s="770" t="s">
        <v>493</v>
      </c>
      <c r="AP222" s="770" t="s">
        <v>504</v>
      </c>
      <c r="AQ222" s="770" t="s">
        <v>501</v>
      </c>
      <c r="AR222" s="784" t="s">
        <v>502</v>
      </c>
      <c r="AS222" s="771">
        <v>25.48545765</v>
      </c>
      <c r="AT222" s="771">
        <v>11.13093294</v>
      </c>
      <c r="AU222" s="771">
        <v>47.72860472</v>
      </c>
      <c r="AV222" s="772" t="s">
        <v>233</v>
      </c>
      <c r="AW222" s="714"/>
    </row>
    <row r="223">
      <c r="A223" s="761"/>
      <c r="B223" s="769" t="s">
        <v>493</v>
      </c>
      <c r="C223" s="770" t="s">
        <v>576</v>
      </c>
      <c r="D223" s="770" t="s">
        <v>494</v>
      </c>
      <c r="E223" s="770" t="s">
        <v>512</v>
      </c>
      <c r="F223" s="770" t="s">
        <v>496</v>
      </c>
      <c r="G223" s="770" t="s">
        <v>103</v>
      </c>
      <c r="H223" s="770">
        <v>2019.0</v>
      </c>
      <c r="I223" s="771">
        <v>1910.006886</v>
      </c>
      <c r="J223" s="771">
        <v>2425.90988</v>
      </c>
      <c r="K223" s="772">
        <v>1520.227637</v>
      </c>
      <c r="M223" s="769" t="s">
        <v>493</v>
      </c>
      <c r="N223" s="770" t="s">
        <v>576</v>
      </c>
      <c r="O223" s="770" t="s">
        <v>494</v>
      </c>
      <c r="P223" s="770" t="s">
        <v>512</v>
      </c>
      <c r="Q223" s="770" t="s">
        <v>496</v>
      </c>
      <c r="R223" s="770" t="s">
        <v>497</v>
      </c>
      <c r="S223" s="770">
        <v>2019.0</v>
      </c>
      <c r="T223" s="771">
        <v>17374.43376</v>
      </c>
      <c r="U223" s="771">
        <v>22067.3605</v>
      </c>
      <c r="V223" s="772">
        <v>13828.79537</v>
      </c>
      <c r="X223" s="769" t="s">
        <v>523</v>
      </c>
      <c r="Y223" s="770" t="s">
        <v>494</v>
      </c>
      <c r="Z223" s="770" t="s">
        <v>513</v>
      </c>
      <c r="AA223" s="770" t="s">
        <v>32</v>
      </c>
      <c r="AB223" s="770" t="s">
        <v>493</v>
      </c>
      <c r="AC223" s="770" t="s">
        <v>103</v>
      </c>
      <c r="AD223" s="770" t="s">
        <v>501</v>
      </c>
      <c r="AE223" s="784" t="s">
        <v>502</v>
      </c>
      <c r="AF223" s="771">
        <v>42.083102</v>
      </c>
      <c r="AG223" s="771">
        <v>20.4372566</v>
      </c>
      <c r="AH223" s="771">
        <v>75.54090892</v>
      </c>
      <c r="AI223" s="772" t="s">
        <v>233</v>
      </c>
      <c r="AK223" s="769" t="s">
        <v>523</v>
      </c>
      <c r="AL223" s="770" t="s">
        <v>494</v>
      </c>
      <c r="AM223" s="770" t="s">
        <v>513</v>
      </c>
      <c r="AN223" s="770" t="s">
        <v>32</v>
      </c>
      <c r="AO223" s="770" t="s">
        <v>493</v>
      </c>
      <c r="AP223" s="770" t="s">
        <v>504</v>
      </c>
      <c r="AQ223" s="770" t="s">
        <v>501</v>
      </c>
      <c r="AR223" s="784" t="s">
        <v>502</v>
      </c>
      <c r="AS223" s="771">
        <v>8.277237796</v>
      </c>
      <c r="AT223" s="771">
        <v>4.019761489</v>
      </c>
      <c r="AU223" s="771">
        <v>14.85798424</v>
      </c>
      <c r="AV223" s="772" t="s">
        <v>233</v>
      </c>
      <c r="AW223" s="714"/>
    </row>
    <row r="224">
      <c r="A224" s="761"/>
      <c r="B224" s="769" t="s">
        <v>493</v>
      </c>
      <c r="C224" s="770" t="s">
        <v>576</v>
      </c>
      <c r="D224" s="770" t="s">
        <v>494</v>
      </c>
      <c r="E224" s="770" t="s">
        <v>495</v>
      </c>
      <c r="F224" s="770" t="s">
        <v>514</v>
      </c>
      <c r="G224" s="770" t="s">
        <v>103</v>
      </c>
      <c r="H224" s="770">
        <v>2019.0</v>
      </c>
      <c r="I224" s="771">
        <v>21178.46591</v>
      </c>
      <c r="J224" s="771">
        <v>26869.78566</v>
      </c>
      <c r="K224" s="772">
        <v>16713.47589</v>
      </c>
      <c r="M224" s="769" t="s">
        <v>493</v>
      </c>
      <c r="N224" s="770" t="s">
        <v>576</v>
      </c>
      <c r="O224" s="770" t="s">
        <v>494</v>
      </c>
      <c r="P224" s="770" t="s">
        <v>495</v>
      </c>
      <c r="Q224" s="770" t="s">
        <v>514</v>
      </c>
      <c r="R224" s="770" t="s">
        <v>497</v>
      </c>
      <c r="S224" s="770">
        <v>2019.0</v>
      </c>
      <c r="T224" s="771">
        <v>2516.911555</v>
      </c>
      <c r="U224" s="771">
        <v>3193.284835</v>
      </c>
      <c r="V224" s="772">
        <v>1986.278929</v>
      </c>
      <c r="X224" s="769" t="s">
        <v>496</v>
      </c>
      <c r="Y224" s="770" t="s">
        <v>494</v>
      </c>
      <c r="Z224" s="770" t="s">
        <v>499</v>
      </c>
      <c r="AA224" s="770" t="s">
        <v>33</v>
      </c>
      <c r="AB224" s="770" t="s">
        <v>493</v>
      </c>
      <c r="AC224" s="770" t="s">
        <v>103</v>
      </c>
      <c r="AD224" s="770" t="s">
        <v>501</v>
      </c>
      <c r="AE224" s="784" t="s">
        <v>502</v>
      </c>
      <c r="AF224" s="771">
        <v>2640.671913</v>
      </c>
      <c r="AG224" s="771">
        <v>2165.169877</v>
      </c>
      <c r="AH224" s="771">
        <v>3254.475171</v>
      </c>
      <c r="AI224" s="772" t="s">
        <v>233</v>
      </c>
      <c r="AK224" s="769" t="s">
        <v>496</v>
      </c>
      <c r="AL224" s="770" t="s">
        <v>494</v>
      </c>
      <c r="AM224" s="770" t="s">
        <v>499</v>
      </c>
      <c r="AN224" s="770" t="s">
        <v>33</v>
      </c>
      <c r="AO224" s="770" t="s">
        <v>493</v>
      </c>
      <c r="AP224" s="770" t="s">
        <v>504</v>
      </c>
      <c r="AQ224" s="770" t="s">
        <v>501</v>
      </c>
      <c r="AR224" s="784" t="s">
        <v>502</v>
      </c>
      <c r="AS224" s="771">
        <v>148351.9508</v>
      </c>
      <c r="AT224" s="771">
        <v>121638.426</v>
      </c>
      <c r="AU224" s="771">
        <v>182835.186</v>
      </c>
      <c r="AV224" s="772" t="s">
        <v>233</v>
      </c>
      <c r="AW224" s="714"/>
    </row>
    <row r="225">
      <c r="A225" s="761"/>
      <c r="B225" s="769" t="s">
        <v>493</v>
      </c>
      <c r="C225" s="770" t="s">
        <v>576</v>
      </c>
      <c r="D225" s="770" t="s">
        <v>494</v>
      </c>
      <c r="E225" s="770" t="s">
        <v>505</v>
      </c>
      <c r="F225" s="770" t="s">
        <v>514</v>
      </c>
      <c r="G225" s="770" t="s">
        <v>103</v>
      </c>
      <c r="H225" s="770">
        <v>2019.0</v>
      </c>
      <c r="I225" s="771">
        <v>5436.424935</v>
      </c>
      <c r="J225" s="771">
        <v>6987.831868</v>
      </c>
      <c r="K225" s="772">
        <v>4261.628674</v>
      </c>
      <c r="M225" s="769" t="s">
        <v>493</v>
      </c>
      <c r="N225" s="770" t="s">
        <v>576</v>
      </c>
      <c r="O225" s="770" t="s">
        <v>494</v>
      </c>
      <c r="P225" s="770" t="s">
        <v>505</v>
      </c>
      <c r="Q225" s="770" t="s">
        <v>514</v>
      </c>
      <c r="R225" s="770" t="s">
        <v>497</v>
      </c>
      <c r="S225" s="770">
        <v>2019.0</v>
      </c>
      <c r="T225" s="771">
        <v>145235.5627</v>
      </c>
      <c r="U225" s="771">
        <v>186681.8186</v>
      </c>
      <c r="V225" s="772">
        <v>113850.5628</v>
      </c>
      <c r="X225" s="769" t="s">
        <v>496</v>
      </c>
      <c r="Y225" s="770" t="s">
        <v>494</v>
      </c>
      <c r="Z225" s="770" t="s">
        <v>507</v>
      </c>
      <c r="AA225" s="770" t="s">
        <v>33</v>
      </c>
      <c r="AB225" s="770" t="s">
        <v>493</v>
      </c>
      <c r="AC225" s="770" t="s">
        <v>103</v>
      </c>
      <c r="AD225" s="770" t="s">
        <v>501</v>
      </c>
      <c r="AE225" s="784" t="s">
        <v>502</v>
      </c>
      <c r="AF225" s="771">
        <v>2185.101705</v>
      </c>
      <c r="AG225" s="771">
        <v>1791.99763</v>
      </c>
      <c r="AH225" s="771">
        <v>2680.524055</v>
      </c>
      <c r="AI225" s="772" t="s">
        <v>233</v>
      </c>
      <c r="AK225" s="769" t="s">
        <v>496</v>
      </c>
      <c r="AL225" s="770" t="s">
        <v>494</v>
      </c>
      <c r="AM225" s="770" t="s">
        <v>507</v>
      </c>
      <c r="AN225" s="770" t="s">
        <v>33</v>
      </c>
      <c r="AO225" s="770" t="s">
        <v>493</v>
      </c>
      <c r="AP225" s="770" t="s">
        <v>504</v>
      </c>
      <c r="AQ225" s="770" t="s">
        <v>501</v>
      </c>
      <c r="AR225" s="784" t="s">
        <v>502</v>
      </c>
      <c r="AS225" s="771">
        <v>2640.906109</v>
      </c>
      <c r="AT225" s="771">
        <v>2165.801929</v>
      </c>
      <c r="AU225" s="771">
        <v>3239.671789</v>
      </c>
      <c r="AV225" s="772" t="s">
        <v>233</v>
      </c>
      <c r="AW225" s="714"/>
    </row>
    <row r="226">
      <c r="A226" s="761"/>
      <c r="B226" s="769" t="s">
        <v>493</v>
      </c>
      <c r="C226" s="770" t="s">
        <v>576</v>
      </c>
      <c r="D226" s="770" t="s">
        <v>494</v>
      </c>
      <c r="E226" s="770" t="s">
        <v>508</v>
      </c>
      <c r="F226" s="770" t="s">
        <v>514</v>
      </c>
      <c r="G226" s="770" t="s">
        <v>103</v>
      </c>
      <c r="H226" s="770">
        <v>2019.0</v>
      </c>
      <c r="I226" s="771">
        <v>7217.150198</v>
      </c>
      <c r="J226" s="771">
        <v>9139.151749</v>
      </c>
      <c r="K226" s="772">
        <v>5669.357162</v>
      </c>
      <c r="M226" s="769" t="s">
        <v>493</v>
      </c>
      <c r="N226" s="770" t="s">
        <v>576</v>
      </c>
      <c r="O226" s="770" t="s">
        <v>494</v>
      </c>
      <c r="P226" s="770" t="s">
        <v>508</v>
      </c>
      <c r="Q226" s="770" t="s">
        <v>514</v>
      </c>
      <c r="R226" s="770" t="s">
        <v>497</v>
      </c>
      <c r="S226" s="770">
        <v>2019.0</v>
      </c>
      <c r="T226" s="771">
        <v>4262.473376</v>
      </c>
      <c r="U226" s="771">
        <v>5397.614008</v>
      </c>
      <c r="V226" s="772">
        <v>3348.341561</v>
      </c>
      <c r="X226" s="769" t="s">
        <v>496</v>
      </c>
      <c r="Y226" s="770" t="s">
        <v>494</v>
      </c>
      <c r="Z226" s="770" t="s">
        <v>509</v>
      </c>
      <c r="AA226" s="770" t="s">
        <v>33</v>
      </c>
      <c r="AB226" s="770" t="s">
        <v>493</v>
      </c>
      <c r="AC226" s="770" t="s">
        <v>103</v>
      </c>
      <c r="AD226" s="770" t="s">
        <v>501</v>
      </c>
      <c r="AE226" s="784" t="s">
        <v>502</v>
      </c>
      <c r="AF226" s="771">
        <v>574.2221148</v>
      </c>
      <c r="AG226" s="771">
        <v>465.3738163</v>
      </c>
      <c r="AH226" s="771">
        <v>713.2296891</v>
      </c>
      <c r="AI226" s="772" t="s">
        <v>233</v>
      </c>
      <c r="AK226" s="769" t="s">
        <v>496</v>
      </c>
      <c r="AL226" s="770" t="s">
        <v>494</v>
      </c>
      <c r="AM226" s="770" t="s">
        <v>509</v>
      </c>
      <c r="AN226" s="770" t="s">
        <v>33</v>
      </c>
      <c r="AO226" s="770" t="s">
        <v>493</v>
      </c>
      <c r="AP226" s="770" t="s">
        <v>504</v>
      </c>
      <c r="AQ226" s="770" t="s">
        <v>501</v>
      </c>
      <c r="AR226" s="784" t="s">
        <v>502</v>
      </c>
      <c r="AS226" s="771">
        <v>10942.20038</v>
      </c>
      <c r="AT226" s="771">
        <v>8868.020608</v>
      </c>
      <c r="AU226" s="771">
        <v>13591.08605</v>
      </c>
      <c r="AV226" s="772" t="s">
        <v>233</v>
      </c>
      <c r="AW226" s="714"/>
    </row>
    <row r="227">
      <c r="A227" s="761"/>
      <c r="B227" s="769" t="s">
        <v>493</v>
      </c>
      <c r="C227" s="770" t="s">
        <v>576</v>
      </c>
      <c r="D227" s="770" t="s">
        <v>494</v>
      </c>
      <c r="E227" s="770" t="s">
        <v>512</v>
      </c>
      <c r="F227" s="770" t="s">
        <v>514</v>
      </c>
      <c r="G227" s="770" t="s">
        <v>103</v>
      </c>
      <c r="H227" s="770">
        <v>2019.0</v>
      </c>
      <c r="I227" s="771">
        <v>1724.939091</v>
      </c>
      <c r="J227" s="771">
        <v>2220.014927</v>
      </c>
      <c r="K227" s="772">
        <v>1355.104942</v>
      </c>
      <c r="M227" s="769" t="s">
        <v>493</v>
      </c>
      <c r="N227" s="770" t="s">
        <v>576</v>
      </c>
      <c r="O227" s="770" t="s">
        <v>494</v>
      </c>
      <c r="P227" s="770" t="s">
        <v>512</v>
      </c>
      <c r="Q227" s="770" t="s">
        <v>514</v>
      </c>
      <c r="R227" s="770" t="s">
        <v>497</v>
      </c>
      <c r="S227" s="770">
        <v>2019.0</v>
      </c>
      <c r="T227" s="771">
        <v>15690.95912</v>
      </c>
      <c r="U227" s="771">
        <v>20194.43101</v>
      </c>
      <c r="V227" s="772">
        <v>12326.75192</v>
      </c>
      <c r="X227" s="769" t="s">
        <v>496</v>
      </c>
      <c r="Y227" s="770" t="s">
        <v>494</v>
      </c>
      <c r="Z227" s="770" t="s">
        <v>513</v>
      </c>
      <c r="AA227" s="770" t="s">
        <v>33</v>
      </c>
      <c r="AB227" s="770" t="s">
        <v>493</v>
      </c>
      <c r="AC227" s="770" t="s">
        <v>103</v>
      </c>
      <c r="AD227" s="770" t="s">
        <v>501</v>
      </c>
      <c r="AE227" s="784" t="s">
        <v>502</v>
      </c>
      <c r="AF227" s="771">
        <v>7938.591477</v>
      </c>
      <c r="AG227" s="771">
        <v>6501.231552</v>
      </c>
      <c r="AH227" s="771">
        <v>9770.626797</v>
      </c>
      <c r="AI227" s="772" t="s">
        <v>233</v>
      </c>
      <c r="AK227" s="769" t="s">
        <v>496</v>
      </c>
      <c r="AL227" s="770" t="s">
        <v>494</v>
      </c>
      <c r="AM227" s="770" t="s">
        <v>513</v>
      </c>
      <c r="AN227" s="770" t="s">
        <v>33</v>
      </c>
      <c r="AO227" s="770" t="s">
        <v>493</v>
      </c>
      <c r="AP227" s="770" t="s">
        <v>504</v>
      </c>
      <c r="AQ227" s="770" t="s">
        <v>501</v>
      </c>
      <c r="AR227" s="784" t="s">
        <v>502</v>
      </c>
      <c r="AS227" s="771">
        <v>1814.277484</v>
      </c>
      <c r="AT227" s="771">
        <v>1485.784734</v>
      </c>
      <c r="AU227" s="771">
        <v>2232.968941</v>
      </c>
      <c r="AV227" s="772" t="s">
        <v>233</v>
      </c>
      <c r="AW227" s="714"/>
    </row>
    <row r="228">
      <c r="A228" s="761"/>
      <c r="B228" s="769" t="s">
        <v>493</v>
      </c>
      <c r="C228" s="770" t="s">
        <v>576</v>
      </c>
      <c r="D228" s="770" t="s">
        <v>494</v>
      </c>
      <c r="E228" s="770" t="s">
        <v>495</v>
      </c>
      <c r="F228" s="770" t="s">
        <v>518</v>
      </c>
      <c r="G228" s="770" t="s">
        <v>103</v>
      </c>
      <c r="H228" s="770">
        <v>2019.0</v>
      </c>
      <c r="I228" s="771">
        <v>5409.356902</v>
      </c>
      <c r="J228" s="771">
        <v>8280.676137</v>
      </c>
      <c r="K228" s="772">
        <v>2844.932444</v>
      </c>
      <c r="M228" s="769" t="s">
        <v>493</v>
      </c>
      <c r="N228" s="770" t="s">
        <v>576</v>
      </c>
      <c r="O228" s="770" t="s">
        <v>494</v>
      </c>
      <c r="P228" s="770" t="s">
        <v>495</v>
      </c>
      <c r="Q228" s="770" t="s">
        <v>518</v>
      </c>
      <c r="R228" s="770" t="s">
        <v>497</v>
      </c>
      <c r="S228" s="770">
        <v>2019.0</v>
      </c>
      <c r="T228" s="771">
        <v>642.8639803</v>
      </c>
      <c r="U228" s="771">
        <v>984.1000543</v>
      </c>
      <c r="V228" s="772">
        <v>338.1001897</v>
      </c>
      <c r="X228" s="769" t="s">
        <v>514</v>
      </c>
      <c r="Y228" s="770" t="s">
        <v>494</v>
      </c>
      <c r="Z228" s="770" t="s">
        <v>499</v>
      </c>
      <c r="AA228" s="770" t="s">
        <v>33</v>
      </c>
      <c r="AB228" s="770" t="s">
        <v>493</v>
      </c>
      <c r="AC228" s="770" t="s">
        <v>103</v>
      </c>
      <c r="AD228" s="770" t="s">
        <v>501</v>
      </c>
      <c r="AE228" s="784" t="s">
        <v>502</v>
      </c>
      <c r="AF228" s="771">
        <v>2433.354076</v>
      </c>
      <c r="AG228" s="771">
        <v>1978.217299</v>
      </c>
      <c r="AH228" s="771">
        <v>3022.241188</v>
      </c>
      <c r="AI228" s="772" t="s">
        <v>233</v>
      </c>
      <c r="AK228" s="769" t="s">
        <v>514</v>
      </c>
      <c r="AL228" s="770" t="s">
        <v>494</v>
      </c>
      <c r="AM228" s="770" t="s">
        <v>499</v>
      </c>
      <c r="AN228" s="770" t="s">
        <v>33</v>
      </c>
      <c r="AO228" s="770" t="s">
        <v>493</v>
      </c>
      <c r="AP228" s="770" t="s">
        <v>504</v>
      </c>
      <c r="AQ228" s="770" t="s">
        <v>501</v>
      </c>
      <c r="AR228" s="784" t="s">
        <v>502</v>
      </c>
      <c r="AS228" s="771">
        <v>136704.913</v>
      </c>
      <c r="AT228" s="771">
        <v>111135.5007</v>
      </c>
      <c r="AU228" s="771">
        <v>169788.3686</v>
      </c>
      <c r="AV228" s="772" t="s">
        <v>233</v>
      </c>
      <c r="AW228" s="714"/>
    </row>
    <row r="229">
      <c r="A229" s="761"/>
      <c r="B229" s="769" t="s">
        <v>493</v>
      </c>
      <c r="C229" s="770" t="s">
        <v>576</v>
      </c>
      <c r="D229" s="770" t="s">
        <v>494</v>
      </c>
      <c r="E229" s="770" t="s">
        <v>505</v>
      </c>
      <c r="F229" s="770" t="s">
        <v>518</v>
      </c>
      <c r="G229" s="770" t="s">
        <v>103</v>
      </c>
      <c r="H229" s="770">
        <v>2019.0</v>
      </c>
      <c r="I229" s="771">
        <v>137.3526393</v>
      </c>
      <c r="J229" s="771">
        <v>279.6228309</v>
      </c>
      <c r="K229" s="772">
        <v>51.35862344</v>
      </c>
      <c r="M229" s="769" t="s">
        <v>493</v>
      </c>
      <c r="N229" s="770" t="s">
        <v>576</v>
      </c>
      <c r="O229" s="770" t="s">
        <v>494</v>
      </c>
      <c r="P229" s="770" t="s">
        <v>505</v>
      </c>
      <c r="Q229" s="770" t="s">
        <v>518</v>
      </c>
      <c r="R229" s="770" t="s">
        <v>497</v>
      </c>
      <c r="S229" s="770">
        <v>2019.0</v>
      </c>
      <c r="T229" s="771">
        <v>3669.412913</v>
      </c>
      <c r="U229" s="771">
        <v>7470.199567</v>
      </c>
      <c r="V229" s="772">
        <v>1372.059518</v>
      </c>
      <c r="X229" s="769" t="s">
        <v>514</v>
      </c>
      <c r="Y229" s="770" t="s">
        <v>494</v>
      </c>
      <c r="Z229" s="770" t="s">
        <v>507</v>
      </c>
      <c r="AA229" s="770" t="s">
        <v>33</v>
      </c>
      <c r="AB229" s="770" t="s">
        <v>493</v>
      </c>
      <c r="AC229" s="770" t="s">
        <v>103</v>
      </c>
      <c r="AD229" s="770" t="s">
        <v>501</v>
      </c>
      <c r="AE229" s="784" t="s">
        <v>502</v>
      </c>
      <c r="AF229" s="771">
        <v>1849.39778</v>
      </c>
      <c r="AG229" s="771">
        <v>1449.984588</v>
      </c>
      <c r="AH229" s="771">
        <v>2354.627608</v>
      </c>
      <c r="AI229" s="772" t="s">
        <v>233</v>
      </c>
      <c r="AK229" s="769" t="s">
        <v>514</v>
      </c>
      <c r="AL229" s="770" t="s">
        <v>494</v>
      </c>
      <c r="AM229" s="770" t="s">
        <v>507</v>
      </c>
      <c r="AN229" s="770" t="s">
        <v>33</v>
      </c>
      <c r="AO229" s="770" t="s">
        <v>493</v>
      </c>
      <c r="AP229" s="770" t="s">
        <v>504</v>
      </c>
      <c r="AQ229" s="770" t="s">
        <v>501</v>
      </c>
      <c r="AR229" s="784" t="s">
        <v>502</v>
      </c>
      <c r="AS229" s="771">
        <v>2235.175545</v>
      </c>
      <c r="AT229" s="771">
        <v>1752.446189</v>
      </c>
      <c r="AU229" s="771">
        <v>2845.794509</v>
      </c>
      <c r="AV229" s="772" t="s">
        <v>233</v>
      </c>
      <c r="AW229" s="714"/>
    </row>
    <row r="230">
      <c r="A230" s="761"/>
      <c r="B230" s="769" t="s">
        <v>493</v>
      </c>
      <c r="C230" s="770" t="s">
        <v>576</v>
      </c>
      <c r="D230" s="770" t="s">
        <v>494</v>
      </c>
      <c r="E230" s="770" t="s">
        <v>508</v>
      </c>
      <c r="F230" s="770" t="s">
        <v>518</v>
      </c>
      <c r="G230" s="770" t="s">
        <v>103</v>
      </c>
      <c r="H230" s="770">
        <v>2019.0</v>
      </c>
      <c r="I230" s="771">
        <v>2807.436068</v>
      </c>
      <c r="J230" s="771">
        <v>4226.142962</v>
      </c>
      <c r="K230" s="772">
        <v>1401.188326</v>
      </c>
      <c r="M230" s="769" t="s">
        <v>493</v>
      </c>
      <c r="N230" s="770" t="s">
        <v>576</v>
      </c>
      <c r="O230" s="770" t="s">
        <v>494</v>
      </c>
      <c r="P230" s="770" t="s">
        <v>508</v>
      </c>
      <c r="Q230" s="770" t="s">
        <v>518</v>
      </c>
      <c r="R230" s="770" t="s">
        <v>497</v>
      </c>
      <c r="S230" s="770">
        <v>2019.0</v>
      </c>
      <c r="T230" s="771">
        <v>1658.08126</v>
      </c>
      <c r="U230" s="771">
        <v>2495.974361</v>
      </c>
      <c r="V230" s="772">
        <v>827.5465759</v>
      </c>
      <c r="X230" s="769" t="s">
        <v>514</v>
      </c>
      <c r="Y230" s="770" t="s">
        <v>494</v>
      </c>
      <c r="Z230" s="770" t="s">
        <v>509</v>
      </c>
      <c r="AA230" s="770" t="s">
        <v>33</v>
      </c>
      <c r="AB230" s="770" t="s">
        <v>493</v>
      </c>
      <c r="AC230" s="770" t="s">
        <v>103</v>
      </c>
      <c r="AD230" s="770" t="s">
        <v>501</v>
      </c>
      <c r="AE230" s="784" t="s">
        <v>502</v>
      </c>
      <c r="AF230" s="771">
        <v>508.7455817</v>
      </c>
      <c r="AG230" s="771">
        <v>406.5349102</v>
      </c>
      <c r="AH230" s="771">
        <v>637.2529481</v>
      </c>
      <c r="AI230" s="772" t="s">
        <v>233</v>
      </c>
      <c r="AK230" s="769" t="s">
        <v>514</v>
      </c>
      <c r="AL230" s="770" t="s">
        <v>494</v>
      </c>
      <c r="AM230" s="770" t="s">
        <v>509</v>
      </c>
      <c r="AN230" s="770" t="s">
        <v>33</v>
      </c>
      <c r="AO230" s="770" t="s">
        <v>493</v>
      </c>
      <c r="AP230" s="770" t="s">
        <v>504</v>
      </c>
      <c r="AQ230" s="770" t="s">
        <v>501</v>
      </c>
      <c r="AR230" s="784" t="s">
        <v>502</v>
      </c>
      <c r="AS230" s="771">
        <v>9694.499659</v>
      </c>
      <c r="AT230" s="771">
        <v>7746.804472</v>
      </c>
      <c r="AU230" s="771">
        <v>12143.29659</v>
      </c>
      <c r="AV230" s="772" t="s">
        <v>233</v>
      </c>
      <c r="AW230" s="714"/>
    </row>
    <row r="231">
      <c r="A231" s="761"/>
      <c r="B231" s="769" t="s">
        <v>493</v>
      </c>
      <c r="C231" s="770" t="s">
        <v>576</v>
      </c>
      <c r="D231" s="770" t="s">
        <v>494</v>
      </c>
      <c r="E231" s="770" t="s">
        <v>512</v>
      </c>
      <c r="F231" s="770" t="s">
        <v>518</v>
      </c>
      <c r="G231" s="770" t="s">
        <v>103</v>
      </c>
      <c r="H231" s="770">
        <v>2019.0</v>
      </c>
      <c r="I231" s="771">
        <v>314.9663762</v>
      </c>
      <c r="J231" s="771">
        <v>586.2498328</v>
      </c>
      <c r="K231" s="772">
        <v>130.4952023</v>
      </c>
      <c r="M231" s="769" t="s">
        <v>493</v>
      </c>
      <c r="N231" s="770" t="s">
        <v>576</v>
      </c>
      <c r="O231" s="770" t="s">
        <v>494</v>
      </c>
      <c r="P231" s="770" t="s">
        <v>512</v>
      </c>
      <c r="Q231" s="770" t="s">
        <v>518</v>
      </c>
      <c r="R231" s="770" t="s">
        <v>497</v>
      </c>
      <c r="S231" s="770">
        <v>2019.0</v>
      </c>
      <c r="T231" s="771">
        <v>2865.100895</v>
      </c>
      <c r="U231" s="771">
        <v>5332.838829</v>
      </c>
      <c r="V231" s="772">
        <v>1187.053442</v>
      </c>
      <c r="X231" s="769" t="s">
        <v>514</v>
      </c>
      <c r="Y231" s="770" t="s">
        <v>494</v>
      </c>
      <c r="Z231" s="770" t="s">
        <v>513</v>
      </c>
      <c r="AA231" s="770" t="s">
        <v>33</v>
      </c>
      <c r="AB231" s="770" t="s">
        <v>493</v>
      </c>
      <c r="AC231" s="770" t="s">
        <v>103</v>
      </c>
      <c r="AD231" s="770" t="s">
        <v>501</v>
      </c>
      <c r="AE231" s="784" t="s">
        <v>502</v>
      </c>
      <c r="AF231" s="771">
        <v>6993.988801</v>
      </c>
      <c r="AG231" s="771">
        <v>5625.877962</v>
      </c>
      <c r="AH231" s="771">
        <v>8691.560812</v>
      </c>
      <c r="AI231" s="772" t="s">
        <v>233</v>
      </c>
      <c r="AK231" s="769" t="s">
        <v>514</v>
      </c>
      <c r="AL231" s="770" t="s">
        <v>494</v>
      </c>
      <c r="AM231" s="770" t="s">
        <v>513</v>
      </c>
      <c r="AN231" s="770" t="s">
        <v>33</v>
      </c>
      <c r="AO231" s="770" t="s">
        <v>493</v>
      </c>
      <c r="AP231" s="770" t="s">
        <v>504</v>
      </c>
      <c r="AQ231" s="770" t="s">
        <v>501</v>
      </c>
      <c r="AR231" s="784" t="s">
        <v>502</v>
      </c>
      <c r="AS231" s="771">
        <v>1598.398966</v>
      </c>
      <c r="AT231" s="771">
        <v>1285.73233</v>
      </c>
      <c r="AU231" s="771">
        <v>1986.360317</v>
      </c>
      <c r="AV231" s="772" t="s">
        <v>233</v>
      </c>
      <c r="AW231" s="714"/>
    </row>
    <row r="232">
      <c r="A232" s="761"/>
      <c r="B232" s="769" t="s">
        <v>493</v>
      </c>
      <c r="C232" s="770" t="s">
        <v>576</v>
      </c>
      <c r="D232" s="770" t="s">
        <v>494</v>
      </c>
      <c r="E232" s="770" t="s">
        <v>495</v>
      </c>
      <c r="F232" s="770" t="s">
        <v>519</v>
      </c>
      <c r="G232" s="770" t="s">
        <v>103</v>
      </c>
      <c r="H232" s="770">
        <v>2019.0</v>
      </c>
      <c r="I232" s="771">
        <v>5348.802173</v>
      </c>
      <c r="J232" s="771">
        <v>6884.805986</v>
      </c>
      <c r="K232" s="772">
        <v>4108.353438</v>
      </c>
      <c r="M232" s="769" t="s">
        <v>493</v>
      </c>
      <c r="N232" s="770" t="s">
        <v>576</v>
      </c>
      <c r="O232" s="770" t="s">
        <v>494</v>
      </c>
      <c r="P232" s="770" t="s">
        <v>495</v>
      </c>
      <c r="Q232" s="770" t="s">
        <v>519</v>
      </c>
      <c r="R232" s="770" t="s">
        <v>497</v>
      </c>
      <c r="S232" s="770">
        <v>2019.0</v>
      </c>
      <c r="T232" s="771">
        <v>635.6674771</v>
      </c>
      <c r="U232" s="771">
        <v>818.2107152</v>
      </c>
      <c r="V232" s="772">
        <v>488.2488789</v>
      </c>
      <c r="X232" s="769" t="s">
        <v>518</v>
      </c>
      <c r="Y232" s="770" t="s">
        <v>494</v>
      </c>
      <c r="Z232" s="770" t="s">
        <v>499</v>
      </c>
      <c r="AA232" s="770" t="s">
        <v>33</v>
      </c>
      <c r="AB232" s="770" t="s">
        <v>493</v>
      </c>
      <c r="AC232" s="770" t="s">
        <v>103</v>
      </c>
      <c r="AD232" s="770" t="s">
        <v>501</v>
      </c>
      <c r="AE232" s="784" t="s">
        <v>502</v>
      </c>
      <c r="AF232" s="771">
        <v>19.58391461</v>
      </c>
      <c r="AG232" s="771">
        <v>8.271430668</v>
      </c>
      <c r="AH232" s="771">
        <v>39.83932379</v>
      </c>
      <c r="AI232" s="772" t="s">
        <v>233</v>
      </c>
      <c r="AK232" s="769" t="s">
        <v>518</v>
      </c>
      <c r="AL232" s="770" t="s">
        <v>494</v>
      </c>
      <c r="AM232" s="770" t="s">
        <v>499</v>
      </c>
      <c r="AN232" s="770" t="s">
        <v>33</v>
      </c>
      <c r="AO232" s="770" t="s">
        <v>493</v>
      </c>
      <c r="AP232" s="770" t="s">
        <v>504</v>
      </c>
      <c r="AQ232" s="770" t="s">
        <v>501</v>
      </c>
      <c r="AR232" s="784" t="s">
        <v>502</v>
      </c>
      <c r="AS232" s="771">
        <v>1100.216927</v>
      </c>
      <c r="AT232" s="771">
        <v>464.6858512</v>
      </c>
      <c r="AU232" s="771">
        <v>2238.158165</v>
      </c>
      <c r="AV232" s="772" t="s">
        <v>233</v>
      </c>
      <c r="AW232" s="714"/>
    </row>
    <row r="233">
      <c r="A233" s="761"/>
      <c r="B233" s="769" t="s">
        <v>493</v>
      </c>
      <c r="C233" s="770" t="s">
        <v>576</v>
      </c>
      <c r="D233" s="770" t="s">
        <v>494</v>
      </c>
      <c r="E233" s="770" t="s">
        <v>505</v>
      </c>
      <c r="F233" s="770" t="s">
        <v>519</v>
      </c>
      <c r="G233" s="770" t="s">
        <v>103</v>
      </c>
      <c r="H233" s="770">
        <v>2019.0</v>
      </c>
      <c r="I233" s="771">
        <v>4457.943687</v>
      </c>
      <c r="J233" s="771">
        <v>5754.95703</v>
      </c>
      <c r="K233" s="772">
        <v>3436.150221</v>
      </c>
      <c r="M233" s="769" t="s">
        <v>493</v>
      </c>
      <c r="N233" s="770" t="s">
        <v>576</v>
      </c>
      <c r="O233" s="770" t="s">
        <v>494</v>
      </c>
      <c r="P233" s="770" t="s">
        <v>505</v>
      </c>
      <c r="Q233" s="770" t="s">
        <v>519</v>
      </c>
      <c r="R233" s="770" t="s">
        <v>497</v>
      </c>
      <c r="S233" s="770">
        <v>2019.0</v>
      </c>
      <c r="T233" s="771">
        <v>119095.1715</v>
      </c>
      <c r="U233" s="771">
        <v>153745.2338</v>
      </c>
      <c r="V233" s="772">
        <v>91797.68265</v>
      </c>
      <c r="X233" s="769" t="s">
        <v>518</v>
      </c>
      <c r="Y233" s="770" t="s">
        <v>494</v>
      </c>
      <c r="Z233" s="770" t="s">
        <v>507</v>
      </c>
      <c r="AA233" s="770" t="s">
        <v>33</v>
      </c>
      <c r="AB233" s="770" t="s">
        <v>493</v>
      </c>
      <c r="AC233" s="770" t="s">
        <v>103</v>
      </c>
      <c r="AD233" s="770" t="s">
        <v>501</v>
      </c>
      <c r="AE233" s="784" t="s">
        <v>502</v>
      </c>
      <c r="AF233" s="771">
        <v>459.6910012</v>
      </c>
      <c r="AG233" s="771">
        <v>227.880383</v>
      </c>
      <c r="AH233" s="771">
        <v>786.4605891</v>
      </c>
      <c r="AI233" s="772" t="s">
        <v>233</v>
      </c>
      <c r="AK233" s="769" t="s">
        <v>518</v>
      </c>
      <c r="AL233" s="770" t="s">
        <v>494</v>
      </c>
      <c r="AM233" s="770" t="s">
        <v>507</v>
      </c>
      <c r="AN233" s="770" t="s">
        <v>33</v>
      </c>
      <c r="AO233" s="770" t="s">
        <v>493</v>
      </c>
      <c r="AP233" s="770" t="s">
        <v>504</v>
      </c>
      <c r="AQ233" s="770" t="s">
        <v>501</v>
      </c>
      <c r="AR233" s="784" t="s">
        <v>502</v>
      </c>
      <c r="AS233" s="771">
        <v>555.5809006</v>
      </c>
      <c r="AT233" s="771">
        <v>275.4154162</v>
      </c>
      <c r="AU233" s="771">
        <v>950.5134563</v>
      </c>
      <c r="AV233" s="772" t="s">
        <v>233</v>
      </c>
      <c r="AW233" s="714"/>
    </row>
    <row r="234">
      <c r="A234" s="761"/>
      <c r="B234" s="769" t="s">
        <v>493</v>
      </c>
      <c r="C234" s="770" t="s">
        <v>576</v>
      </c>
      <c r="D234" s="770" t="s">
        <v>494</v>
      </c>
      <c r="E234" s="770" t="s">
        <v>508</v>
      </c>
      <c r="F234" s="770" t="s">
        <v>519</v>
      </c>
      <c r="G234" s="770" t="s">
        <v>103</v>
      </c>
      <c r="H234" s="770">
        <v>2019.0</v>
      </c>
      <c r="I234" s="771">
        <v>170.3382739</v>
      </c>
      <c r="J234" s="771">
        <v>283.1730059</v>
      </c>
      <c r="K234" s="772">
        <v>85.92500753</v>
      </c>
      <c r="M234" s="769" t="s">
        <v>493</v>
      </c>
      <c r="N234" s="770" t="s">
        <v>576</v>
      </c>
      <c r="O234" s="770" t="s">
        <v>494</v>
      </c>
      <c r="P234" s="770" t="s">
        <v>508</v>
      </c>
      <c r="Q234" s="770" t="s">
        <v>519</v>
      </c>
      <c r="R234" s="770" t="s">
        <v>497</v>
      </c>
      <c r="S234" s="770">
        <v>2019.0</v>
      </c>
      <c r="T234" s="771">
        <v>100.6023621</v>
      </c>
      <c r="U234" s="771">
        <v>167.2429373</v>
      </c>
      <c r="V234" s="772">
        <v>50.74760076</v>
      </c>
      <c r="X234" s="769" t="s">
        <v>518</v>
      </c>
      <c r="Y234" s="770" t="s">
        <v>494</v>
      </c>
      <c r="Z234" s="770" t="s">
        <v>509</v>
      </c>
      <c r="AA234" s="770" t="s">
        <v>33</v>
      </c>
      <c r="AB234" s="770" t="s">
        <v>493</v>
      </c>
      <c r="AC234" s="770" t="s">
        <v>103</v>
      </c>
      <c r="AD234" s="770" t="s">
        <v>501</v>
      </c>
      <c r="AE234" s="784" t="s">
        <v>502</v>
      </c>
      <c r="AF234" s="771">
        <v>38.95461712</v>
      </c>
      <c r="AG234" s="771">
        <v>18.28349205</v>
      </c>
      <c r="AH234" s="771">
        <v>69.73456613</v>
      </c>
      <c r="AI234" s="772" t="s">
        <v>233</v>
      </c>
      <c r="AK234" s="769" t="s">
        <v>518</v>
      </c>
      <c r="AL234" s="770" t="s">
        <v>494</v>
      </c>
      <c r="AM234" s="770" t="s">
        <v>509</v>
      </c>
      <c r="AN234" s="770" t="s">
        <v>33</v>
      </c>
      <c r="AO234" s="770" t="s">
        <v>493</v>
      </c>
      <c r="AP234" s="770" t="s">
        <v>504</v>
      </c>
      <c r="AQ234" s="770" t="s">
        <v>501</v>
      </c>
      <c r="AR234" s="784" t="s">
        <v>502</v>
      </c>
      <c r="AS234" s="771">
        <v>742.3072276</v>
      </c>
      <c r="AT234" s="771">
        <v>348.4046128</v>
      </c>
      <c r="AU234" s="771">
        <v>1328.840489</v>
      </c>
      <c r="AV234" s="772" t="s">
        <v>233</v>
      </c>
      <c r="AW234" s="714"/>
    </row>
    <row r="235">
      <c r="A235" s="761"/>
      <c r="B235" s="769" t="s">
        <v>493</v>
      </c>
      <c r="C235" s="770" t="s">
        <v>576</v>
      </c>
      <c r="D235" s="770" t="s">
        <v>494</v>
      </c>
      <c r="E235" s="770" t="s">
        <v>512</v>
      </c>
      <c r="F235" s="770" t="s">
        <v>519</v>
      </c>
      <c r="G235" s="770" t="s">
        <v>103</v>
      </c>
      <c r="H235" s="770">
        <v>2019.0</v>
      </c>
      <c r="I235" s="771">
        <v>702.0962083</v>
      </c>
      <c r="J235" s="771">
        <v>987.0900642</v>
      </c>
      <c r="K235" s="772">
        <v>466.5068232</v>
      </c>
      <c r="M235" s="769" t="s">
        <v>493</v>
      </c>
      <c r="N235" s="770" t="s">
        <v>576</v>
      </c>
      <c r="O235" s="770" t="s">
        <v>494</v>
      </c>
      <c r="P235" s="770" t="s">
        <v>512</v>
      </c>
      <c r="Q235" s="770" t="s">
        <v>519</v>
      </c>
      <c r="R235" s="770" t="s">
        <v>497</v>
      </c>
      <c r="S235" s="770">
        <v>2019.0</v>
      </c>
      <c r="T235" s="771">
        <v>6386.638788</v>
      </c>
      <c r="U235" s="771">
        <v>8979.093772</v>
      </c>
      <c r="V235" s="772">
        <v>4243.593024</v>
      </c>
      <c r="X235" s="769" t="s">
        <v>518</v>
      </c>
      <c r="Y235" s="770" t="s">
        <v>494</v>
      </c>
      <c r="Z235" s="770" t="s">
        <v>513</v>
      </c>
      <c r="AA235" s="770" t="s">
        <v>33</v>
      </c>
      <c r="AB235" s="770" t="s">
        <v>493</v>
      </c>
      <c r="AC235" s="770" t="s">
        <v>103</v>
      </c>
      <c r="AD235" s="770" t="s">
        <v>501</v>
      </c>
      <c r="AE235" s="784" t="s">
        <v>502</v>
      </c>
      <c r="AF235" s="771">
        <v>863.7292974</v>
      </c>
      <c r="AG235" s="771">
        <v>465.3557923</v>
      </c>
      <c r="AH235" s="771">
        <v>1427.890323</v>
      </c>
      <c r="AI235" s="772" t="s">
        <v>233</v>
      </c>
      <c r="AK235" s="769" t="s">
        <v>518</v>
      </c>
      <c r="AL235" s="770" t="s">
        <v>494</v>
      </c>
      <c r="AM235" s="770" t="s">
        <v>513</v>
      </c>
      <c r="AN235" s="770" t="s">
        <v>33</v>
      </c>
      <c r="AO235" s="770" t="s">
        <v>493</v>
      </c>
      <c r="AP235" s="770" t="s">
        <v>504</v>
      </c>
      <c r="AQ235" s="770" t="s">
        <v>501</v>
      </c>
      <c r="AR235" s="784" t="s">
        <v>502</v>
      </c>
      <c r="AS235" s="771">
        <v>197.3958002</v>
      </c>
      <c r="AT235" s="771">
        <v>106.3519314</v>
      </c>
      <c r="AU235" s="771">
        <v>326.3285774</v>
      </c>
      <c r="AV235" s="772" t="s">
        <v>233</v>
      </c>
      <c r="AW235" s="714"/>
    </row>
    <row r="236">
      <c r="A236" s="761"/>
      <c r="B236" s="769" t="s">
        <v>493</v>
      </c>
      <c r="C236" s="770" t="s">
        <v>576</v>
      </c>
      <c r="D236" s="770" t="s">
        <v>494</v>
      </c>
      <c r="E236" s="770" t="s">
        <v>495</v>
      </c>
      <c r="F236" s="770" t="s">
        <v>521</v>
      </c>
      <c r="G236" s="770" t="s">
        <v>103</v>
      </c>
      <c r="H236" s="770">
        <v>2019.0</v>
      </c>
      <c r="I236" s="771">
        <v>495.2330122</v>
      </c>
      <c r="J236" s="771">
        <v>1196.080745</v>
      </c>
      <c r="K236" s="772">
        <v>144.549132</v>
      </c>
      <c r="M236" s="769" t="s">
        <v>493</v>
      </c>
      <c r="N236" s="770" t="s">
        <v>576</v>
      </c>
      <c r="O236" s="770" t="s">
        <v>494</v>
      </c>
      <c r="P236" s="770" t="s">
        <v>495</v>
      </c>
      <c r="Q236" s="770" t="s">
        <v>521</v>
      </c>
      <c r="R236" s="770" t="s">
        <v>497</v>
      </c>
      <c r="S236" s="770">
        <v>2019.0</v>
      </c>
      <c r="T236" s="771">
        <v>58.85495654</v>
      </c>
      <c r="U236" s="771">
        <v>142.1457749</v>
      </c>
      <c r="V236" s="772">
        <v>17.17864656</v>
      </c>
      <c r="X236" s="769" t="s">
        <v>519</v>
      </c>
      <c r="Y236" s="770" t="s">
        <v>494</v>
      </c>
      <c r="Z236" s="770" t="s">
        <v>499</v>
      </c>
      <c r="AA236" s="770" t="s">
        <v>33</v>
      </c>
      <c r="AB236" s="770" t="s">
        <v>493</v>
      </c>
      <c r="AC236" s="770" t="s">
        <v>103</v>
      </c>
      <c r="AD236" s="770" t="s">
        <v>501</v>
      </c>
      <c r="AE236" s="784" t="s">
        <v>502</v>
      </c>
      <c r="AF236" s="771">
        <v>2033.510476</v>
      </c>
      <c r="AG236" s="771">
        <v>1642.434049</v>
      </c>
      <c r="AH236" s="771">
        <v>2533.894789</v>
      </c>
      <c r="AI236" s="772" t="s">
        <v>233</v>
      </c>
      <c r="AK236" s="769" t="s">
        <v>519</v>
      </c>
      <c r="AL236" s="770" t="s">
        <v>494</v>
      </c>
      <c r="AM236" s="770" t="s">
        <v>499</v>
      </c>
      <c r="AN236" s="770" t="s">
        <v>33</v>
      </c>
      <c r="AO236" s="770" t="s">
        <v>493</v>
      </c>
      <c r="AP236" s="770" t="s">
        <v>504</v>
      </c>
      <c r="AQ236" s="770" t="s">
        <v>501</v>
      </c>
      <c r="AR236" s="784" t="s">
        <v>502</v>
      </c>
      <c r="AS236" s="771">
        <v>114241.8506</v>
      </c>
      <c r="AT236" s="771">
        <v>92271.32461</v>
      </c>
      <c r="AU236" s="771">
        <v>142353.2523</v>
      </c>
      <c r="AV236" s="772" t="s">
        <v>233</v>
      </c>
      <c r="AW236" s="714"/>
    </row>
    <row r="237">
      <c r="A237" s="761"/>
      <c r="B237" s="769" t="s">
        <v>493</v>
      </c>
      <c r="C237" s="770" t="s">
        <v>576</v>
      </c>
      <c r="D237" s="770" t="s">
        <v>494</v>
      </c>
      <c r="E237" s="770" t="s">
        <v>505</v>
      </c>
      <c r="F237" s="770" t="s">
        <v>521</v>
      </c>
      <c r="G237" s="770" t="s">
        <v>103</v>
      </c>
      <c r="H237" s="770">
        <v>2019.0</v>
      </c>
      <c r="I237" s="771">
        <v>0.0</v>
      </c>
      <c r="J237" s="771">
        <v>0.0</v>
      </c>
      <c r="K237" s="772">
        <v>0.0</v>
      </c>
      <c r="M237" s="769" t="s">
        <v>493</v>
      </c>
      <c r="N237" s="770" t="s">
        <v>576</v>
      </c>
      <c r="O237" s="770" t="s">
        <v>494</v>
      </c>
      <c r="P237" s="770" t="s">
        <v>505</v>
      </c>
      <c r="Q237" s="770" t="s">
        <v>521</v>
      </c>
      <c r="R237" s="770" t="s">
        <v>497</v>
      </c>
      <c r="S237" s="770">
        <v>2019.0</v>
      </c>
      <c r="T237" s="771">
        <v>0.0</v>
      </c>
      <c r="U237" s="771">
        <v>0.0</v>
      </c>
      <c r="V237" s="772">
        <v>0.0</v>
      </c>
      <c r="X237" s="769" t="s">
        <v>519</v>
      </c>
      <c r="Y237" s="770" t="s">
        <v>494</v>
      </c>
      <c r="Z237" s="770" t="s">
        <v>507</v>
      </c>
      <c r="AA237" s="770" t="s">
        <v>33</v>
      </c>
      <c r="AB237" s="770" t="s">
        <v>493</v>
      </c>
      <c r="AC237" s="770" t="s">
        <v>103</v>
      </c>
      <c r="AD237" s="770" t="s">
        <v>501</v>
      </c>
      <c r="AE237" s="784" t="s">
        <v>502</v>
      </c>
      <c r="AF237" s="771">
        <v>13.08172858</v>
      </c>
      <c r="AG237" s="771">
        <v>6.804777037</v>
      </c>
      <c r="AH237" s="771">
        <v>21.95671689</v>
      </c>
      <c r="AI237" s="772" t="s">
        <v>233</v>
      </c>
      <c r="AK237" s="769" t="s">
        <v>519</v>
      </c>
      <c r="AL237" s="770" t="s">
        <v>494</v>
      </c>
      <c r="AM237" s="770" t="s">
        <v>507</v>
      </c>
      <c r="AN237" s="770" t="s">
        <v>33</v>
      </c>
      <c r="AO237" s="770" t="s">
        <v>493</v>
      </c>
      <c r="AP237" s="770" t="s">
        <v>504</v>
      </c>
      <c r="AQ237" s="770" t="s">
        <v>501</v>
      </c>
      <c r="AR237" s="784" t="s">
        <v>502</v>
      </c>
      <c r="AS237" s="771">
        <v>15.81053039</v>
      </c>
      <c r="AT237" s="771">
        <v>8.2242292</v>
      </c>
      <c r="AU237" s="771">
        <v>26.53680953</v>
      </c>
      <c r="AV237" s="772" t="s">
        <v>233</v>
      </c>
      <c r="AW237" s="714"/>
    </row>
    <row r="238">
      <c r="A238" s="761"/>
      <c r="B238" s="769" t="s">
        <v>493</v>
      </c>
      <c r="C238" s="770" t="s">
        <v>576</v>
      </c>
      <c r="D238" s="770" t="s">
        <v>494</v>
      </c>
      <c r="E238" s="770" t="s">
        <v>508</v>
      </c>
      <c r="F238" s="770" t="s">
        <v>521</v>
      </c>
      <c r="G238" s="770" t="s">
        <v>103</v>
      </c>
      <c r="H238" s="770">
        <v>2019.0</v>
      </c>
      <c r="I238" s="771">
        <v>140.4763239</v>
      </c>
      <c r="J238" s="771">
        <v>363.7355958</v>
      </c>
      <c r="K238" s="772">
        <v>37.83044326</v>
      </c>
      <c r="M238" s="769" t="s">
        <v>493</v>
      </c>
      <c r="N238" s="770" t="s">
        <v>576</v>
      </c>
      <c r="O238" s="770" t="s">
        <v>494</v>
      </c>
      <c r="P238" s="770" t="s">
        <v>508</v>
      </c>
      <c r="Q238" s="770" t="s">
        <v>521</v>
      </c>
      <c r="R238" s="770" t="s">
        <v>497</v>
      </c>
      <c r="S238" s="770">
        <v>2019.0</v>
      </c>
      <c r="T238" s="771">
        <v>82.96579319</v>
      </c>
      <c r="U238" s="771">
        <v>214.823476</v>
      </c>
      <c r="V238" s="772">
        <v>22.34278804</v>
      </c>
      <c r="X238" s="769" t="s">
        <v>519</v>
      </c>
      <c r="Y238" s="770" t="s">
        <v>494</v>
      </c>
      <c r="Z238" s="770" t="s">
        <v>509</v>
      </c>
      <c r="AA238" s="770" t="s">
        <v>33</v>
      </c>
      <c r="AB238" s="770" t="s">
        <v>493</v>
      </c>
      <c r="AC238" s="770" t="s">
        <v>103</v>
      </c>
      <c r="AD238" s="770" t="s">
        <v>501</v>
      </c>
      <c r="AE238" s="784" t="s">
        <v>502</v>
      </c>
      <c r="AF238" s="771">
        <v>211.9590836</v>
      </c>
      <c r="AG238" s="771">
        <v>140.9490791</v>
      </c>
      <c r="AH238" s="771">
        <v>294.5898567</v>
      </c>
      <c r="AI238" s="772" t="s">
        <v>233</v>
      </c>
      <c r="AK238" s="769" t="s">
        <v>519</v>
      </c>
      <c r="AL238" s="770" t="s">
        <v>494</v>
      </c>
      <c r="AM238" s="770" t="s">
        <v>509</v>
      </c>
      <c r="AN238" s="770" t="s">
        <v>33</v>
      </c>
      <c r="AO238" s="770" t="s">
        <v>493</v>
      </c>
      <c r="AP238" s="770" t="s">
        <v>504</v>
      </c>
      <c r="AQ238" s="770" t="s">
        <v>501</v>
      </c>
      <c r="AR238" s="784" t="s">
        <v>502</v>
      </c>
      <c r="AS238" s="771">
        <v>4039.027241</v>
      </c>
      <c r="AT238" s="771">
        <v>2685.882391</v>
      </c>
      <c r="AU238" s="771">
        <v>5613.613893</v>
      </c>
      <c r="AV238" s="772" t="s">
        <v>233</v>
      </c>
      <c r="AW238" s="714"/>
    </row>
    <row r="239">
      <c r="A239" s="761"/>
      <c r="B239" s="769" t="s">
        <v>493</v>
      </c>
      <c r="C239" s="770" t="s">
        <v>576</v>
      </c>
      <c r="D239" s="770" t="s">
        <v>494</v>
      </c>
      <c r="E239" s="770" t="s">
        <v>512</v>
      </c>
      <c r="F239" s="770" t="s">
        <v>521</v>
      </c>
      <c r="G239" s="770" t="s">
        <v>103</v>
      </c>
      <c r="H239" s="770">
        <v>2019.0</v>
      </c>
      <c r="I239" s="771">
        <v>0.0</v>
      </c>
      <c r="J239" s="771">
        <v>0.0</v>
      </c>
      <c r="K239" s="772">
        <v>0.0</v>
      </c>
      <c r="M239" s="769" t="s">
        <v>493</v>
      </c>
      <c r="N239" s="770" t="s">
        <v>576</v>
      </c>
      <c r="O239" s="770" t="s">
        <v>494</v>
      </c>
      <c r="P239" s="770" t="s">
        <v>512</v>
      </c>
      <c r="Q239" s="770" t="s">
        <v>521</v>
      </c>
      <c r="R239" s="770" t="s">
        <v>497</v>
      </c>
      <c r="S239" s="770">
        <v>2019.0</v>
      </c>
      <c r="T239" s="771">
        <v>0.0</v>
      </c>
      <c r="U239" s="771">
        <v>0.0</v>
      </c>
      <c r="V239" s="772">
        <v>0.0</v>
      </c>
      <c r="X239" s="769" t="s">
        <v>519</v>
      </c>
      <c r="Y239" s="770" t="s">
        <v>494</v>
      </c>
      <c r="Z239" s="770" t="s">
        <v>513</v>
      </c>
      <c r="AA239" s="770" t="s">
        <v>33</v>
      </c>
      <c r="AB239" s="770" t="s">
        <v>493</v>
      </c>
      <c r="AC239" s="770" t="s">
        <v>103</v>
      </c>
      <c r="AD239" s="770" t="s">
        <v>501</v>
      </c>
      <c r="AE239" s="784" t="s">
        <v>502</v>
      </c>
      <c r="AF239" s="771">
        <v>2261.482853</v>
      </c>
      <c r="AG239" s="771">
        <v>1817.535896</v>
      </c>
      <c r="AH239" s="771">
        <v>2813.701337</v>
      </c>
      <c r="AI239" s="772" t="s">
        <v>233</v>
      </c>
      <c r="AK239" s="769" t="s">
        <v>519</v>
      </c>
      <c r="AL239" s="770" t="s">
        <v>494</v>
      </c>
      <c r="AM239" s="770" t="s">
        <v>513</v>
      </c>
      <c r="AN239" s="770" t="s">
        <v>33</v>
      </c>
      <c r="AO239" s="770" t="s">
        <v>493</v>
      </c>
      <c r="AP239" s="770" t="s">
        <v>504</v>
      </c>
      <c r="AQ239" s="770" t="s">
        <v>501</v>
      </c>
      <c r="AR239" s="784" t="s">
        <v>502</v>
      </c>
      <c r="AS239" s="771">
        <v>516.836952</v>
      </c>
      <c r="AT239" s="771">
        <v>415.3777736</v>
      </c>
      <c r="AU239" s="771">
        <v>643.040393</v>
      </c>
      <c r="AV239" s="772" t="s">
        <v>233</v>
      </c>
      <c r="AW239" s="714"/>
    </row>
    <row r="240">
      <c r="A240" s="761"/>
      <c r="B240" s="769" t="s">
        <v>493</v>
      </c>
      <c r="C240" s="770" t="s">
        <v>576</v>
      </c>
      <c r="D240" s="770" t="s">
        <v>494</v>
      </c>
      <c r="E240" s="770" t="s">
        <v>495</v>
      </c>
      <c r="F240" s="770" t="s">
        <v>523</v>
      </c>
      <c r="G240" s="770" t="s">
        <v>103</v>
      </c>
      <c r="H240" s="770">
        <v>2019.0</v>
      </c>
      <c r="I240" s="771">
        <v>811.6018966</v>
      </c>
      <c r="J240" s="771">
        <v>1334.292965</v>
      </c>
      <c r="K240" s="772">
        <v>457.7238338</v>
      </c>
      <c r="M240" s="769" t="s">
        <v>493</v>
      </c>
      <c r="N240" s="770" t="s">
        <v>576</v>
      </c>
      <c r="O240" s="770" t="s">
        <v>494</v>
      </c>
      <c r="P240" s="770" t="s">
        <v>495</v>
      </c>
      <c r="Q240" s="770" t="s">
        <v>523</v>
      </c>
      <c r="R240" s="770" t="s">
        <v>497</v>
      </c>
      <c r="S240" s="770">
        <v>2019.0</v>
      </c>
      <c r="T240" s="771">
        <v>96.45317088</v>
      </c>
      <c r="U240" s="771">
        <v>158.5713241</v>
      </c>
      <c r="V240" s="772">
        <v>54.39725479</v>
      </c>
      <c r="X240" s="769" t="s">
        <v>521</v>
      </c>
      <c r="Y240" s="770" t="s">
        <v>494</v>
      </c>
      <c r="Z240" s="770" t="s">
        <v>499</v>
      </c>
      <c r="AA240" s="770" t="s">
        <v>33</v>
      </c>
      <c r="AB240" s="770" t="s">
        <v>493</v>
      </c>
      <c r="AC240" s="770" t="s">
        <v>103</v>
      </c>
      <c r="AD240" s="770" t="s">
        <v>501</v>
      </c>
      <c r="AE240" s="784" t="s">
        <v>502</v>
      </c>
      <c r="AF240" s="771">
        <v>0.0</v>
      </c>
      <c r="AG240" s="771">
        <v>0.0</v>
      </c>
      <c r="AH240" s="771">
        <v>0.0</v>
      </c>
      <c r="AI240" s="772" t="s">
        <v>233</v>
      </c>
      <c r="AK240" s="769" t="s">
        <v>521</v>
      </c>
      <c r="AL240" s="770" t="s">
        <v>494</v>
      </c>
      <c r="AM240" s="770" t="s">
        <v>499</v>
      </c>
      <c r="AN240" s="770" t="s">
        <v>33</v>
      </c>
      <c r="AO240" s="770" t="s">
        <v>493</v>
      </c>
      <c r="AP240" s="770" t="s">
        <v>504</v>
      </c>
      <c r="AQ240" s="770" t="s">
        <v>501</v>
      </c>
      <c r="AR240" s="784" t="s">
        <v>502</v>
      </c>
      <c r="AS240" s="771">
        <v>0.0</v>
      </c>
      <c r="AT240" s="771">
        <v>0.0</v>
      </c>
      <c r="AU240" s="771">
        <v>0.0</v>
      </c>
      <c r="AV240" s="772" t="s">
        <v>233</v>
      </c>
      <c r="AW240" s="714"/>
    </row>
    <row r="241">
      <c r="A241" s="761"/>
      <c r="B241" s="769" t="s">
        <v>493</v>
      </c>
      <c r="C241" s="770" t="s">
        <v>576</v>
      </c>
      <c r="D241" s="770" t="s">
        <v>494</v>
      </c>
      <c r="E241" s="770" t="s">
        <v>505</v>
      </c>
      <c r="F241" s="770" t="s">
        <v>523</v>
      </c>
      <c r="G241" s="770" t="s">
        <v>103</v>
      </c>
      <c r="H241" s="770">
        <v>2019.0</v>
      </c>
      <c r="I241" s="771">
        <v>0.0</v>
      </c>
      <c r="J241" s="771">
        <v>0.0</v>
      </c>
      <c r="K241" s="772">
        <v>0.0</v>
      </c>
      <c r="M241" s="769" t="s">
        <v>493</v>
      </c>
      <c r="N241" s="770" t="s">
        <v>576</v>
      </c>
      <c r="O241" s="770" t="s">
        <v>494</v>
      </c>
      <c r="P241" s="770" t="s">
        <v>505</v>
      </c>
      <c r="Q241" s="770" t="s">
        <v>523</v>
      </c>
      <c r="R241" s="770" t="s">
        <v>497</v>
      </c>
      <c r="S241" s="770">
        <v>2019.0</v>
      </c>
      <c r="T241" s="771">
        <v>0.0</v>
      </c>
      <c r="U241" s="771">
        <v>0.0</v>
      </c>
      <c r="V241" s="772">
        <v>0.0</v>
      </c>
      <c r="X241" s="769" t="s">
        <v>521</v>
      </c>
      <c r="Y241" s="770" t="s">
        <v>494</v>
      </c>
      <c r="Z241" s="770" t="s">
        <v>507</v>
      </c>
      <c r="AA241" s="770" t="s">
        <v>33</v>
      </c>
      <c r="AB241" s="770" t="s">
        <v>493</v>
      </c>
      <c r="AC241" s="770" t="s">
        <v>103</v>
      </c>
      <c r="AD241" s="770" t="s">
        <v>501</v>
      </c>
      <c r="AE241" s="784" t="s">
        <v>502</v>
      </c>
      <c r="AF241" s="771">
        <v>5.388017886</v>
      </c>
      <c r="AG241" s="771">
        <v>1.539310307</v>
      </c>
      <c r="AH241" s="771">
        <v>12.7390845</v>
      </c>
      <c r="AI241" s="772" t="s">
        <v>233</v>
      </c>
      <c r="AK241" s="769" t="s">
        <v>521</v>
      </c>
      <c r="AL241" s="770" t="s">
        <v>494</v>
      </c>
      <c r="AM241" s="770" t="s">
        <v>507</v>
      </c>
      <c r="AN241" s="770" t="s">
        <v>33</v>
      </c>
      <c r="AO241" s="770" t="s">
        <v>493</v>
      </c>
      <c r="AP241" s="770" t="s">
        <v>504</v>
      </c>
      <c r="AQ241" s="770" t="s">
        <v>501</v>
      </c>
      <c r="AR241" s="784" t="s">
        <v>502</v>
      </c>
      <c r="AS241" s="771">
        <v>6.511939154</v>
      </c>
      <c r="AT241" s="771">
        <v>1.860404934</v>
      </c>
      <c r="AU241" s="771">
        <v>15.39641198</v>
      </c>
      <c r="AV241" s="772" t="s">
        <v>233</v>
      </c>
      <c r="AW241" s="714"/>
    </row>
    <row r="242">
      <c r="A242" s="761"/>
      <c r="B242" s="769" t="s">
        <v>493</v>
      </c>
      <c r="C242" s="770" t="s">
        <v>576</v>
      </c>
      <c r="D242" s="770" t="s">
        <v>494</v>
      </c>
      <c r="E242" s="770" t="s">
        <v>508</v>
      </c>
      <c r="F242" s="770" t="s">
        <v>523</v>
      </c>
      <c r="G242" s="770" t="s">
        <v>103</v>
      </c>
      <c r="H242" s="770">
        <v>2019.0</v>
      </c>
      <c r="I242" s="771">
        <v>401.8235613</v>
      </c>
      <c r="J242" s="771">
        <v>760.0602808</v>
      </c>
      <c r="K242" s="772">
        <v>200.3741742</v>
      </c>
      <c r="M242" s="769" t="s">
        <v>493</v>
      </c>
      <c r="N242" s="770" t="s">
        <v>576</v>
      </c>
      <c r="O242" s="770" t="s">
        <v>494</v>
      </c>
      <c r="P242" s="770" t="s">
        <v>508</v>
      </c>
      <c r="Q242" s="770" t="s">
        <v>523</v>
      </c>
      <c r="R242" s="770" t="s">
        <v>497</v>
      </c>
      <c r="S242" s="770">
        <v>2019.0</v>
      </c>
      <c r="T242" s="771">
        <v>237.3183576</v>
      </c>
      <c r="U242" s="771">
        <v>448.8941787</v>
      </c>
      <c r="V242" s="772">
        <v>118.3416666</v>
      </c>
      <c r="X242" s="769" t="s">
        <v>521</v>
      </c>
      <c r="Y242" s="770" t="s">
        <v>494</v>
      </c>
      <c r="Z242" s="770" t="s">
        <v>509</v>
      </c>
      <c r="AA242" s="770" t="s">
        <v>33</v>
      </c>
      <c r="AB242" s="770" t="s">
        <v>493</v>
      </c>
      <c r="AC242" s="770" t="s">
        <v>103</v>
      </c>
      <c r="AD242" s="770" t="s">
        <v>501</v>
      </c>
      <c r="AE242" s="784" t="s">
        <v>502</v>
      </c>
      <c r="AF242" s="771">
        <v>0.0</v>
      </c>
      <c r="AG242" s="771">
        <v>0.0</v>
      </c>
      <c r="AH242" s="771">
        <v>0.0</v>
      </c>
      <c r="AI242" s="772" t="s">
        <v>233</v>
      </c>
      <c r="AK242" s="769" t="s">
        <v>521</v>
      </c>
      <c r="AL242" s="770" t="s">
        <v>494</v>
      </c>
      <c r="AM242" s="770" t="s">
        <v>509</v>
      </c>
      <c r="AN242" s="770" t="s">
        <v>33</v>
      </c>
      <c r="AO242" s="770" t="s">
        <v>493</v>
      </c>
      <c r="AP242" s="770" t="s">
        <v>504</v>
      </c>
      <c r="AQ242" s="770" t="s">
        <v>501</v>
      </c>
      <c r="AR242" s="784" t="s">
        <v>502</v>
      </c>
      <c r="AS242" s="771">
        <v>0.0</v>
      </c>
      <c r="AT242" s="771">
        <v>0.0</v>
      </c>
      <c r="AU242" s="771">
        <v>0.0</v>
      </c>
      <c r="AV242" s="772" t="s">
        <v>233</v>
      </c>
      <c r="AW242" s="714"/>
    </row>
    <row r="243">
      <c r="A243" s="761"/>
      <c r="B243" s="769" t="s">
        <v>493</v>
      </c>
      <c r="C243" s="770" t="s">
        <v>576</v>
      </c>
      <c r="D243" s="770" t="s">
        <v>494</v>
      </c>
      <c r="E243" s="770" t="s">
        <v>512</v>
      </c>
      <c r="F243" s="770" t="s">
        <v>523</v>
      </c>
      <c r="G243" s="770" t="s">
        <v>103</v>
      </c>
      <c r="H243" s="770">
        <v>2019.0</v>
      </c>
      <c r="I243" s="771">
        <v>0.0</v>
      </c>
      <c r="J243" s="771">
        <v>0.0</v>
      </c>
      <c r="K243" s="772">
        <v>0.0</v>
      </c>
      <c r="M243" s="769" t="s">
        <v>493</v>
      </c>
      <c r="N243" s="770" t="s">
        <v>576</v>
      </c>
      <c r="O243" s="770" t="s">
        <v>494</v>
      </c>
      <c r="P243" s="770" t="s">
        <v>512</v>
      </c>
      <c r="Q243" s="770" t="s">
        <v>523</v>
      </c>
      <c r="R243" s="770" t="s">
        <v>497</v>
      </c>
      <c r="S243" s="770">
        <v>2019.0</v>
      </c>
      <c r="T243" s="771">
        <v>0.0</v>
      </c>
      <c r="U243" s="771">
        <v>0.0</v>
      </c>
      <c r="V243" s="772">
        <v>0.0</v>
      </c>
      <c r="X243" s="769" t="s">
        <v>521</v>
      </c>
      <c r="Y243" s="770" t="s">
        <v>494</v>
      </c>
      <c r="Z243" s="770" t="s">
        <v>513</v>
      </c>
      <c r="AA243" s="770" t="s">
        <v>33</v>
      </c>
      <c r="AB243" s="770" t="s">
        <v>493</v>
      </c>
      <c r="AC243" s="770" t="s">
        <v>103</v>
      </c>
      <c r="AD243" s="770" t="s">
        <v>501</v>
      </c>
      <c r="AE243" s="784" t="s">
        <v>502</v>
      </c>
      <c r="AF243" s="771">
        <v>25.16038522</v>
      </c>
      <c r="AG243" s="771">
        <v>6.919368605</v>
      </c>
      <c r="AH243" s="771">
        <v>69.23727392</v>
      </c>
      <c r="AI243" s="772" t="s">
        <v>233</v>
      </c>
      <c r="AK243" s="769" t="s">
        <v>521</v>
      </c>
      <c r="AL243" s="770" t="s">
        <v>494</v>
      </c>
      <c r="AM243" s="770" t="s">
        <v>513</v>
      </c>
      <c r="AN243" s="770" t="s">
        <v>33</v>
      </c>
      <c r="AO243" s="770" t="s">
        <v>493</v>
      </c>
      <c r="AP243" s="770" t="s">
        <v>504</v>
      </c>
      <c r="AQ243" s="770" t="s">
        <v>501</v>
      </c>
      <c r="AR243" s="784" t="s">
        <v>502</v>
      </c>
      <c r="AS243" s="771">
        <v>5.750128411</v>
      </c>
      <c r="AT243" s="771">
        <v>1.581345343</v>
      </c>
      <c r="AU243" s="771">
        <v>15.82341496</v>
      </c>
      <c r="AV243" s="772" t="s">
        <v>233</v>
      </c>
      <c r="AW243" s="714"/>
    </row>
    <row r="244">
      <c r="A244" s="761"/>
      <c r="B244" s="769" t="s">
        <v>493</v>
      </c>
      <c r="C244" s="770" t="s">
        <v>19</v>
      </c>
      <c r="D244" s="770" t="s">
        <v>494</v>
      </c>
      <c r="E244" s="770" t="s">
        <v>495</v>
      </c>
      <c r="F244" s="770" t="s">
        <v>496</v>
      </c>
      <c r="G244" s="770" t="s">
        <v>103</v>
      </c>
      <c r="H244" s="770">
        <v>2019.0</v>
      </c>
      <c r="I244" s="771">
        <v>85575.12265</v>
      </c>
      <c r="J244" s="771">
        <v>104782.3129</v>
      </c>
      <c r="K244" s="772">
        <v>70380.65394</v>
      </c>
      <c r="M244" s="769" t="s">
        <v>493</v>
      </c>
      <c r="N244" s="770" t="s">
        <v>19</v>
      </c>
      <c r="O244" s="770" t="s">
        <v>494</v>
      </c>
      <c r="P244" s="770" t="s">
        <v>495</v>
      </c>
      <c r="Q244" s="770" t="s">
        <v>496</v>
      </c>
      <c r="R244" s="770" t="s">
        <v>497</v>
      </c>
      <c r="S244" s="770">
        <v>2019.0</v>
      </c>
      <c r="T244" s="771">
        <v>2567.767314</v>
      </c>
      <c r="U244" s="771">
        <v>3144.098306</v>
      </c>
      <c r="V244" s="772">
        <v>2111.842053</v>
      </c>
      <c r="X244" s="769" t="s">
        <v>523</v>
      </c>
      <c r="Y244" s="770" t="s">
        <v>494</v>
      </c>
      <c r="Z244" s="770" t="s">
        <v>507</v>
      </c>
      <c r="AA244" s="770" t="s">
        <v>33</v>
      </c>
      <c r="AB244" s="770" t="s">
        <v>493</v>
      </c>
      <c r="AC244" s="770" t="s">
        <v>103</v>
      </c>
      <c r="AD244" s="770" t="s">
        <v>501</v>
      </c>
      <c r="AE244" s="784" t="s">
        <v>502</v>
      </c>
      <c r="AF244" s="771">
        <v>23.76993056</v>
      </c>
      <c r="AG244" s="771">
        <v>11.2758128</v>
      </c>
      <c r="AH244" s="771">
        <v>42.18470705</v>
      </c>
      <c r="AI244" s="772" t="s">
        <v>233</v>
      </c>
      <c r="AK244" s="769" t="s">
        <v>523</v>
      </c>
      <c r="AL244" s="770" t="s">
        <v>494</v>
      </c>
      <c r="AM244" s="770" t="s">
        <v>507</v>
      </c>
      <c r="AN244" s="770" t="s">
        <v>33</v>
      </c>
      <c r="AO244" s="770" t="s">
        <v>493</v>
      </c>
      <c r="AP244" s="770" t="s">
        <v>504</v>
      </c>
      <c r="AQ244" s="770" t="s">
        <v>501</v>
      </c>
      <c r="AR244" s="784" t="s">
        <v>502</v>
      </c>
      <c r="AS244" s="771">
        <v>28.72825309</v>
      </c>
      <c r="AT244" s="771">
        <v>13.62790704</v>
      </c>
      <c r="AU244" s="771">
        <v>50.98428613</v>
      </c>
      <c r="AV244" s="772" t="s">
        <v>233</v>
      </c>
      <c r="AW244" s="714"/>
    </row>
    <row r="245">
      <c r="A245" s="761"/>
      <c r="B245" s="769" t="s">
        <v>493</v>
      </c>
      <c r="C245" s="770" t="s">
        <v>19</v>
      </c>
      <c r="D245" s="770" t="s">
        <v>494</v>
      </c>
      <c r="E245" s="770" t="s">
        <v>505</v>
      </c>
      <c r="F245" s="770" t="s">
        <v>496</v>
      </c>
      <c r="G245" s="770" t="s">
        <v>103</v>
      </c>
      <c r="H245" s="770">
        <v>2019.0</v>
      </c>
      <c r="I245" s="771">
        <v>19471.00076</v>
      </c>
      <c r="J245" s="771">
        <v>23836.18656</v>
      </c>
      <c r="K245" s="772">
        <v>15943.36675</v>
      </c>
      <c r="M245" s="769" t="s">
        <v>493</v>
      </c>
      <c r="N245" s="770" t="s">
        <v>19</v>
      </c>
      <c r="O245" s="770" t="s">
        <v>494</v>
      </c>
      <c r="P245" s="770" t="s">
        <v>505</v>
      </c>
      <c r="Q245" s="770" t="s">
        <v>496</v>
      </c>
      <c r="R245" s="770" t="s">
        <v>497</v>
      </c>
      <c r="S245" s="770">
        <v>2019.0</v>
      </c>
      <c r="T245" s="771">
        <v>129890.7045</v>
      </c>
      <c r="U245" s="771">
        <v>159010.7825</v>
      </c>
      <c r="V245" s="772">
        <v>106357.9199</v>
      </c>
      <c r="X245" s="769" t="s">
        <v>523</v>
      </c>
      <c r="Y245" s="770" t="s">
        <v>494</v>
      </c>
      <c r="Z245" s="770" t="s">
        <v>513</v>
      </c>
      <c r="AA245" s="770" t="s">
        <v>33</v>
      </c>
      <c r="AB245" s="770" t="s">
        <v>493</v>
      </c>
      <c r="AC245" s="770" t="s">
        <v>103</v>
      </c>
      <c r="AD245" s="770" t="s">
        <v>501</v>
      </c>
      <c r="AE245" s="784" t="s">
        <v>502</v>
      </c>
      <c r="AF245" s="771">
        <v>41.36376613</v>
      </c>
      <c r="AG245" s="771">
        <v>19.87301028</v>
      </c>
      <c r="AH245" s="771">
        <v>69.18689952</v>
      </c>
      <c r="AI245" s="772" t="s">
        <v>233</v>
      </c>
      <c r="AK245" s="769" t="s">
        <v>523</v>
      </c>
      <c r="AL245" s="770" t="s">
        <v>494</v>
      </c>
      <c r="AM245" s="770" t="s">
        <v>513</v>
      </c>
      <c r="AN245" s="770" t="s">
        <v>33</v>
      </c>
      <c r="AO245" s="770" t="s">
        <v>493</v>
      </c>
      <c r="AP245" s="770" t="s">
        <v>504</v>
      </c>
      <c r="AQ245" s="770" t="s">
        <v>501</v>
      </c>
      <c r="AR245" s="784" t="s">
        <v>502</v>
      </c>
      <c r="AS245" s="771">
        <v>9.453232324</v>
      </c>
      <c r="AT245" s="771">
        <v>4.541757213</v>
      </c>
      <c r="AU245" s="771">
        <v>15.81190245</v>
      </c>
      <c r="AV245" s="772" t="s">
        <v>233</v>
      </c>
      <c r="AW245" s="714"/>
    </row>
    <row r="246">
      <c r="A246" s="761"/>
      <c r="B246" s="769" t="s">
        <v>493</v>
      </c>
      <c r="C246" s="770" t="s">
        <v>19</v>
      </c>
      <c r="D246" s="770" t="s">
        <v>494</v>
      </c>
      <c r="E246" s="770" t="s">
        <v>508</v>
      </c>
      <c r="F246" s="770" t="s">
        <v>496</v>
      </c>
      <c r="G246" s="770" t="s">
        <v>103</v>
      </c>
      <c r="H246" s="770">
        <v>2019.0</v>
      </c>
      <c r="I246" s="771">
        <v>27388.4432</v>
      </c>
      <c r="J246" s="771">
        <v>33555.78165</v>
      </c>
      <c r="K246" s="772">
        <v>22499.60833</v>
      </c>
      <c r="M246" s="769" t="s">
        <v>493</v>
      </c>
      <c r="N246" s="770" t="s">
        <v>19</v>
      </c>
      <c r="O246" s="770" t="s">
        <v>494</v>
      </c>
      <c r="P246" s="770" t="s">
        <v>508</v>
      </c>
      <c r="Q246" s="770" t="s">
        <v>496</v>
      </c>
      <c r="R246" s="770" t="s">
        <v>497</v>
      </c>
      <c r="S246" s="770">
        <v>2019.0</v>
      </c>
      <c r="T246" s="771">
        <v>4029.101182</v>
      </c>
      <c r="U246" s="771">
        <v>4936.375483</v>
      </c>
      <c r="V246" s="772">
        <v>3309.906951</v>
      </c>
      <c r="X246" s="769" t="s">
        <v>496</v>
      </c>
      <c r="Y246" s="770" t="s">
        <v>494</v>
      </c>
      <c r="Z246" s="770" t="s">
        <v>499</v>
      </c>
      <c r="AA246" s="770" t="s">
        <v>34</v>
      </c>
      <c r="AB246" s="770" t="s">
        <v>493</v>
      </c>
      <c r="AC246" s="770" t="s">
        <v>103</v>
      </c>
      <c r="AD246" s="770" t="s">
        <v>501</v>
      </c>
      <c r="AE246" s="784" t="s">
        <v>502</v>
      </c>
      <c r="AF246" s="771">
        <v>2146.970943</v>
      </c>
      <c r="AG246" s="771">
        <v>1709.117083</v>
      </c>
      <c r="AH246" s="771">
        <v>2697.660386</v>
      </c>
      <c r="AI246" s="772" t="s">
        <v>233</v>
      </c>
      <c r="AK246" s="769" t="s">
        <v>496</v>
      </c>
      <c r="AL246" s="770" t="s">
        <v>494</v>
      </c>
      <c r="AM246" s="770" t="s">
        <v>499</v>
      </c>
      <c r="AN246" s="770" t="s">
        <v>34</v>
      </c>
      <c r="AO246" s="770" t="s">
        <v>493</v>
      </c>
      <c r="AP246" s="770" t="s">
        <v>504</v>
      </c>
      <c r="AQ246" s="770" t="s">
        <v>501</v>
      </c>
      <c r="AR246" s="784" t="s">
        <v>502</v>
      </c>
      <c r="AS246" s="771">
        <v>127017.9913</v>
      </c>
      <c r="AT246" s="771">
        <v>101113.9063</v>
      </c>
      <c r="AU246" s="771">
        <v>159597.5971</v>
      </c>
      <c r="AV246" s="772" t="s">
        <v>233</v>
      </c>
      <c r="AW246" s="714"/>
    </row>
    <row r="247">
      <c r="A247" s="761"/>
      <c r="B247" s="769" t="s">
        <v>493</v>
      </c>
      <c r="C247" s="770" t="s">
        <v>19</v>
      </c>
      <c r="D247" s="770" t="s">
        <v>494</v>
      </c>
      <c r="E247" s="770" t="s">
        <v>512</v>
      </c>
      <c r="F247" s="770" t="s">
        <v>496</v>
      </c>
      <c r="G247" s="770" t="s">
        <v>103</v>
      </c>
      <c r="H247" s="770">
        <v>2019.0</v>
      </c>
      <c r="I247" s="771">
        <v>5935.057826</v>
      </c>
      <c r="J247" s="771">
        <v>7293.52544</v>
      </c>
      <c r="K247" s="772">
        <v>4849.312931</v>
      </c>
      <c r="M247" s="769" t="s">
        <v>493</v>
      </c>
      <c r="N247" s="770" t="s">
        <v>19</v>
      </c>
      <c r="O247" s="770" t="s">
        <v>494</v>
      </c>
      <c r="P247" s="770" t="s">
        <v>512</v>
      </c>
      <c r="Q247" s="770" t="s">
        <v>496</v>
      </c>
      <c r="R247" s="770" t="s">
        <v>497</v>
      </c>
      <c r="S247" s="770">
        <v>2019.0</v>
      </c>
      <c r="T247" s="771">
        <v>13436.69958</v>
      </c>
      <c r="U247" s="771">
        <v>16512.20816</v>
      </c>
      <c r="V247" s="772">
        <v>10978.62278</v>
      </c>
      <c r="X247" s="769" t="s">
        <v>496</v>
      </c>
      <c r="Y247" s="770" t="s">
        <v>494</v>
      </c>
      <c r="Z247" s="770" t="s">
        <v>507</v>
      </c>
      <c r="AA247" s="770" t="s">
        <v>34</v>
      </c>
      <c r="AB247" s="770" t="s">
        <v>493</v>
      </c>
      <c r="AC247" s="770" t="s">
        <v>103</v>
      </c>
      <c r="AD247" s="770" t="s">
        <v>501</v>
      </c>
      <c r="AE247" s="784" t="s">
        <v>502</v>
      </c>
      <c r="AF247" s="771">
        <v>1406.128139</v>
      </c>
      <c r="AG247" s="771">
        <v>1118.993216</v>
      </c>
      <c r="AH247" s="771">
        <v>1766.1794</v>
      </c>
      <c r="AI247" s="772" t="s">
        <v>233</v>
      </c>
      <c r="AK247" s="769" t="s">
        <v>496</v>
      </c>
      <c r="AL247" s="770" t="s">
        <v>494</v>
      </c>
      <c r="AM247" s="770" t="s">
        <v>507</v>
      </c>
      <c r="AN247" s="770" t="s">
        <v>34</v>
      </c>
      <c r="AO247" s="770" t="s">
        <v>493</v>
      </c>
      <c r="AP247" s="770" t="s">
        <v>504</v>
      </c>
      <c r="AQ247" s="770" t="s">
        <v>501</v>
      </c>
      <c r="AR247" s="784" t="s">
        <v>502</v>
      </c>
      <c r="AS247" s="771">
        <v>1757.528242</v>
      </c>
      <c r="AT247" s="771">
        <v>1398.636529</v>
      </c>
      <c r="AU247" s="771">
        <v>2207.558536</v>
      </c>
      <c r="AV247" s="772" t="s">
        <v>233</v>
      </c>
      <c r="AW247" s="714"/>
    </row>
    <row r="248">
      <c r="A248" s="761"/>
      <c r="B248" s="769" t="s">
        <v>493</v>
      </c>
      <c r="C248" s="770" t="s">
        <v>19</v>
      </c>
      <c r="D248" s="770" t="s">
        <v>494</v>
      </c>
      <c r="E248" s="770" t="s">
        <v>495</v>
      </c>
      <c r="F248" s="770" t="s">
        <v>514</v>
      </c>
      <c r="G248" s="770" t="s">
        <v>103</v>
      </c>
      <c r="H248" s="770">
        <v>2019.0</v>
      </c>
      <c r="I248" s="771">
        <v>76345.82075</v>
      </c>
      <c r="J248" s="771">
        <v>93880.96403</v>
      </c>
      <c r="K248" s="772">
        <v>61846.03006</v>
      </c>
      <c r="M248" s="769" t="s">
        <v>493</v>
      </c>
      <c r="N248" s="770" t="s">
        <v>19</v>
      </c>
      <c r="O248" s="770" t="s">
        <v>494</v>
      </c>
      <c r="P248" s="770" t="s">
        <v>495</v>
      </c>
      <c r="Q248" s="770" t="s">
        <v>514</v>
      </c>
      <c r="R248" s="770" t="s">
        <v>497</v>
      </c>
      <c r="S248" s="770">
        <v>2019.0</v>
      </c>
      <c r="T248" s="771">
        <v>2290.832861</v>
      </c>
      <c r="U248" s="771">
        <v>2816.992408</v>
      </c>
      <c r="V248" s="772">
        <v>1855.752111</v>
      </c>
      <c r="X248" s="769" t="s">
        <v>496</v>
      </c>
      <c r="Y248" s="770" t="s">
        <v>494</v>
      </c>
      <c r="Z248" s="770" t="s">
        <v>509</v>
      </c>
      <c r="AA248" s="770" t="s">
        <v>34</v>
      </c>
      <c r="AB248" s="770" t="s">
        <v>493</v>
      </c>
      <c r="AC248" s="770" t="s">
        <v>103</v>
      </c>
      <c r="AD248" s="770" t="s">
        <v>501</v>
      </c>
      <c r="AE248" s="784" t="s">
        <v>502</v>
      </c>
      <c r="AF248" s="771">
        <v>383.4652698</v>
      </c>
      <c r="AG248" s="771">
        <v>301.7886921</v>
      </c>
      <c r="AH248" s="771">
        <v>486.6407061</v>
      </c>
      <c r="AI248" s="772" t="s">
        <v>233</v>
      </c>
      <c r="AK248" s="769" t="s">
        <v>496</v>
      </c>
      <c r="AL248" s="770" t="s">
        <v>494</v>
      </c>
      <c r="AM248" s="770" t="s">
        <v>509</v>
      </c>
      <c r="AN248" s="770" t="s">
        <v>34</v>
      </c>
      <c r="AO248" s="770" t="s">
        <v>493</v>
      </c>
      <c r="AP248" s="770" t="s">
        <v>504</v>
      </c>
      <c r="AQ248" s="770" t="s">
        <v>501</v>
      </c>
      <c r="AR248" s="784" t="s">
        <v>502</v>
      </c>
      <c r="AS248" s="771">
        <v>7667.338262</v>
      </c>
      <c r="AT248" s="771">
        <v>6034.225701</v>
      </c>
      <c r="AU248" s="771">
        <v>9730.317712</v>
      </c>
      <c r="AV248" s="772" t="s">
        <v>233</v>
      </c>
      <c r="AW248" s="714"/>
    </row>
    <row r="249">
      <c r="A249" s="761"/>
      <c r="B249" s="769" t="s">
        <v>493</v>
      </c>
      <c r="C249" s="770" t="s">
        <v>19</v>
      </c>
      <c r="D249" s="770" t="s">
        <v>494</v>
      </c>
      <c r="E249" s="770" t="s">
        <v>505</v>
      </c>
      <c r="F249" s="770" t="s">
        <v>514</v>
      </c>
      <c r="G249" s="770" t="s">
        <v>103</v>
      </c>
      <c r="H249" s="770">
        <v>2019.0</v>
      </c>
      <c r="I249" s="771">
        <v>18123.89347</v>
      </c>
      <c r="J249" s="771">
        <v>22283.7534</v>
      </c>
      <c r="K249" s="772">
        <v>14683.14098</v>
      </c>
      <c r="M249" s="769" t="s">
        <v>493</v>
      </c>
      <c r="N249" s="770" t="s">
        <v>19</v>
      </c>
      <c r="O249" s="770" t="s">
        <v>494</v>
      </c>
      <c r="P249" s="770" t="s">
        <v>505</v>
      </c>
      <c r="Q249" s="770" t="s">
        <v>514</v>
      </c>
      <c r="R249" s="770" t="s">
        <v>497</v>
      </c>
      <c r="S249" s="770">
        <v>2019.0</v>
      </c>
      <c r="T249" s="771">
        <v>120904.1755</v>
      </c>
      <c r="U249" s="771">
        <v>148654.5281</v>
      </c>
      <c r="V249" s="772">
        <v>97950.97595</v>
      </c>
      <c r="X249" s="769" t="s">
        <v>496</v>
      </c>
      <c r="Y249" s="770" t="s">
        <v>494</v>
      </c>
      <c r="Z249" s="770" t="s">
        <v>513</v>
      </c>
      <c r="AA249" s="770" t="s">
        <v>34</v>
      </c>
      <c r="AB249" s="770" t="s">
        <v>493</v>
      </c>
      <c r="AC249" s="770" t="s">
        <v>103</v>
      </c>
      <c r="AD249" s="770" t="s">
        <v>501</v>
      </c>
      <c r="AE249" s="784" t="s">
        <v>502</v>
      </c>
      <c r="AF249" s="771">
        <v>5408.39386</v>
      </c>
      <c r="AG249" s="771">
        <v>4300.872882</v>
      </c>
      <c r="AH249" s="771">
        <v>6804.939453</v>
      </c>
      <c r="AI249" s="772" t="s">
        <v>233</v>
      </c>
      <c r="AK249" s="769" t="s">
        <v>496</v>
      </c>
      <c r="AL249" s="770" t="s">
        <v>494</v>
      </c>
      <c r="AM249" s="770" t="s">
        <v>513</v>
      </c>
      <c r="AN249" s="770" t="s">
        <v>34</v>
      </c>
      <c r="AO249" s="770" t="s">
        <v>493</v>
      </c>
      <c r="AP249" s="770" t="s">
        <v>504</v>
      </c>
      <c r="AQ249" s="770" t="s">
        <v>501</v>
      </c>
      <c r="AR249" s="784" t="s">
        <v>502</v>
      </c>
      <c r="AS249" s="771">
        <v>1286.059774</v>
      </c>
      <c r="AT249" s="771">
        <v>1022.702812</v>
      </c>
      <c r="AU249" s="771">
        <v>1618.143782</v>
      </c>
      <c r="AV249" s="772" t="s">
        <v>233</v>
      </c>
      <c r="AW249" s="714"/>
    </row>
    <row r="250">
      <c r="A250" s="761"/>
      <c r="B250" s="769" t="s">
        <v>493</v>
      </c>
      <c r="C250" s="770" t="s">
        <v>19</v>
      </c>
      <c r="D250" s="770" t="s">
        <v>494</v>
      </c>
      <c r="E250" s="770" t="s">
        <v>508</v>
      </c>
      <c r="F250" s="770" t="s">
        <v>514</v>
      </c>
      <c r="G250" s="770" t="s">
        <v>103</v>
      </c>
      <c r="H250" s="770">
        <v>2019.0</v>
      </c>
      <c r="I250" s="771">
        <v>24356.01256</v>
      </c>
      <c r="J250" s="771">
        <v>30151.80919</v>
      </c>
      <c r="K250" s="772">
        <v>19556.24045</v>
      </c>
      <c r="M250" s="769" t="s">
        <v>493</v>
      </c>
      <c r="N250" s="770" t="s">
        <v>19</v>
      </c>
      <c r="O250" s="770" t="s">
        <v>494</v>
      </c>
      <c r="P250" s="770" t="s">
        <v>508</v>
      </c>
      <c r="Q250" s="770" t="s">
        <v>514</v>
      </c>
      <c r="R250" s="770" t="s">
        <v>497</v>
      </c>
      <c r="S250" s="770">
        <v>2019.0</v>
      </c>
      <c r="T250" s="771">
        <v>3583.001716</v>
      </c>
      <c r="U250" s="771">
        <v>4435.618672</v>
      </c>
      <c r="V250" s="772">
        <v>2876.909467</v>
      </c>
      <c r="X250" s="769" t="s">
        <v>514</v>
      </c>
      <c r="Y250" s="770" t="s">
        <v>494</v>
      </c>
      <c r="Z250" s="770" t="s">
        <v>499</v>
      </c>
      <c r="AA250" s="770" t="s">
        <v>34</v>
      </c>
      <c r="AB250" s="770" t="s">
        <v>493</v>
      </c>
      <c r="AC250" s="770" t="s">
        <v>103</v>
      </c>
      <c r="AD250" s="770" t="s">
        <v>501</v>
      </c>
      <c r="AE250" s="784" t="s">
        <v>502</v>
      </c>
      <c r="AF250" s="771">
        <v>1971.471576</v>
      </c>
      <c r="AG250" s="771">
        <v>1561.550049</v>
      </c>
      <c r="AH250" s="771">
        <v>2482.198419</v>
      </c>
      <c r="AI250" s="772" t="s">
        <v>233</v>
      </c>
      <c r="AK250" s="769" t="s">
        <v>514</v>
      </c>
      <c r="AL250" s="770" t="s">
        <v>494</v>
      </c>
      <c r="AM250" s="770" t="s">
        <v>499</v>
      </c>
      <c r="AN250" s="770" t="s">
        <v>34</v>
      </c>
      <c r="AO250" s="770" t="s">
        <v>493</v>
      </c>
      <c r="AP250" s="770" t="s">
        <v>504</v>
      </c>
      <c r="AQ250" s="770" t="s">
        <v>501</v>
      </c>
      <c r="AR250" s="784" t="s">
        <v>502</v>
      </c>
      <c r="AS250" s="771">
        <v>116635.188</v>
      </c>
      <c r="AT250" s="771">
        <v>92383.6213</v>
      </c>
      <c r="AU250" s="771">
        <v>146850.5469</v>
      </c>
      <c r="AV250" s="772" t="s">
        <v>233</v>
      </c>
      <c r="AW250" s="714"/>
    </row>
    <row r="251">
      <c r="A251" s="761"/>
      <c r="B251" s="769" t="s">
        <v>493</v>
      </c>
      <c r="C251" s="770" t="s">
        <v>19</v>
      </c>
      <c r="D251" s="770" t="s">
        <v>494</v>
      </c>
      <c r="E251" s="770" t="s">
        <v>512</v>
      </c>
      <c r="F251" s="770" t="s">
        <v>514</v>
      </c>
      <c r="G251" s="770" t="s">
        <v>103</v>
      </c>
      <c r="H251" s="770">
        <v>2019.0</v>
      </c>
      <c r="I251" s="771">
        <v>5382.394896</v>
      </c>
      <c r="J251" s="771">
        <v>6725.423337</v>
      </c>
      <c r="K251" s="772">
        <v>4346.614416</v>
      </c>
      <c r="M251" s="769" t="s">
        <v>493</v>
      </c>
      <c r="N251" s="770" t="s">
        <v>19</v>
      </c>
      <c r="O251" s="770" t="s">
        <v>494</v>
      </c>
      <c r="P251" s="770" t="s">
        <v>512</v>
      </c>
      <c r="Q251" s="770" t="s">
        <v>514</v>
      </c>
      <c r="R251" s="770" t="s">
        <v>497</v>
      </c>
      <c r="S251" s="770">
        <v>2019.0</v>
      </c>
      <c r="T251" s="771">
        <v>12185.49598</v>
      </c>
      <c r="U251" s="771">
        <v>15226.05097</v>
      </c>
      <c r="V251" s="772">
        <v>9840.536324</v>
      </c>
      <c r="X251" s="769" t="s">
        <v>514</v>
      </c>
      <c r="Y251" s="770" t="s">
        <v>494</v>
      </c>
      <c r="Z251" s="770" t="s">
        <v>507</v>
      </c>
      <c r="AA251" s="770" t="s">
        <v>34</v>
      </c>
      <c r="AB251" s="770" t="s">
        <v>493</v>
      </c>
      <c r="AC251" s="770" t="s">
        <v>103</v>
      </c>
      <c r="AD251" s="770" t="s">
        <v>501</v>
      </c>
      <c r="AE251" s="784" t="s">
        <v>502</v>
      </c>
      <c r="AF251" s="771">
        <v>1202.263105</v>
      </c>
      <c r="AG251" s="771">
        <v>944.4709805</v>
      </c>
      <c r="AH251" s="771">
        <v>1526.063404</v>
      </c>
      <c r="AI251" s="772" t="s">
        <v>233</v>
      </c>
      <c r="AK251" s="769" t="s">
        <v>514</v>
      </c>
      <c r="AL251" s="770" t="s">
        <v>494</v>
      </c>
      <c r="AM251" s="770" t="s">
        <v>507</v>
      </c>
      <c r="AN251" s="770" t="s">
        <v>34</v>
      </c>
      <c r="AO251" s="770" t="s">
        <v>493</v>
      </c>
      <c r="AP251" s="770" t="s">
        <v>504</v>
      </c>
      <c r="AQ251" s="770" t="s">
        <v>501</v>
      </c>
      <c r="AR251" s="784" t="s">
        <v>502</v>
      </c>
      <c r="AS251" s="771">
        <v>1502.716077</v>
      </c>
      <c r="AT251" s="771">
        <v>1180.500109</v>
      </c>
      <c r="AU251" s="771">
        <v>1907.436071</v>
      </c>
      <c r="AV251" s="772" t="s">
        <v>233</v>
      </c>
      <c r="AW251" s="714"/>
    </row>
    <row r="252">
      <c r="A252" s="761"/>
      <c r="B252" s="769" t="s">
        <v>493</v>
      </c>
      <c r="C252" s="770" t="s">
        <v>19</v>
      </c>
      <c r="D252" s="770" t="s">
        <v>494</v>
      </c>
      <c r="E252" s="770" t="s">
        <v>495</v>
      </c>
      <c r="F252" s="770" t="s">
        <v>518</v>
      </c>
      <c r="G252" s="770" t="s">
        <v>103</v>
      </c>
      <c r="H252" s="770">
        <v>2019.0</v>
      </c>
      <c r="I252" s="771">
        <v>25058.80896</v>
      </c>
      <c r="J252" s="771">
        <v>38057.05271</v>
      </c>
      <c r="K252" s="772">
        <v>14998.45826</v>
      </c>
      <c r="M252" s="769" t="s">
        <v>493</v>
      </c>
      <c r="N252" s="770" t="s">
        <v>19</v>
      </c>
      <c r="O252" s="770" t="s">
        <v>494</v>
      </c>
      <c r="P252" s="770" t="s">
        <v>495</v>
      </c>
      <c r="Q252" s="770" t="s">
        <v>518</v>
      </c>
      <c r="R252" s="770" t="s">
        <v>497</v>
      </c>
      <c r="S252" s="770">
        <v>2019.0</v>
      </c>
      <c r="T252" s="771">
        <v>751.9146754</v>
      </c>
      <c r="U252" s="771">
        <v>1141.940005</v>
      </c>
      <c r="V252" s="772">
        <v>450.0437707</v>
      </c>
      <c r="X252" s="769" t="s">
        <v>514</v>
      </c>
      <c r="Y252" s="770" t="s">
        <v>494</v>
      </c>
      <c r="Z252" s="770" t="s">
        <v>509</v>
      </c>
      <c r="AA252" s="770" t="s">
        <v>34</v>
      </c>
      <c r="AB252" s="770" t="s">
        <v>493</v>
      </c>
      <c r="AC252" s="770" t="s">
        <v>103</v>
      </c>
      <c r="AD252" s="770" t="s">
        <v>501</v>
      </c>
      <c r="AE252" s="784" t="s">
        <v>502</v>
      </c>
      <c r="AF252" s="771">
        <v>340.4576432</v>
      </c>
      <c r="AG252" s="771">
        <v>265.403686</v>
      </c>
      <c r="AH252" s="771">
        <v>437.9941016</v>
      </c>
      <c r="AI252" s="772" t="s">
        <v>233</v>
      </c>
      <c r="AK252" s="769" t="s">
        <v>514</v>
      </c>
      <c r="AL252" s="770" t="s">
        <v>494</v>
      </c>
      <c r="AM252" s="770" t="s">
        <v>509</v>
      </c>
      <c r="AN252" s="770" t="s">
        <v>34</v>
      </c>
      <c r="AO252" s="770" t="s">
        <v>493</v>
      </c>
      <c r="AP252" s="770" t="s">
        <v>504</v>
      </c>
      <c r="AQ252" s="770" t="s">
        <v>501</v>
      </c>
      <c r="AR252" s="784" t="s">
        <v>502</v>
      </c>
      <c r="AS252" s="771">
        <v>6807.406356</v>
      </c>
      <c r="AT252" s="771">
        <v>5306.712229</v>
      </c>
      <c r="AU252" s="771">
        <v>8757.635172</v>
      </c>
      <c r="AV252" s="772" t="s">
        <v>233</v>
      </c>
      <c r="AW252" s="714"/>
    </row>
    <row r="253">
      <c r="A253" s="761"/>
      <c r="B253" s="769" t="s">
        <v>493</v>
      </c>
      <c r="C253" s="770" t="s">
        <v>19</v>
      </c>
      <c r="D253" s="770" t="s">
        <v>494</v>
      </c>
      <c r="E253" s="770" t="s">
        <v>505</v>
      </c>
      <c r="F253" s="770" t="s">
        <v>518</v>
      </c>
      <c r="G253" s="770" t="s">
        <v>103</v>
      </c>
      <c r="H253" s="770">
        <v>2019.0</v>
      </c>
      <c r="I253" s="771">
        <v>584.7971654</v>
      </c>
      <c r="J253" s="771">
        <v>1100.397403</v>
      </c>
      <c r="K253" s="772">
        <v>276.7240745</v>
      </c>
      <c r="M253" s="769" t="s">
        <v>493</v>
      </c>
      <c r="N253" s="770" t="s">
        <v>19</v>
      </c>
      <c r="O253" s="770" t="s">
        <v>494</v>
      </c>
      <c r="P253" s="770" t="s">
        <v>505</v>
      </c>
      <c r="Q253" s="770" t="s">
        <v>518</v>
      </c>
      <c r="R253" s="770" t="s">
        <v>497</v>
      </c>
      <c r="S253" s="770">
        <v>2019.0</v>
      </c>
      <c r="T253" s="771">
        <v>3901.171633</v>
      </c>
      <c r="U253" s="771">
        <v>7340.731772</v>
      </c>
      <c r="V253" s="772">
        <v>1846.021447</v>
      </c>
      <c r="X253" s="769" t="s">
        <v>514</v>
      </c>
      <c r="Y253" s="770" t="s">
        <v>494</v>
      </c>
      <c r="Z253" s="770" t="s">
        <v>513</v>
      </c>
      <c r="AA253" s="770" t="s">
        <v>34</v>
      </c>
      <c r="AB253" s="770" t="s">
        <v>493</v>
      </c>
      <c r="AC253" s="770" t="s">
        <v>103</v>
      </c>
      <c r="AD253" s="770" t="s">
        <v>501</v>
      </c>
      <c r="AE253" s="784" t="s">
        <v>502</v>
      </c>
      <c r="AF253" s="771">
        <v>4812.805935</v>
      </c>
      <c r="AG253" s="771">
        <v>3817.035193</v>
      </c>
      <c r="AH253" s="771">
        <v>6059.811034</v>
      </c>
      <c r="AI253" s="772" t="s">
        <v>233</v>
      </c>
      <c r="AK253" s="769" t="s">
        <v>514</v>
      </c>
      <c r="AL253" s="770" t="s">
        <v>494</v>
      </c>
      <c r="AM253" s="770" t="s">
        <v>513</v>
      </c>
      <c r="AN253" s="770" t="s">
        <v>34</v>
      </c>
      <c r="AO253" s="770" t="s">
        <v>493</v>
      </c>
      <c r="AP253" s="770" t="s">
        <v>504</v>
      </c>
      <c r="AQ253" s="770" t="s">
        <v>501</v>
      </c>
      <c r="AR253" s="784" t="s">
        <v>502</v>
      </c>
      <c r="AS253" s="771">
        <v>1144.435164</v>
      </c>
      <c r="AT253" s="771">
        <v>907.6512446</v>
      </c>
      <c r="AU253" s="771">
        <v>1440.959999</v>
      </c>
      <c r="AV253" s="772" t="s">
        <v>233</v>
      </c>
      <c r="AW253" s="714"/>
    </row>
    <row r="254">
      <c r="A254" s="761"/>
      <c r="B254" s="769" t="s">
        <v>493</v>
      </c>
      <c r="C254" s="770" t="s">
        <v>19</v>
      </c>
      <c r="D254" s="770" t="s">
        <v>494</v>
      </c>
      <c r="E254" s="770" t="s">
        <v>508</v>
      </c>
      <c r="F254" s="770" t="s">
        <v>518</v>
      </c>
      <c r="G254" s="770" t="s">
        <v>103</v>
      </c>
      <c r="H254" s="770">
        <v>2019.0</v>
      </c>
      <c r="I254" s="771">
        <v>10890.02466</v>
      </c>
      <c r="J254" s="771">
        <v>17016.48524</v>
      </c>
      <c r="K254" s="772">
        <v>6031.423849</v>
      </c>
      <c r="M254" s="769" t="s">
        <v>493</v>
      </c>
      <c r="N254" s="770" t="s">
        <v>19</v>
      </c>
      <c r="O254" s="770" t="s">
        <v>494</v>
      </c>
      <c r="P254" s="770" t="s">
        <v>508</v>
      </c>
      <c r="Q254" s="770" t="s">
        <v>518</v>
      </c>
      <c r="R254" s="770" t="s">
        <v>497</v>
      </c>
      <c r="S254" s="770">
        <v>2019.0</v>
      </c>
      <c r="T254" s="771">
        <v>1602.02648</v>
      </c>
      <c r="U254" s="771">
        <v>2503.287255</v>
      </c>
      <c r="V254" s="772">
        <v>887.2799663</v>
      </c>
      <c r="X254" s="769" t="s">
        <v>518</v>
      </c>
      <c r="Y254" s="770" t="s">
        <v>494</v>
      </c>
      <c r="Z254" s="770" t="s">
        <v>499</v>
      </c>
      <c r="AA254" s="770" t="s">
        <v>34</v>
      </c>
      <c r="AB254" s="770" t="s">
        <v>493</v>
      </c>
      <c r="AC254" s="770" t="s">
        <v>103</v>
      </c>
      <c r="AD254" s="770" t="s">
        <v>501</v>
      </c>
      <c r="AE254" s="784" t="s">
        <v>502</v>
      </c>
      <c r="AF254" s="771">
        <v>17.45744143</v>
      </c>
      <c r="AG254" s="771">
        <v>6.907761501</v>
      </c>
      <c r="AH254" s="771">
        <v>36.86223974</v>
      </c>
      <c r="AI254" s="772" t="s">
        <v>233</v>
      </c>
      <c r="AK254" s="769" t="s">
        <v>518</v>
      </c>
      <c r="AL254" s="770" t="s">
        <v>494</v>
      </c>
      <c r="AM254" s="770" t="s">
        <v>499</v>
      </c>
      <c r="AN254" s="770" t="s">
        <v>34</v>
      </c>
      <c r="AO254" s="770" t="s">
        <v>493</v>
      </c>
      <c r="AP254" s="770" t="s">
        <v>504</v>
      </c>
      <c r="AQ254" s="770" t="s">
        <v>501</v>
      </c>
      <c r="AR254" s="784" t="s">
        <v>502</v>
      </c>
      <c r="AS254" s="771">
        <v>1032.808176</v>
      </c>
      <c r="AT254" s="771">
        <v>408.6734351</v>
      </c>
      <c r="AU254" s="771">
        <v>2180.824879</v>
      </c>
      <c r="AV254" s="772" t="s">
        <v>233</v>
      </c>
      <c r="AW254" s="714"/>
    </row>
    <row r="255">
      <c r="A255" s="761"/>
      <c r="B255" s="769" t="s">
        <v>493</v>
      </c>
      <c r="C255" s="770" t="s">
        <v>19</v>
      </c>
      <c r="D255" s="770" t="s">
        <v>494</v>
      </c>
      <c r="E255" s="770" t="s">
        <v>512</v>
      </c>
      <c r="F255" s="770" t="s">
        <v>518</v>
      </c>
      <c r="G255" s="770" t="s">
        <v>103</v>
      </c>
      <c r="H255" s="770">
        <v>2019.0</v>
      </c>
      <c r="I255" s="771">
        <v>1175.762003</v>
      </c>
      <c r="J255" s="771">
        <v>1999.578166</v>
      </c>
      <c r="K255" s="772">
        <v>539.0747261</v>
      </c>
      <c r="M255" s="769" t="s">
        <v>493</v>
      </c>
      <c r="N255" s="770" t="s">
        <v>19</v>
      </c>
      <c r="O255" s="770" t="s">
        <v>494</v>
      </c>
      <c r="P255" s="770" t="s">
        <v>512</v>
      </c>
      <c r="Q255" s="770" t="s">
        <v>518</v>
      </c>
      <c r="R255" s="770" t="s">
        <v>497</v>
      </c>
      <c r="S255" s="770">
        <v>2019.0</v>
      </c>
      <c r="T255" s="771">
        <v>2661.871422</v>
      </c>
      <c r="U255" s="771">
        <v>4526.953553</v>
      </c>
      <c r="V255" s="772">
        <v>1220.440535</v>
      </c>
      <c r="X255" s="769" t="s">
        <v>518</v>
      </c>
      <c r="Y255" s="770" t="s">
        <v>494</v>
      </c>
      <c r="Z255" s="770" t="s">
        <v>507</v>
      </c>
      <c r="AA255" s="770" t="s">
        <v>34</v>
      </c>
      <c r="AB255" s="770" t="s">
        <v>493</v>
      </c>
      <c r="AC255" s="770" t="s">
        <v>103</v>
      </c>
      <c r="AD255" s="770" t="s">
        <v>501</v>
      </c>
      <c r="AE255" s="784" t="s">
        <v>502</v>
      </c>
      <c r="AF255" s="771">
        <v>295.2342368</v>
      </c>
      <c r="AG255" s="771">
        <v>129.0214514</v>
      </c>
      <c r="AH255" s="771">
        <v>524.2326469</v>
      </c>
      <c r="AI255" s="772" t="s">
        <v>233</v>
      </c>
      <c r="AK255" s="769" t="s">
        <v>518</v>
      </c>
      <c r="AL255" s="770" t="s">
        <v>494</v>
      </c>
      <c r="AM255" s="770" t="s">
        <v>507</v>
      </c>
      <c r="AN255" s="770" t="s">
        <v>34</v>
      </c>
      <c r="AO255" s="770" t="s">
        <v>493</v>
      </c>
      <c r="AP255" s="770" t="s">
        <v>504</v>
      </c>
      <c r="AQ255" s="770" t="s">
        <v>501</v>
      </c>
      <c r="AR255" s="784" t="s">
        <v>502</v>
      </c>
      <c r="AS255" s="771">
        <v>369.0150953</v>
      </c>
      <c r="AT255" s="771">
        <v>161.2647086</v>
      </c>
      <c r="AU255" s="771">
        <v>655.2416219</v>
      </c>
      <c r="AV255" s="772" t="s">
        <v>233</v>
      </c>
      <c r="AW255" s="714"/>
    </row>
    <row r="256">
      <c r="A256" s="761"/>
      <c r="B256" s="769" t="s">
        <v>493</v>
      </c>
      <c r="C256" s="770" t="s">
        <v>19</v>
      </c>
      <c r="D256" s="770" t="s">
        <v>494</v>
      </c>
      <c r="E256" s="770" t="s">
        <v>495</v>
      </c>
      <c r="F256" s="770" t="s">
        <v>519</v>
      </c>
      <c r="G256" s="770" t="s">
        <v>103</v>
      </c>
      <c r="H256" s="770">
        <v>2019.0</v>
      </c>
      <c r="I256" s="771">
        <v>17347.00226</v>
      </c>
      <c r="J256" s="771">
        <v>21622.5287</v>
      </c>
      <c r="K256" s="772">
        <v>13883.21454</v>
      </c>
      <c r="M256" s="769" t="s">
        <v>493</v>
      </c>
      <c r="N256" s="770" t="s">
        <v>19</v>
      </c>
      <c r="O256" s="770" t="s">
        <v>494</v>
      </c>
      <c r="P256" s="770" t="s">
        <v>495</v>
      </c>
      <c r="Q256" s="770" t="s">
        <v>519</v>
      </c>
      <c r="R256" s="770" t="s">
        <v>497</v>
      </c>
      <c r="S256" s="770">
        <v>2019.0</v>
      </c>
      <c r="T256" s="771">
        <v>520.514187</v>
      </c>
      <c r="U256" s="771">
        <v>648.8056427</v>
      </c>
      <c r="V256" s="772">
        <v>416.5797652</v>
      </c>
      <c r="X256" s="769" t="s">
        <v>518</v>
      </c>
      <c r="Y256" s="770" t="s">
        <v>494</v>
      </c>
      <c r="Z256" s="770" t="s">
        <v>509</v>
      </c>
      <c r="AA256" s="770" t="s">
        <v>34</v>
      </c>
      <c r="AB256" s="770" t="s">
        <v>493</v>
      </c>
      <c r="AC256" s="770" t="s">
        <v>103</v>
      </c>
      <c r="AD256" s="770" t="s">
        <v>501</v>
      </c>
      <c r="AE256" s="784" t="s">
        <v>502</v>
      </c>
      <c r="AF256" s="771">
        <v>26.97215714</v>
      </c>
      <c r="AG256" s="771">
        <v>13.51610671</v>
      </c>
      <c r="AH256" s="771">
        <v>50.22563391</v>
      </c>
      <c r="AI256" s="772" t="s">
        <v>233</v>
      </c>
      <c r="AK256" s="769" t="s">
        <v>518</v>
      </c>
      <c r="AL256" s="770" t="s">
        <v>494</v>
      </c>
      <c r="AM256" s="770" t="s">
        <v>509</v>
      </c>
      <c r="AN256" s="770" t="s">
        <v>34</v>
      </c>
      <c r="AO256" s="770" t="s">
        <v>493</v>
      </c>
      <c r="AP256" s="770" t="s">
        <v>504</v>
      </c>
      <c r="AQ256" s="770" t="s">
        <v>501</v>
      </c>
      <c r="AR256" s="784" t="s">
        <v>502</v>
      </c>
      <c r="AS256" s="771">
        <v>539.3047788</v>
      </c>
      <c r="AT256" s="771">
        <v>270.2527981</v>
      </c>
      <c r="AU256" s="771">
        <v>1004.255027</v>
      </c>
      <c r="AV256" s="772" t="s">
        <v>233</v>
      </c>
      <c r="AW256" s="714"/>
    </row>
    <row r="257">
      <c r="A257" s="761"/>
      <c r="B257" s="769" t="s">
        <v>493</v>
      </c>
      <c r="C257" s="770" t="s">
        <v>19</v>
      </c>
      <c r="D257" s="770" t="s">
        <v>494</v>
      </c>
      <c r="E257" s="770" t="s">
        <v>505</v>
      </c>
      <c r="F257" s="770" t="s">
        <v>519</v>
      </c>
      <c r="G257" s="770" t="s">
        <v>103</v>
      </c>
      <c r="H257" s="770">
        <v>2019.0</v>
      </c>
      <c r="I257" s="771">
        <v>14735.82198</v>
      </c>
      <c r="J257" s="771">
        <v>18361.19831</v>
      </c>
      <c r="K257" s="772">
        <v>11762.37333</v>
      </c>
      <c r="M257" s="769" t="s">
        <v>493</v>
      </c>
      <c r="N257" s="770" t="s">
        <v>19</v>
      </c>
      <c r="O257" s="770" t="s">
        <v>494</v>
      </c>
      <c r="P257" s="770" t="s">
        <v>505</v>
      </c>
      <c r="Q257" s="770" t="s">
        <v>519</v>
      </c>
      <c r="R257" s="770" t="s">
        <v>497</v>
      </c>
      <c r="S257" s="770">
        <v>2019.0</v>
      </c>
      <c r="T257" s="771">
        <v>98302.40995</v>
      </c>
      <c r="U257" s="771">
        <v>122487.2318</v>
      </c>
      <c r="V257" s="772">
        <v>78466.58616</v>
      </c>
      <c r="X257" s="769" t="s">
        <v>518</v>
      </c>
      <c r="Y257" s="770" t="s">
        <v>494</v>
      </c>
      <c r="Z257" s="770" t="s">
        <v>513</v>
      </c>
      <c r="AA257" s="770" t="s">
        <v>34</v>
      </c>
      <c r="AB257" s="770" t="s">
        <v>493</v>
      </c>
      <c r="AC257" s="770" t="s">
        <v>103</v>
      </c>
      <c r="AD257" s="770" t="s">
        <v>501</v>
      </c>
      <c r="AE257" s="784" t="s">
        <v>502</v>
      </c>
      <c r="AF257" s="771">
        <v>531.9093041</v>
      </c>
      <c r="AG257" s="771">
        <v>264.728918</v>
      </c>
      <c r="AH257" s="771">
        <v>908.4370604</v>
      </c>
      <c r="AI257" s="772" t="s">
        <v>233</v>
      </c>
      <c r="AK257" s="769" t="s">
        <v>518</v>
      </c>
      <c r="AL257" s="770" t="s">
        <v>494</v>
      </c>
      <c r="AM257" s="770" t="s">
        <v>513</v>
      </c>
      <c r="AN257" s="770" t="s">
        <v>34</v>
      </c>
      <c r="AO257" s="770" t="s">
        <v>493</v>
      </c>
      <c r="AP257" s="770" t="s">
        <v>504</v>
      </c>
      <c r="AQ257" s="770" t="s">
        <v>501</v>
      </c>
      <c r="AR257" s="784" t="s">
        <v>502</v>
      </c>
      <c r="AS257" s="771">
        <v>126.4824969</v>
      </c>
      <c r="AT257" s="771">
        <v>62.94978163</v>
      </c>
      <c r="AU257" s="771">
        <v>216.0168788</v>
      </c>
      <c r="AV257" s="772" t="s">
        <v>233</v>
      </c>
      <c r="AW257" s="714"/>
    </row>
    <row r="258">
      <c r="A258" s="761"/>
      <c r="B258" s="769" t="s">
        <v>493</v>
      </c>
      <c r="C258" s="770" t="s">
        <v>19</v>
      </c>
      <c r="D258" s="770" t="s">
        <v>494</v>
      </c>
      <c r="E258" s="770" t="s">
        <v>508</v>
      </c>
      <c r="F258" s="770" t="s">
        <v>519</v>
      </c>
      <c r="G258" s="770" t="s">
        <v>103</v>
      </c>
      <c r="H258" s="770">
        <v>2019.0</v>
      </c>
      <c r="I258" s="771">
        <v>297.4094461</v>
      </c>
      <c r="J258" s="771">
        <v>512.0223339</v>
      </c>
      <c r="K258" s="772">
        <v>167.769917</v>
      </c>
      <c r="M258" s="769" t="s">
        <v>493</v>
      </c>
      <c r="N258" s="770" t="s">
        <v>19</v>
      </c>
      <c r="O258" s="770" t="s">
        <v>494</v>
      </c>
      <c r="P258" s="770" t="s">
        <v>508</v>
      </c>
      <c r="Q258" s="770" t="s">
        <v>519</v>
      </c>
      <c r="R258" s="770" t="s">
        <v>497</v>
      </c>
      <c r="S258" s="770">
        <v>2019.0</v>
      </c>
      <c r="T258" s="771">
        <v>43.75176573</v>
      </c>
      <c r="U258" s="771">
        <v>75.32336817</v>
      </c>
      <c r="V258" s="772">
        <v>24.6805547</v>
      </c>
      <c r="X258" s="769" t="s">
        <v>519</v>
      </c>
      <c r="Y258" s="770" t="s">
        <v>494</v>
      </c>
      <c r="Z258" s="770" t="s">
        <v>499</v>
      </c>
      <c r="AA258" s="770" t="s">
        <v>34</v>
      </c>
      <c r="AB258" s="770" t="s">
        <v>493</v>
      </c>
      <c r="AC258" s="770" t="s">
        <v>103</v>
      </c>
      <c r="AD258" s="770" t="s">
        <v>501</v>
      </c>
      <c r="AE258" s="784" t="s">
        <v>502</v>
      </c>
      <c r="AF258" s="771">
        <v>1609.344906</v>
      </c>
      <c r="AG258" s="771">
        <v>1241.445936</v>
      </c>
      <c r="AH258" s="771">
        <v>2048.629437</v>
      </c>
      <c r="AI258" s="772" t="s">
        <v>233</v>
      </c>
      <c r="AK258" s="769" t="s">
        <v>519</v>
      </c>
      <c r="AL258" s="770" t="s">
        <v>494</v>
      </c>
      <c r="AM258" s="770" t="s">
        <v>499</v>
      </c>
      <c r="AN258" s="770" t="s">
        <v>34</v>
      </c>
      <c r="AO258" s="770" t="s">
        <v>493</v>
      </c>
      <c r="AP258" s="770" t="s">
        <v>504</v>
      </c>
      <c r="AQ258" s="770" t="s">
        <v>501</v>
      </c>
      <c r="AR258" s="784" t="s">
        <v>502</v>
      </c>
      <c r="AS258" s="771">
        <v>95211.23607</v>
      </c>
      <c r="AT258" s="771">
        <v>73445.78634</v>
      </c>
      <c r="AU258" s="771">
        <v>121199.9617</v>
      </c>
      <c r="AV258" s="772" t="s">
        <v>233</v>
      </c>
      <c r="AW258" s="714"/>
    </row>
    <row r="259">
      <c r="A259" s="761"/>
      <c r="B259" s="769" t="s">
        <v>493</v>
      </c>
      <c r="C259" s="770" t="s">
        <v>19</v>
      </c>
      <c r="D259" s="770" t="s">
        <v>494</v>
      </c>
      <c r="E259" s="770" t="s">
        <v>512</v>
      </c>
      <c r="F259" s="770" t="s">
        <v>519</v>
      </c>
      <c r="G259" s="770" t="s">
        <v>103</v>
      </c>
      <c r="H259" s="770">
        <v>2019.0</v>
      </c>
      <c r="I259" s="771">
        <v>2253.178095</v>
      </c>
      <c r="J259" s="771">
        <v>3098.094377</v>
      </c>
      <c r="K259" s="772">
        <v>1559.685343</v>
      </c>
      <c r="M259" s="769" t="s">
        <v>493</v>
      </c>
      <c r="N259" s="770" t="s">
        <v>19</v>
      </c>
      <c r="O259" s="770" t="s">
        <v>494</v>
      </c>
      <c r="P259" s="770" t="s">
        <v>512</v>
      </c>
      <c r="Q259" s="770" t="s">
        <v>519</v>
      </c>
      <c r="R259" s="770" t="s">
        <v>497</v>
      </c>
      <c r="S259" s="770">
        <v>2019.0</v>
      </c>
      <c r="T259" s="771">
        <v>5101.092197</v>
      </c>
      <c r="U259" s="771">
        <v>7013.944034</v>
      </c>
      <c r="V259" s="772">
        <v>3531.056312</v>
      </c>
      <c r="X259" s="769" t="s">
        <v>519</v>
      </c>
      <c r="Y259" s="770" t="s">
        <v>494</v>
      </c>
      <c r="Z259" s="770" t="s">
        <v>507</v>
      </c>
      <c r="AA259" s="770" t="s">
        <v>34</v>
      </c>
      <c r="AB259" s="770" t="s">
        <v>493</v>
      </c>
      <c r="AC259" s="770" t="s">
        <v>103</v>
      </c>
      <c r="AD259" s="770" t="s">
        <v>501</v>
      </c>
      <c r="AE259" s="784" t="s">
        <v>502</v>
      </c>
      <c r="AF259" s="771">
        <v>8.62938334</v>
      </c>
      <c r="AG259" s="771">
        <v>4.108369119</v>
      </c>
      <c r="AH259" s="771">
        <v>15.06995749</v>
      </c>
      <c r="AI259" s="772" t="s">
        <v>233</v>
      </c>
      <c r="AK259" s="769" t="s">
        <v>519</v>
      </c>
      <c r="AL259" s="770" t="s">
        <v>494</v>
      </c>
      <c r="AM259" s="770" t="s">
        <v>507</v>
      </c>
      <c r="AN259" s="770" t="s">
        <v>34</v>
      </c>
      <c r="AO259" s="770" t="s">
        <v>493</v>
      </c>
      <c r="AP259" s="770" t="s">
        <v>504</v>
      </c>
      <c r="AQ259" s="770" t="s">
        <v>501</v>
      </c>
      <c r="AR259" s="784" t="s">
        <v>502</v>
      </c>
      <c r="AS259" s="771">
        <v>10.78591951</v>
      </c>
      <c r="AT259" s="771">
        <v>5.135075925</v>
      </c>
      <c r="AU259" s="771">
        <v>18.8360329</v>
      </c>
      <c r="AV259" s="772" t="s">
        <v>233</v>
      </c>
      <c r="AW259" s="714"/>
    </row>
    <row r="260">
      <c r="A260" s="761"/>
      <c r="B260" s="769" t="s">
        <v>493</v>
      </c>
      <c r="C260" s="770" t="s">
        <v>19</v>
      </c>
      <c r="D260" s="770" t="s">
        <v>494</v>
      </c>
      <c r="E260" s="770" t="s">
        <v>495</v>
      </c>
      <c r="F260" s="770" t="s">
        <v>521</v>
      </c>
      <c r="G260" s="770" t="s">
        <v>103</v>
      </c>
      <c r="H260" s="770">
        <v>2019.0</v>
      </c>
      <c r="I260" s="771">
        <v>2382.051646</v>
      </c>
      <c r="J260" s="771">
        <v>5599.260403</v>
      </c>
      <c r="K260" s="772">
        <v>716.2014588</v>
      </c>
      <c r="M260" s="769" t="s">
        <v>493</v>
      </c>
      <c r="N260" s="770" t="s">
        <v>19</v>
      </c>
      <c r="O260" s="770" t="s">
        <v>494</v>
      </c>
      <c r="P260" s="770" t="s">
        <v>495</v>
      </c>
      <c r="Q260" s="770" t="s">
        <v>521</v>
      </c>
      <c r="R260" s="770" t="s">
        <v>497</v>
      </c>
      <c r="S260" s="770">
        <v>2019.0</v>
      </c>
      <c r="T260" s="771">
        <v>71.47584681</v>
      </c>
      <c r="U260" s="771">
        <v>168.0114197</v>
      </c>
      <c r="V260" s="772">
        <v>21.49034251</v>
      </c>
      <c r="X260" s="769" t="s">
        <v>519</v>
      </c>
      <c r="Y260" s="770" t="s">
        <v>494</v>
      </c>
      <c r="Z260" s="770" t="s">
        <v>509</v>
      </c>
      <c r="AA260" s="770" t="s">
        <v>34</v>
      </c>
      <c r="AB260" s="770" t="s">
        <v>493</v>
      </c>
      <c r="AC260" s="770" t="s">
        <v>103</v>
      </c>
      <c r="AD260" s="770" t="s">
        <v>501</v>
      </c>
      <c r="AE260" s="784" t="s">
        <v>502</v>
      </c>
      <c r="AF260" s="771">
        <v>128.6627436</v>
      </c>
      <c r="AG260" s="771">
        <v>81.51786115</v>
      </c>
      <c r="AH260" s="771">
        <v>186.8908179</v>
      </c>
      <c r="AI260" s="772" t="s">
        <v>233</v>
      </c>
      <c r="AK260" s="769" t="s">
        <v>519</v>
      </c>
      <c r="AL260" s="770" t="s">
        <v>494</v>
      </c>
      <c r="AM260" s="770" t="s">
        <v>509</v>
      </c>
      <c r="AN260" s="770" t="s">
        <v>34</v>
      </c>
      <c r="AO260" s="770" t="s">
        <v>493</v>
      </c>
      <c r="AP260" s="770" t="s">
        <v>504</v>
      </c>
      <c r="AQ260" s="770" t="s">
        <v>501</v>
      </c>
      <c r="AR260" s="784" t="s">
        <v>502</v>
      </c>
      <c r="AS260" s="771">
        <v>2572.594847</v>
      </c>
      <c r="AT260" s="771">
        <v>1629.939046</v>
      </c>
      <c r="AU260" s="771">
        <v>3736.85763</v>
      </c>
      <c r="AV260" s="772" t="s">
        <v>233</v>
      </c>
      <c r="AW260" s="714"/>
    </row>
    <row r="261">
      <c r="A261" s="761"/>
      <c r="B261" s="769" t="s">
        <v>493</v>
      </c>
      <c r="C261" s="770" t="s">
        <v>19</v>
      </c>
      <c r="D261" s="770" t="s">
        <v>494</v>
      </c>
      <c r="E261" s="770" t="s">
        <v>505</v>
      </c>
      <c r="F261" s="770" t="s">
        <v>521</v>
      </c>
      <c r="G261" s="770" t="s">
        <v>103</v>
      </c>
      <c r="H261" s="770">
        <v>2019.0</v>
      </c>
      <c r="I261" s="771">
        <v>0.0</v>
      </c>
      <c r="J261" s="771">
        <v>0.0</v>
      </c>
      <c r="K261" s="772">
        <v>0.0</v>
      </c>
      <c r="M261" s="769" t="s">
        <v>493</v>
      </c>
      <c r="N261" s="770" t="s">
        <v>19</v>
      </c>
      <c r="O261" s="770" t="s">
        <v>494</v>
      </c>
      <c r="P261" s="770" t="s">
        <v>505</v>
      </c>
      <c r="Q261" s="770" t="s">
        <v>521</v>
      </c>
      <c r="R261" s="770" t="s">
        <v>497</v>
      </c>
      <c r="S261" s="770">
        <v>2019.0</v>
      </c>
      <c r="T261" s="771">
        <v>0.0</v>
      </c>
      <c r="U261" s="771">
        <v>0.0</v>
      </c>
      <c r="V261" s="772">
        <v>0.0</v>
      </c>
      <c r="X261" s="769" t="s">
        <v>519</v>
      </c>
      <c r="Y261" s="770" t="s">
        <v>494</v>
      </c>
      <c r="Z261" s="770" t="s">
        <v>513</v>
      </c>
      <c r="AA261" s="770" t="s">
        <v>34</v>
      </c>
      <c r="AB261" s="770" t="s">
        <v>493</v>
      </c>
      <c r="AC261" s="770" t="s">
        <v>103</v>
      </c>
      <c r="AD261" s="770" t="s">
        <v>501</v>
      </c>
      <c r="AE261" s="784" t="s">
        <v>502</v>
      </c>
      <c r="AF261" s="771">
        <v>1748.086437</v>
      </c>
      <c r="AG261" s="771">
        <v>1353.59006</v>
      </c>
      <c r="AH261" s="771">
        <v>2221.80053</v>
      </c>
      <c r="AI261" s="772" t="s">
        <v>233</v>
      </c>
      <c r="AK261" s="769" t="s">
        <v>519</v>
      </c>
      <c r="AL261" s="770" t="s">
        <v>494</v>
      </c>
      <c r="AM261" s="770" t="s">
        <v>513</v>
      </c>
      <c r="AN261" s="770" t="s">
        <v>34</v>
      </c>
      <c r="AO261" s="770" t="s">
        <v>493</v>
      </c>
      <c r="AP261" s="770" t="s">
        <v>504</v>
      </c>
      <c r="AQ261" s="770" t="s">
        <v>501</v>
      </c>
      <c r="AR261" s="784" t="s">
        <v>502</v>
      </c>
      <c r="AS261" s="771">
        <v>415.6767622</v>
      </c>
      <c r="AT261" s="771">
        <v>321.8696294</v>
      </c>
      <c r="AU261" s="771">
        <v>528.3210434</v>
      </c>
      <c r="AV261" s="772" t="s">
        <v>233</v>
      </c>
      <c r="AW261" s="714"/>
    </row>
    <row r="262">
      <c r="A262" s="761"/>
      <c r="B262" s="769" t="s">
        <v>493</v>
      </c>
      <c r="C262" s="770" t="s">
        <v>19</v>
      </c>
      <c r="D262" s="770" t="s">
        <v>494</v>
      </c>
      <c r="E262" s="770" t="s">
        <v>508</v>
      </c>
      <c r="F262" s="770" t="s">
        <v>521</v>
      </c>
      <c r="G262" s="770" t="s">
        <v>103</v>
      </c>
      <c r="H262" s="770">
        <v>2019.0</v>
      </c>
      <c r="I262" s="771">
        <v>624.7785238</v>
      </c>
      <c r="J262" s="771">
        <v>1490.818739</v>
      </c>
      <c r="K262" s="772">
        <v>177.9946787</v>
      </c>
      <c r="M262" s="769" t="s">
        <v>493</v>
      </c>
      <c r="N262" s="770" t="s">
        <v>19</v>
      </c>
      <c r="O262" s="770" t="s">
        <v>494</v>
      </c>
      <c r="P262" s="770" t="s">
        <v>508</v>
      </c>
      <c r="Q262" s="770" t="s">
        <v>521</v>
      </c>
      <c r="R262" s="770" t="s">
        <v>497</v>
      </c>
      <c r="S262" s="770">
        <v>2019.0</v>
      </c>
      <c r="T262" s="771">
        <v>91.91087899</v>
      </c>
      <c r="U262" s="771">
        <v>219.3136536</v>
      </c>
      <c r="V262" s="772">
        <v>26.18471467</v>
      </c>
      <c r="X262" s="769" t="s">
        <v>521</v>
      </c>
      <c r="Y262" s="770" t="s">
        <v>494</v>
      </c>
      <c r="Z262" s="770" t="s">
        <v>499</v>
      </c>
      <c r="AA262" s="770" t="s">
        <v>34</v>
      </c>
      <c r="AB262" s="770" t="s">
        <v>493</v>
      </c>
      <c r="AC262" s="770" t="s">
        <v>103</v>
      </c>
      <c r="AD262" s="770" t="s">
        <v>501</v>
      </c>
      <c r="AE262" s="784" t="s">
        <v>502</v>
      </c>
      <c r="AF262" s="771">
        <v>0.0</v>
      </c>
      <c r="AG262" s="771">
        <v>0.0</v>
      </c>
      <c r="AH262" s="771">
        <v>0.0</v>
      </c>
      <c r="AI262" s="772" t="s">
        <v>233</v>
      </c>
      <c r="AK262" s="769" t="s">
        <v>521</v>
      </c>
      <c r="AL262" s="770" t="s">
        <v>494</v>
      </c>
      <c r="AM262" s="770" t="s">
        <v>499</v>
      </c>
      <c r="AN262" s="770" t="s">
        <v>34</v>
      </c>
      <c r="AO262" s="770" t="s">
        <v>493</v>
      </c>
      <c r="AP262" s="770" t="s">
        <v>504</v>
      </c>
      <c r="AQ262" s="770" t="s">
        <v>501</v>
      </c>
      <c r="AR262" s="784" t="s">
        <v>502</v>
      </c>
      <c r="AS262" s="771">
        <v>0.0</v>
      </c>
      <c r="AT262" s="771">
        <v>0.0</v>
      </c>
      <c r="AU262" s="771">
        <v>0.0</v>
      </c>
      <c r="AV262" s="772" t="s">
        <v>233</v>
      </c>
      <c r="AW262" s="714"/>
    </row>
    <row r="263">
      <c r="A263" s="761"/>
      <c r="B263" s="769" t="s">
        <v>493</v>
      </c>
      <c r="C263" s="770" t="s">
        <v>19</v>
      </c>
      <c r="D263" s="770" t="s">
        <v>494</v>
      </c>
      <c r="E263" s="770" t="s">
        <v>512</v>
      </c>
      <c r="F263" s="770" t="s">
        <v>521</v>
      </c>
      <c r="G263" s="770" t="s">
        <v>103</v>
      </c>
      <c r="H263" s="770">
        <v>2019.0</v>
      </c>
      <c r="I263" s="771">
        <v>0.0</v>
      </c>
      <c r="J263" s="771">
        <v>0.0</v>
      </c>
      <c r="K263" s="772">
        <v>0.0</v>
      </c>
      <c r="M263" s="769" t="s">
        <v>493</v>
      </c>
      <c r="N263" s="770" t="s">
        <v>19</v>
      </c>
      <c r="O263" s="770" t="s">
        <v>494</v>
      </c>
      <c r="P263" s="770" t="s">
        <v>512</v>
      </c>
      <c r="Q263" s="770" t="s">
        <v>521</v>
      </c>
      <c r="R263" s="770" t="s">
        <v>497</v>
      </c>
      <c r="S263" s="770">
        <v>2019.0</v>
      </c>
      <c r="T263" s="771">
        <v>0.0</v>
      </c>
      <c r="U263" s="771">
        <v>0.0</v>
      </c>
      <c r="V263" s="772">
        <v>0.0</v>
      </c>
      <c r="X263" s="769" t="s">
        <v>521</v>
      </c>
      <c r="Y263" s="770" t="s">
        <v>494</v>
      </c>
      <c r="Z263" s="770" t="s">
        <v>507</v>
      </c>
      <c r="AA263" s="770" t="s">
        <v>34</v>
      </c>
      <c r="AB263" s="770" t="s">
        <v>493</v>
      </c>
      <c r="AC263" s="770" t="s">
        <v>103</v>
      </c>
      <c r="AD263" s="770" t="s">
        <v>501</v>
      </c>
      <c r="AE263" s="784" t="s">
        <v>502</v>
      </c>
      <c r="AF263" s="771">
        <v>2.585096967</v>
      </c>
      <c r="AG263" s="771">
        <v>0.7100461409</v>
      </c>
      <c r="AH263" s="771">
        <v>6.378965274</v>
      </c>
      <c r="AI263" s="772" t="s">
        <v>233</v>
      </c>
      <c r="AK263" s="769" t="s">
        <v>521</v>
      </c>
      <c r="AL263" s="770" t="s">
        <v>494</v>
      </c>
      <c r="AM263" s="770" t="s">
        <v>507</v>
      </c>
      <c r="AN263" s="770" t="s">
        <v>34</v>
      </c>
      <c r="AO263" s="770" t="s">
        <v>493</v>
      </c>
      <c r="AP263" s="770" t="s">
        <v>504</v>
      </c>
      <c r="AQ263" s="770" t="s">
        <v>501</v>
      </c>
      <c r="AR263" s="784" t="s">
        <v>502</v>
      </c>
      <c r="AS263" s="771">
        <v>3.231128658</v>
      </c>
      <c r="AT263" s="771">
        <v>0.8874910551</v>
      </c>
      <c r="AU263" s="771">
        <v>7.973108078</v>
      </c>
      <c r="AV263" s="772" t="s">
        <v>233</v>
      </c>
      <c r="AW263" s="714"/>
    </row>
    <row r="264">
      <c r="A264" s="761"/>
      <c r="B264" s="769" t="s">
        <v>493</v>
      </c>
      <c r="C264" s="770" t="s">
        <v>19</v>
      </c>
      <c r="D264" s="770" t="s">
        <v>494</v>
      </c>
      <c r="E264" s="770" t="s">
        <v>495</v>
      </c>
      <c r="F264" s="770" t="s">
        <v>523</v>
      </c>
      <c r="G264" s="770" t="s">
        <v>103</v>
      </c>
      <c r="H264" s="770">
        <v>2019.0</v>
      </c>
      <c r="I264" s="771">
        <v>1797.586184</v>
      </c>
      <c r="J264" s="771">
        <v>2867.346605</v>
      </c>
      <c r="K264" s="772">
        <v>1023.893177</v>
      </c>
      <c r="M264" s="769" t="s">
        <v>493</v>
      </c>
      <c r="N264" s="770" t="s">
        <v>19</v>
      </c>
      <c r="O264" s="770" t="s">
        <v>494</v>
      </c>
      <c r="P264" s="770" t="s">
        <v>495</v>
      </c>
      <c r="Q264" s="770" t="s">
        <v>523</v>
      </c>
      <c r="R264" s="770" t="s">
        <v>497</v>
      </c>
      <c r="S264" s="770">
        <v>2019.0</v>
      </c>
      <c r="T264" s="771">
        <v>53.93837491</v>
      </c>
      <c r="U264" s="771">
        <v>86.0376084</v>
      </c>
      <c r="V264" s="772">
        <v>30.72294085</v>
      </c>
      <c r="X264" s="769" t="s">
        <v>521</v>
      </c>
      <c r="Y264" s="770" t="s">
        <v>494</v>
      </c>
      <c r="Z264" s="770" t="s">
        <v>509</v>
      </c>
      <c r="AA264" s="770" t="s">
        <v>34</v>
      </c>
      <c r="AB264" s="770" t="s">
        <v>493</v>
      </c>
      <c r="AC264" s="770" t="s">
        <v>103</v>
      </c>
      <c r="AD264" s="770" t="s">
        <v>501</v>
      </c>
      <c r="AE264" s="784" t="s">
        <v>502</v>
      </c>
      <c r="AF264" s="771">
        <v>0.0</v>
      </c>
      <c r="AG264" s="771">
        <v>0.0</v>
      </c>
      <c r="AH264" s="771">
        <v>0.0</v>
      </c>
      <c r="AI264" s="772" t="s">
        <v>233</v>
      </c>
      <c r="AK264" s="769" t="s">
        <v>521</v>
      </c>
      <c r="AL264" s="770" t="s">
        <v>494</v>
      </c>
      <c r="AM264" s="770" t="s">
        <v>509</v>
      </c>
      <c r="AN264" s="770" t="s">
        <v>34</v>
      </c>
      <c r="AO264" s="770" t="s">
        <v>493</v>
      </c>
      <c r="AP264" s="770" t="s">
        <v>504</v>
      </c>
      <c r="AQ264" s="770" t="s">
        <v>501</v>
      </c>
      <c r="AR264" s="784" t="s">
        <v>502</v>
      </c>
      <c r="AS264" s="771">
        <v>0.0</v>
      </c>
      <c r="AT264" s="771">
        <v>0.0</v>
      </c>
      <c r="AU264" s="771">
        <v>0.0</v>
      </c>
      <c r="AV264" s="772" t="s">
        <v>233</v>
      </c>
      <c r="AW264" s="714"/>
    </row>
    <row r="265">
      <c r="A265" s="761"/>
      <c r="B265" s="769" t="s">
        <v>493</v>
      </c>
      <c r="C265" s="770" t="s">
        <v>19</v>
      </c>
      <c r="D265" s="770" t="s">
        <v>494</v>
      </c>
      <c r="E265" s="770" t="s">
        <v>505</v>
      </c>
      <c r="F265" s="770" t="s">
        <v>523</v>
      </c>
      <c r="G265" s="770" t="s">
        <v>103</v>
      </c>
      <c r="H265" s="770">
        <v>2019.0</v>
      </c>
      <c r="I265" s="771">
        <v>0.0</v>
      </c>
      <c r="J265" s="771">
        <v>0.0</v>
      </c>
      <c r="K265" s="772">
        <v>0.0</v>
      </c>
      <c r="M265" s="769" t="s">
        <v>493</v>
      </c>
      <c r="N265" s="770" t="s">
        <v>19</v>
      </c>
      <c r="O265" s="770" t="s">
        <v>494</v>
      </c>
      <c r="P265" s="770" t="s">
        <v>505</v>
      </c>
      <c r="Q265" s="770" t="s">
        <v>523</v>
      </c>
      <c r="R265" s="770" t="s">
        <v>497</v>
      </c>
      <c r="S265" s="770">
        <v>2019.0</v>
      </c>
      <c r="T265" s="771">
        <v>0.0</v>
      </c>
      <c r="U265" s="771">
        <v>0.0</v>
      </c>
      <c r="V265" s="772">
        <v>0.0</v>
      </c>
      <c r="X265" s="769" t="s">
        <v>521</v>
      </c>
      <c r="Y265" s="770" t="s">
        <v>494</v>
      </c>
      <c r="Z265" s="770" t="s">
        <v>513</v>
      </c>
      <c r="AA265" s="770" t="s">
        <v>34</v>
      </c>
      <c r="AB265" s="770" t="s">
        <v>493</v>
      </c>
      <c r="AC265" s="770" t="s">
        <v>103</v>
      </c>
      <c r="AD265" s="770" t="s">
        <v>501</v>
      </c>
      <c r="AE265" s="784" t="s">
        <v>502</v>
      </c>
      <c r="AF265" s="771">
        <v>11.55855753</v>
      </c>
      <c r="AG265" s="771">
        <v>2.813695865</v>
      </c>
      <c r="AH265" s="771">
        <v>31.00882027</v>
      </c>
      <c r="AI265" s="772" t="s">
        <v>233</v>
      </c>
      <c r="AK265" s="769" t="s">
        <v>521</v>
      </c>
      <c r="AL265" s="770" t="s">
        <v>494</v>
      </c>
      <c r="AM265" s="770" t="s">
        <v>513</v>
      </c>
      <c r="AN265" s="770" t="s">
        <v>34</v>
      </c>
      <c r="AO265" s="770" t="s">
        <v>493</v>
      </c>
      <c r="AP265" s="770" t="s">
        <v>504</v>
      </c>
      <c r="AQ265" s="770" t="s">
        <v>501</v>
      </c>
      <c r="AR265" s="784" t="s">
        <v>502</v>
      </c>
      <c r="AS265" s="771">
        <v>2.74850469</v>
      </c>
      <c r="AT265" s="771">
        <v>0.6690675943</v>
      </c>
      <c r="AU265" s="771">
        <v>7.373574747</v>
      </c>
      <c r="AV265" s="772" t="s">
        <v>233</v>
      </c>
      <c r="AW265" s="714"/>
    </row>
    <row r="266">
      <c r="A266" s="761"/>
      <c r="B266" s="769" t="s">
        <v>493</v>
      </c>
      <c r="C266" s="770" t="s">
        <v>19</v>
      </c>
      <c r="D266" s="770" t="s">
        <v>494</v>
      </c>
      <c r="E266" s="770" t="s">
        <v>508</v>
      </c>
      <c r="F266" s="770" t="s">
        <v>523</v>
      </c>
      <c r="G266" s="770" t="s">
        <v>103</v>
      </c>
      <c r="H266" s="770">
        <v>2019.0</v>
      </c>
      <c r="I266" s="771">
        <v>756.7462721</v>
      </c>
      <c r="J266" s="771">
        <v>1384.776706</v>
      </c>
      <c r="K266" s="772">
        <v>352.5775979</v>
      </c>
      <c r="M266" s="769" t="s">
        <v>493</v>
      </c>
      <c r="N266" s="770" t="s">
        <v>19</v>
      </c>
      <c r="O266" s="770" t="s">
        <v>494</v>
      </c>
      <c r="P266" s="770" t="s">
        <v>508</v>
      </c>
      <c r="Q266" s="770" t="s">
        <v>523</v>
      </c>
      <c r="R266" s="770" t="s">
        <v>497</v>
      </c>
      <c r="S266" s="770">
        <v>2019.0</v>
      </c>
      <c r="T266" s="771">
        <v>111.3245933</v>
      </c>
      <c r="U266" s="771">
        <v>203.7138592</v>
      </c>
      <c r="V266" s="772">
        <v>51.86752697</v>
      </c>
      <c r="X266" s="769" t="s">
        <v>523</v>
      </c>
      <c r="Y266" s="770" t="s">
        <v>494</v>
      </c>
      <c r="Z266" s="770" t="s">
        <v>507</v>
      </c>
      <c r="AA266" s="770" t="s">
        <v>34</v>
      </c>
      <c r="AB266" s="770" t="s">
        <v>493</v>
      </c>
      <c r="AC266" s="770" t="s">
        <v>103</v>
      </c>
      <c r="AD266" s="770" t="s">
        <v>501</v>
      </c>
      <c r="AE266" s="784" t="s">
        <v>502</v>
      </c>
      <c r="AF266" s="771">
        <v>13.79276453</v>
      </c>
      <c r="AG266" s="771">
        <v>5.825578311</v>
      </c>
      <c r="AH266" s="771">
        <v>25.50339898</v>
      </c>
      <c r="AI266" s="772" t="s">
        <v>233</v>
      </c>
      <c r="AK266" s="769" t="s">
        <v>523</v>
      </c>
      <c r="AL266" s="770" t="s">
        <v>494</v>
      </c>
      <c r="AM266" s="770" t="s">
        <v>507</v>
      </c>
      <c r="AN266" s="770" t="s">
        <v>34</v>
      </c>
      <c r="AO266" s="770" t="s">
        <v>493</v>
      </c>
      <c r="AP266" s="770" t="s">
        <v>504</v>
      </c>
      <c r="AQ266" s="770" t="s">
        <v>501</v>
      </c>
      <c r="AR266" s="784" t="s">
        <v>502</v>
      </c>
      <c r="AS266" s="771">
        <v>17.23966153</v>
      </c>
      <c r="AT266" s="771">
        <v>7.281426296</v>
      </c>
      <c r="AU266" s="771">
        <v>31.87685583</v>
      </c>
      <c r="AV266" s="772" t="s">
        <v>233</v>
      </c>
      <c r="AW266" s="714"/>
    </row>
    <row r="267">
      <c r="A267" s="761"/>
      <c r="B267" s="769" t="s">
        <v>493</v>
      </c>
      <c r="C267" s="770" t="s">
        <v>19</v>
      </c>
      <c r="D267" s="770" t="s">
        <v>494</v>
      </c>
      <c r="E267" s="770" t="s">
        <v>512</v>
      </c>
      <c r="F267" s="770" t="s">
        <v>523</v>
      </c>
      <c r="G267" s="770" t="s">
        <v>103</v>
      </c>
      <c r="H267" s="770">
        <v>2019.0</v>
      </c>
      <c r="I267" s="771">
        <v>0.0</v>
      </c>
      <c r="J267" s="771">
        <v>0.0</v>
      </c>
      <c r="K267" s="772">
        <v>0.0</v>
      </c>
      <c r="M267" s="769" t="s">
        <v>493</v>
      </c>
      <c r="N267" s="770" t="s">
        <v>19</v>
      </c>
      <c r="O267" s="770" t="s">
        <v>494</v>
      </c>
      <c r="P267" s="770" t="s">
        <v>512</v>
      </c>
      <c r="Q267" s="770" t="s">
        <v>523</v>
      </c>
      <c r="R267" s="770" t="s">
        <v>497</v>
      </c>
      <c r="S267" s="770">
        <v>2019.0</v>
      </c>
      <c r="T267" s="771">
        <v>0.0</v>
      </c>
      <c r="U267" s="771">
        <v>0.0</v>
      </c>
      <c r="V267" s="772">
        <v>0.0</v>
      </c>
      <c r="X267" s="769" t="s">
        <v>523</v>
      </c>
      <c r="Y267" s="770" t="s">
        <v>494</v>
      </c>
      <c r="Z267" s="770" t="s">
        <v>513</v>
      </c>
      <c r="AA267" s="770" t="s">
        <v>34</v>
      </c>
      <c r="AB267" s="770" t="s">
        <v>493</v>
      </c>
      <c r="AC267" s="770" t="s">
        <v>103</v>
      </c>
      <c r="AD267" s="770" t="s">
        <v>501</v>
      </c>
      <c r="AE267" s="784" t="s">
        <v>502</v>
      </c>
      <c r="AF267" s="771">
        <v>22.16163252</v>
      </c>
      <c r="AG267" s="771">
        <v>9.547678656</v>
      </c>
      <c r="AH267" s="771">
        <v>39.25388455</v>
      </c>
      <c r="AI267" s="772" t="s">
        <v>233</v>
      </c>
      <c r="AK267" s="769" t="s">
        <v>523</v>
      </c>
      <c r="AL267" s="770" t="s">
        <v>494</v>
      </c>
      <c r="AM267" s="770" t="s">
        <v>513</v>
      </c>
      <c r="AN267" s="770" t="s">
        <v>34</v>
      </c>
      <c r="AO267" s="770" t="s">
        <v>493</v>
      </c>
      <c r="AP267" s="770" t="s">
        <v>504</v>
      </c>
      <c r="AQ267" s="770" t="s">
        <v>501</v>
      </c>
      <c r="AR267" s="784" t="s">
        <v>502</v>
      </c>
      <c r="AS267" s="771">
        <v>5.269805576</v>
      </c>
      <c r="AT267" s="771">
        <v>2.270338621</v>
      </c>
      <c r="AU267" s="771">
        <v>9.334165226</v>
      </c>
      <c r="AV267" s="772" t="s">
        <v>233</v>
      </c>
      <c r="AW267" s="714"/>
    </row>
    <row r="268">
      <c r="A268" s="761"/>
      <c r="B268" s="769" t="s">
        <v>493</v>
      </c>
      <c r="C268" s="770" t="s">
        <v>588</v>
      </c>
      <c r="D268" s="770" t="s">
        <v>494</v>
      </c>
      <c r="E268" s="770" t="s">
        <v>495</v>
      </c>
      <c r="F268" s="770" t="s">
        <v>496</v>
      </c>
      <c r="G268" s="770" t="s">
        <v>103</v>
      </c>
      <c r="H268" s="770">
        <v>2019.0</v>
      </c>
      <c r="I268" s="771">
        <v>836.3001419</v>
      </c>
      <c r="J268" s="771">
        <v>1041.791733</v>
      </c>
      <c r="K268" s="772">
        <v>663.081435</v>
      </c>
      <c r="M268" s="769" t="s">
        <v>493</v>
      </c>
      <c r="N268" s="770" t="s">
        <v>588</v>
      </c>
      <c r="O268" s="770" t="s">
        <v>494</v>
      </c>
      <c r="P268" s="770" t="s">
        <v>495</v>
      </c>
      <c r="Q268" s="770" t="s">
        <v>496</v>
      </c>
      <c r="R268" s="770" t="s">
        <v>497</v>
      </c>
      <c r="S268" s="770">
        <v>2019.0</v>
      </c>
      <c r="T268" s="771">
        <v>1070.719212</v>
      </c>
      <c r="U268" s="771">
        <v>1333.811113</v>
      </c>
      <c r="V268" s="772">
        <v>848.9464437</v>
      </c>
      <c r="X268" s="769" t="s">
        <v>496</v>
      </c>
      <c r="Y268" s="770" t="s">
        <v>494</v>
      </c>
      <c r="Z268" s="770" t="s">
        <v>499</v>
      </c>
      <c r="AA268" s="770" t="s">
        <v>35</v>
      </c>
      <c r="AB268" s="770" t="s">
        <v>493</v>
      </c>
      <c r="AC268" s="770" t="s">
        <v>103</v>
      </c>
      <c r="AD268" s="770" t="s">
        <v>501</v>
      </c>
      <c r="AE268" s="784" t="s">
        <v>502</v>
      </c>
      <c r="AF268" s="771">
        <v>973.8088071</v>
      </c>
      <c r="AG268" s="771">
        <v>778.685376</v>
      </c>
      <c r="AH268" s="771">
        <v>1218.853969</v>
      </c>
      <c r="AI268" s="772" t="s">
        <v>233</v>
      </c>
      <c r="AK268" s="769" t="s">
        <v>496</v>
      </c>
      <c r="AL268" s="770" t="s">
        <v>494</v>
      </c>
      <c r="AM268" s="770" t="s">
        <v>499</v>
      </c>
      <c r="AN268" s="770" t="s">
        <v>35</v>
      </c>
      <c r="AO268" s="770" t="s">
        <v>493</v>
      </c>
      <c r="AP268" s="770" t="s">
        <v>504</v>
      </c>
      <c r="AQ268" s="770" t="s">
        <v>501</v>
      </c>
      <c r="AR268" s="784" t="s">
        <v>502</v>
      </c>
      <c r="AS268" s="771">
        <v>137186.3197</v>
      </c>
      <c r="AT268" s="771">
        <v>109698.1052</v>
      </c>
      <c r="AU268" s="771">
        <v>171707.3095</v>
      </c>
      <c r="AV268" s="772" t="s">
        <v>233</v>
      </c>
      <c r="AW268" s="714"/>
    </row>
    <row r="269">
      <c r="A269" s="761"/>
      <c r="B269" s="769" t="s">
        <v>493</v>
      </c>
      <c r="C269" s="770" t="s">
        <v>588</v>
      </c>
      <c r="D269" s="770" t="s">
        <v>494</v>
      </c>
      <c r="E269" s="770" t="s">
        <v>505</v>
      </c>
      <c r="F269" s="770" t="s">
        <v>496</v>
      </c>
      <c r="G269" s="770" t="s">
        <v>103</v>
      </c>
      <c r="H269" s="770">
        <v>2019.0</v>
      </c>
      <c r="I269" s="771">
        <v>402.4615091</v>
      </c>
      <c r="J269" s="771">
        <v>506.435183</v>
      </c>
      <c r="K269" s="772">
        <v>316.7743538</v>
      </c>
      <c r="M269" s="769" t="s">
        <v>493</v>
      </c>
      <c r="N269" s="770" t="s">
        <v>588</v>
      </c>
      <c r="O269" s="770" t="s">
        <v>494</v>
      </c>
      <c r="P269" s="770" t="s">
        <v>505</v>
      </c>
      <c r="Q269" s="770" t="s">
        <v>496</v>
      </c>
      <c r="R269" s="770" t="s">
        <v>497</v>
      </c>
      <c r="S269" s="770">
        <v>2019.0</v>
      </c>
      <c r="T269" s="771">
        <v>128100.3072</v>
      </c>
      <c r="U269" s="771">
        <v>161194.3032</v>
      </c>
      <c r="V269" s="772">
        <v>100826.7651</v>
      </c>
      <c r="X269" s="769" t="s">
        <v>496</v>
      </c>
      <c r="Y269" s="770" t="s">
        <v>494</v>
      </c>
      <c r="Z269" s="770" t="s">
        <v>507</v>
      </c>
      <c r="AA269" s="770" t="s">
        <v>35</v>
      </c>
      <c r="AB269" s="770" t="s">
        <v>493</v>
      </c>
      <c r="AC269" s="770" t="s">
        <v>103</v>
      </c>
      <c r="AD269" s="770" t="s">
        <v>501</v>
      </c>
      <c r="AE269" s="784" t="s">
        <v>502</v>
      </c>
      <c r="AF269" s="771">
        <v>688.1729607</v>
      </c>
      <c r="AG269" s="771">
        <v>550.4251846</v>
      </c>
      <c r="AH269" s="771">
        <v>860.0453106</v>
      </c>
      <c r="AI269" s="772" t="s">
        <v>233</v>
      </c>
      <c r="AK269" s="769" t="s">
        <v>496</v>
      </c>
      <c r="AL269" s="770" t="s">
        <v>494</v>
      </c>
      <c r="AM269" s="770" t="s">
        <v>507</v>
      </c>
      <c r="AN269" s="770" t="s">
        <v>35</v>
      </c>
      <c r="AO269" s="770" t="s">
        <v>493</v>
      </c>
      <c r="AP269" s="770" t="s">
        <v>504</v>
      </c>
      <c r="AQ269" s="770" t="s">
        <v>501</v>
      </c>
      <c r="AR269" s="784" t="s">
        <v>502</v>
      </c>
      <c r="AS269" s="771">
        <v>2014.870472</v>
      </c>
      <c r="AT269" s="771">
        <v>1611.564991</v>
      </c>
      <c r="AU269" s="771">
        <v>2518.087748</v>
      </c>
      <c r="AV269" s="772" t="s">
        <v>233</v>
      </c>
      <c r="AW269" s="714"/>
    </row>
    <row r="270">
      <c r="A270" s="761"/>
      <c r="B270" s="769" t="s">
        <v>493</v>
      </c>
      <c r="C270" s="770" t="s">
        <v>588</v>
      </c>
      <c r="D270" s="770" t="s">
        <v>494</v>
      </c>
      <c r="E270" s="770" t="s">
        <v>508</v>
      </c>
      <c r="F270" s="770" t="s">
        <v>496</v>
      </c>
      <c r="G270" s="770" t="s">
        <v>103</v>
      </c>
      <c r="H270" s="770">
        <v>2019.0</v>
      </c>
      <c r="I270" s="771">
        <v>209.5909059</v>
      </c>
      <c r="J270" s="771">
        <v>260.6543764</v>
      </c>
      <c r="K270" s="772">
        <v>166.5203361</v>
      </c>
      <c r="M270" s="769" t="s">
        <v>493</v>
      </c>
      <c r="N270" s="770" t="s">
        <v>588</v>
      </c>
      <c r="O270" s="770" t="s">
        <v>494</v>
      </c>
      <c r="P270" s="770" t="s">
        <v>508</v>
      </c>
      <c r="Q270" s="770" t="s">
        <v>496</v>
      </c>
      <c r="R270" s="770" t="s">
        <v>497</v>
      </c>
      <c r="S270" s="770">
        <v>2019.0</v>
      </c>
      <c r="T270" s="771">
        <v>1423.892458</v>
      </c>
      <c r="U270" s="771">
        <v>1770.801071</v>
      </c>
      <c r="V270" s="772">
        <v>1131.285013</v>
      </c>
      <c r="X270" s="769" t="s">
        <v>496</v>
      </c>
      <c r="Y270" s="770" t="s">
        <v>494</v>
      </c>
      <c r="Z270" s="770" t="s">
        <v>509</v>
      </c>
      <c r="AA270" s="770" t="s">
        <v>35</v>
      </c>
      <c r="AB270" s="770" t="s">
        <v>493</v>
      </c>
      <c r="AC270" s="770" t="s">
        <v>103</v>
      </c>
      <c r="AD270" s="770" t="s">
        <v>501</v>
      </c>
      <c r="AE270" s="784" t="s">
        <v>502</v>
      </c>
      <c r="AF270" s="771">
        <v>185.3151303</v>
      </c>
      <c r="AG270" s="771">
        <v>146.4576682</v>
      </c>
      <c r="AH270" s="771">
        <v>234.1870596</v>
      </c>
      <c r="AI270" s="772" t="s">
        <v>233</v>
      </c>
      <c r="AK270" s="769" t="s">
        <v>496</v>
      </c>
      <c r="AL270" s="770" t="s">
        <v>494</v>
      </c>
      <c r="AM270" s="770" t="s">
        <v>509</v>
      </c>
      <c r="AN270" s="770" t="s">
        <v>35</v>
      </c>
      <c r="AO270" s="770" t="s">
        <v>493</v>
      </c>
      <c r="AP270" s="770" t="s">
        <v>504</v>
      </c>
      <c r="AQ270" s="770" t="s">
        <v>501</v>
      </c>
      <c r="AR270" s="784" t="s">
        <v>502</v>
      </c>
      <c r="AS270" s="771">
        <v>8819.650627</v>
      </c>
      <c r="AT270" s="771">
        <v>6970.318414</v>
      </c>
      <c r="AU270" s="771">
        <v>11145.59855</v>
      </c>
      <c r="AV270" s="772" t="s">
        <v>233</v>
      </c>
      <c r="AW270" s="714"/>
    </row>
    <row r="271">
      <c r="A271" s="761"/>
      <c r="B271" s="769" t="s">
        <v>493</v>
      </c>
      <c r="C271" s="770" t="s">
        <v>588</v>
      </c>
      <c r="D271" s="770" t="s">
        <v>494</v>
      </c>
      <c r="E271" s="770" t="s">
        <v>512</v>
      </c>
      <c r="F271" s="770" t="s">
        <v>496</v>
      </c>
      <c r="G271" s="770" t="s">
        <v>103</v>
      </c>
      <c r="H271" s="770">
        <v>2019.0</v>
      </c>
      <c r="I271" s="771">
        <v>66.54225688</v>
      </c>
      <c r="J271" s="771">
        <v>83.09775868</v>
      </c>
      <c r="K271" s="772">
        <v>52.6406704</v>
      </c>
      <c r="M271" s="769" t="s">
        <v>493</v>
      </c>
      <c r="N271" s="770" t="s">
        <v>588</v>
      </c>
      <c r="O271" s="770" t="s">
        <v>494</v>
      </c>
      <c r="P271" s="770" t="s">
        <v>512</v>
      </c>
      <c r="Q271" s="770" t="s">
        <v>496</v>
      </c>
      <c r="R271" s="770" t="s">
        <v>497</v>
      </c>
      <c r="S271" s="770">
        <v>2019.0</v>
      </c>
      <c r="T271" s="771">
        <v>7163.432152</v>
      </c>
      <c r="U271" s="771">
        <v>8945.67128</v>
      </c>
      <c r="V271" s="772">
        <v>5666.893318</v>
      </c>
      <c r="X271" s="769" t="s">
        <v>496</v>
      </c>
      <c r="Y271" s="770" t="s">
        <v>494</v>
      </c>
      <c r="Z271" s="770" t="s">
        <v>513</v>
      </c>
      <c r="AA271" s="770" t="s">
        <v>35</v>
      </c>
      <c r="AB271" s="770" t="s">
        <v>493</v>
      </c>
      <c r="AC271" s="770" t="s">
        <v>103</v>
      </c>
      <c r="AD271" s="770" t="s">
        <v>501</v>
      </c>
      <c r="AE271" s="784" t="s">
        <v>502</v>
      </c>
      <c r="AF271" s="771">
        <v>2631.649859</v>
      </c>
      <c r="AG271" s="771">
        <v>2104.676009</v>
      </c>
      <c r="AH271" s="771">
        <v>3295.80505</v>
      </c>
      <c r="AI271" s="772" t="s">
        <v>233</v>
      </c>
      <c r="AK271" s="769" t="s">
        <v>496</v>
      </c>
      <c r="AL271" s="770" t="s">
        <v>494</v>
      </c>
      <c r="AM271" s="770" t="s">
        <v>513</v>
      </c>
      <c r="AN271" s="770" t="s">
        <v>35</v>
      </c>
      <c r="AO271" s="770" t="s">
        <v>493</v>
      </c>
      <c r="AP271" s="770" t="s">
        <v>504</v>
      </c>
      <c r="AQ271" s="770" t="s">
        <v>501</v>
      </c>
      <c r="AR271" s="784" t="s">
        <v>502</v>
      </c>
      <c r="AS271" s="771">
        <v>1405.186606</v>
      </c>
      <c r="AT271" s="771">
        <v>1123.805482</v>
      </c>
      <c r="AU271" s="771">
        <v>1759.816602</v>
      </c>
      <c r="AV271" s="772" t="s">
        <v>233</v>
      </c>
      <c r="AW271" s="714"/>
    </row>
    <row r="272">
      <c r="A272" s="761"/>
      <c r="B272" s="769" t="s">
        <v>493</v>
      </c>
      <c r="C272" s="770" t="s">
        <v>588</v>
      </c>
      <c r="D272" s="770" t="s">
        <v>494</v>
      </c>
      <c r="E272" s="770" t="s">
        <v>495</v>
      </c>
      <c r="F272" s="770" t="s">
        <v>514</v>
      </c>
      <c r="G272" s="770" t="s">
        <v>103</v>
      </c>
      <c r="H272" s="770">
        <v>2019.0</v>
      </c>
      <c r="I272" s="771">
        <v>722.124455</v>
      </c>
      <c r="J272" s="771">
        <v>908.621135</v>
      </c>
      <c r="K272" s="772">
        <v>573.0253495</v>
      </c>
      <c r="M272" s="769" t="s">
        <v>493</v>
      </c>
      <c r="N272" s="770" t="s">
        <v>588</v>
      </c>
      <c r="O272" s="770" t="s">
        <v>494</v>
      </c>
      <c r="P272" s="770" t="s">
        <v>495</v>
      </c>
      <c r="Q272" s="770" t="s">
        <v>514</v>
      </c>
      <c r="R272" s="770" t="s">
        <v>497</v>
      </c>
      <c r="S272" s="770">
        <v>2019.0</v>
      </c>
      <c r="T272" s="771">
        <v>924.5395144</v>
      </c>
      <c r="U272" s="771">
        <v>1163.312137</v>
      </c>
      <c r="V272" s="772">
        <v>733.6471916</v>
      </c>
      <c r="X272" s="769" t="s">
        <v>514</v>
      </c>
      <c r="Y272" s="770" t="s">
        <v>494</v>
      </c>
      <c r="Z272" s="770" t="s">
        <v>499</v>
      </c>
      <c r="AA272" s="770" t="s">
        <v>35</v>
      </c>
      <c r="AB272" s="770" t="s">
        <v>493</v>
      </c>
      <c r="AC272" s="770" t="s">
        <v>103</v>
      </c>
      <c r="AD272" s="770" t="s">
        <v>501</v>
      </c>
      <c r="AE272" s="784" t="s">
        <v>502</v>
      </c>
      <c r="AF272" s="771">
        <v>897.8366006</v>
      </c>
      <c r="AG272" s="771">
        <v>711.0384934</v>
      </c>
      <c r="AH272" s="771">
        <v>1123.62168</v>
      </c>
      <c r="AI272" s="772" t="s">
        <v>233</v>
      </c>
      <c r="AK272" s="769" t="s">
        <v>514</v>
      </c>
      <c r="AL272" s="770" t="s">
        <v>494</v>
      </c>
      <c r="AM272" s="770" t="s">
        <v>499</v>
      </c>
      <c r="AN272" s="770" t="s">
        <v>35</v>
      </c>
      <c r="AO272" s="770" t="s">
        <v>493</v>
      </c>
      <c r="AP272" s="770" t="s">
        <v>504</v>
      </c>
      <c r="AQ272" s="770" t="s">
        <v>501</v>
      </c>
      <c r="AR272" s="784" t="s">
        <v>502</v>
      </c>
      <c r="AS272" s="771">
        <v>126483.6568</v>
      </c>
      <c r="AT272" s="771">
        <v>100168.2808</v>
      </c>
      <c r="AU272" s="771">
        <v>158291.3626</v>
      </c>
      <c r="AV272" s="772" t="s">
        <v>233</v>
      </c>
      <c r="AW272" s="714"/>
    </row>
    <row r="273">
      <c r="A273" s="761"/>
      <c r="B273" s="769" t="s">
        <v>493</v>
      </c>
      <c r="C273" s="770" t="s">
        <v>588</v>
      </c>
      <c r="D273" s="770" t="s">
        <v>494</v>
      </c>
      <c r="E273" s="770" t="s">
        <v>505</v>
      </c>
      <c r="F273" s="770" t="s">
        <v>514</v>
      </c>
      <c r="G273" s="770" t="s">
        <v>103</v>
      </c>
      <c r="H273" s="770">
        <v>2019.0</v>
      </c>
      <c r="I273" s="771">
        <v>371.2424798</v>
      </c>
      <c r="J273" s="771">
        <v>468.1982013</v>
      </c>
      <c r="K273" s="772">
        <v>293.9393994</v>
      </c>
      <c r="M273" s="769" t="s">
        <v>493</v>
      </c>
      <c r="N273" s="770" t="s">
        <v>588</v>
      </c>
      <c r="O273" s="770" t="s">
        <v>494</v>
      </c>
      <c r="P273" s="770" t="s">
        <v>505</v>
      </c>
      <c r="Q273" s="770" t="s">
        <v>514</v>
      </c>
      <c r="R273" s="770" t="s">
        <v>497</v>
      </c>
      <c r="S273" s="770">
        <v>2019.0</v>
      </c>
      <c r="T273" s="771">
        <v>118163.5377</v>
      </c>
      <c r="U273" s="771">
        <v>149023.7751</v>
      </c>
      <c r="V273" s="772">
        <v>93558.58013</v>
      </c>
      <c r="X273" s="769" t="s">
        <v>514</v>
      </c>
      <c r="Y273" s="770" t="s">
        <v>494</v>
      </c>
      <c r="Z273" s="770" t="s">
        <v>507</v>
      </c>
      <c r="AA273" s="770" t="s">
        <v>35</v>
      </c>
      <c r="AB273" s="770" t="s">
        <v>493</v>
      </c>
      <c r="AC273" s="770" t="s">
        <v>103</v>
      </c>
      <c r="AD273" s="770" t="s">
        <v>501</v>
      </c>
      <c r="AE273" s="784" t="s">
        <v>502</v>
      </c>
      <c r="AF273" s="771">
        <v>599.6632835</v>
      </c>
      <c r="AG273" s="771">
        <v>469.137079</v>
      </c>
      <c r="AH273" s="771">
        <v>762.5071673</v>
      </c>
      <c r="AI273" s="772" t="s">
        <v>233</v>
      </c>
      <c r="AK273" s="769" t="s">
        <v>514</v>
      </c>
      <c r="AL273" s="770" t="s">
        <v>494</v>
      </c>
      <c r="AM273" s="770" t="s">
        <v>507</v>
      </c>
      <c r="AN273" s="770" t="s">
        <v>35</v>
      </c>
      <c r="AO273" s="770" t="s">
        <v>493</v>
      </c>
      <c r="AP273" s="770" t="s">
        <v>504</v>
      </c>
      <c r="AQ273" s="770" t="s">
        <v>501</v>
      </c>
      <c r="AR273" s="784" t="s">
        <v>502</v>
      </c>
      <c r="AS273" s="771">
        <v>1755.726993</v>
      </c>
      <c r="AT273" s="771">
        <v>1373.565225</v>
      </c>
      <c r="AU273" s="771">
        <v>2232.510232</v>
      </c>
      <c r="AV273" s="772" t="s">
        <v>233</v>
      </c>
      <c r="AW273" s="714"/>
    </row>
    <row r="274">
      <c r="A274" s="761"/>
      <c r="B274" s="769" t="s">
        <v>493</v>
      </c>
      <c r="C274" s="770" t="s">
        <v>588</v>
      </c>
      <c r="D274" s="770" t="s">
        <v>494</v>
      </c>
      <c r="E274" s="770" t="s">
        <v>508</v>
      </c>
      <c r="F274" s="770" t="s">
        <v>514</v>
      </c>
      <c r="G274" s="770" t="s">
        <v>103</v>
      </c>
      <c r="H274" s="770">
        <v>2019.0</v>
      </c>
      <c r="I274" s="771">
        <v>168.2350368</v>
      </c>
      <c r="J274" s="771">
        <v>213.3427845</v>
      </c>
      <c r="K274" s="772">
        <v>130.8337215</v>
      </c>
      <c r="M274" s="769" t="s">
        <v>493</v>
      </c>
      <c r="N274" s="770" t="s">
        <v>588</v>
      </c>
      <c r="O274" s="770" t="s">
        <v>494</v>
      </c>
      <c r="P274" s="770" t="s">
        <v>508</v>
      </c>
      <c r="Q274" s="770" t="s">
        <v>514</v>
      </c>
      <c r="R274" s="770" t="s">
        <v>497</v>
      </c>
      <c r="S274" s="770">
        <v>2019.0</v>
      </c>
      <c r="T274" s="771">
        <v>1142.934132</v>
      </c>
      <c r="U274" s="771">
        <v>1449.381501</v>
      </c>
      <c r="V274" s="772">
        <v>888.8417582</v>
      </c>
      <c r="X274" s="769" t="s">
        <v>514</v>
      </c>
      <c r="Y274" s="770" t="s">
        <v>494</v>
      </c>
      <c r="Z274" s="770" t="s">
        <v>509</v>
      </c>
      <c r="AA274" s="770" t="s">
        <v>35</v>
      </c>
      <c r="AB274" s="770" t="s">
        <v>493</v>
      </c>
      <c r="AC274" s="770" t="s">
        <v>103</v>
      </c>
      <c r="AD274" s="770" t="s">
        <v>501</v>
      </c>
      <c r="AE274" s="784" t="s">
        <v>502</v>
      </c>
      <c r="AF274" s="771">
        <v>166.8130442</v>
      </c>
      <c r="AG274" s="771">
        <v>131.5320225</v>
      </c>
      <c r="AH274" s="771">
        <v>211.6932779</v>
      </c>
      <c r="AI274" s="772" t="s">
        <v>233</v>
      </c>
      <c r="AK274" s="769" t="s">
        <v>514</v>
      </c>
      <c r="AL274" s="770" t="s">
        <v>494</v>
      </c>
      <c r="AM274" s="770" t="s">
        <v>509</v>
      </c>
      <c r="AN274" s="770" t="s">
        <v>35</v>
      </c>
      <c r="AO274" s="770" t="s">
        <v>493</v>
      </c>
      <c r="AP274" s="770" t="s">
        <v>504</v>
      </c>
      <c r="AQ274" s="770" t="s">
        <v>501</v>
      </c>
      <c r="AR274" s="784" t="s">
        <v>502</v>
      </c>
      <c r="AS274" s="771">
        <v>7939.086074</v>
      </c>
      <c r="AT274" s="771">
        <v>6259.966379</v>
      </c>
      <c r="AU274" s="771">
        <v>10075.05835</v>
      </c>
      <c r="AV274" s="772" t="s">
        <v>233</v>
      </c>
      <c r="AW274" s="714"/>
    </row>
    <row r="275">
      <c r="A275" s="761"/>
      <c r="B275" s="769" t="s">
        <v>493</v>
      </c>
      <c r="C275" s="770" t="s">
        <v>588</v>
      </c>
      <c r="D275" s="770" t="s">
        <v>494</v>
      </c>
      <c r="E275" s="770" t="s">
        <v>512</v>
      </c>
      <c r="F275" s="770" t="s">
        <v>514</v>
      </c>
      <c r="G275" s="770" t="s">
        <v>103</v>
      </c>
      <c r="H275" s="770">
        <v>2019.0</v>
      </c>
      <c r="I275" s="771">
        <v>58.49634082</v>
      </c>
      <c r="J275" s="771">
        <v>73.28591594</v>
      </c>
      <c r="K275" s="772">
        <v>45.60837099</v>
      </c>
      <c r="M275" s="769" t="s">
        <v>493</v>
      </c>
      <c r="N275" s="770" t="s">
        <v>588</v>
      </c>
      <c r="O275" s="770" t="s">
        <v>494</v>
      </c>
      <c r="P275" s="770" t="s">
        <v>512</v>
      </c>
      <c r="Q275" s="770" t="s">
        <v>514</v>
      </c>
      <c r="R275" s="770" t="s">
        <v>497</v>
      </c>
      <c r="S275" s="770">
        <v>2019.0</v>
      </c>
      <c r="T275" s="771">
        <v>6297.27016</v>
      </c>
      <c r="U275" s="771">
        <v>7889.403083</v>
      </c>
      <c r="V275" s="772">
        <v>4909.849568</v>
      </c>
      <c r="X275" s="769" t="s">
        <v>514</v>
      </c>
      <c r="Y275" s="770" t="s">
        <v>494</v>
      </c>
      <c r="Z275" s="770" t="s">
        <v>513</v>
      </c>
      <c r="AA275" s="770" t="s">
        <v>35</v>
      </c>
      <c r="AB275" s="770" t="s">
        <v>493</v>
      </c>
      <c r="AC275" s="770" t="s">
        <v>103</v>
      </c>
      <c r="AD275" s="770" t="s">
        <v>501</v>
      </c>
      <c r="AE275" s="784" t="s">
        <v>502</v>
      </c>
      <c r="AF275" s="771">
        <v>2368.286167</v>
      </c>
      <c r="AG275" s="771">
        <v>1877.153625</v>
      </c>
      <c r="AH275" s="771">
        <v>2993.213538</v>
      </c>
      <c r="AI275" s="772" t="s">
        <v>233</v>
      </c>
      <c r="AK275" s="769" t="s">
        <v>514</v>
      </c>
      <c r="AL275" s="770" t="s">
        <v>494</v>
      </c>
      <c r="AM275" s="770" t="s">
        <v>513</v>
      </c>
      <c r="AN275" s="770" t="s">
        <v>35</v>
      </c>
      <c r="AO275" s="770" t="s">
        <v>493</v>
      </c>
      <c r="AP275" s="770" t="s">
        <v>504</v>
      </c>
      <c r="AQ275" s="770" t="s">
        <v>501</v>
      </c>
      <c r="AR275" s="784" t="s">
        <v>502</v>
      </c>
      <c r="AS275" s="771">
        <v>1264.561845</v>
      </c>
      <c r="AT275" s="771">
        <v>1002.318421</v>
      </c>
      <c r="AU275" s="771">
        <v>1598.245891</v>
      </c>
      <c r="AV275" s="772" t="s">
        <v>233</v>
      </c>
      <c r="AW275" s="714"/>
    </row>
    <row r="276">
      <c r="A276" s="761"/>
      <c r="B276" s="769" t="s">
        <v>493</v>
      </c>
      <c r="C276" s="770" t="s">
        <v>588</v>
      </c>
      <c r="D276" s="770" t="s">
        <v>494</v>
      </c>
      <c r="E276" s="770" t="s">
        <v>495</v>
      </c>
      <c r="F276" s="770" t="s">
        <v>518</v>
      </c>
      <c r="G276" s="770" t="s">
        <v>103</v>
      </c>
      <c r="H276" s="770">
        <v>2019.0</v>
      </c>
      <c r="I276" s="771">
        <v>80.76504604</v>
      </c>
      <c r="J276" s="771">
        <v>152.9095203</v>
      </c>
      <c r="K276" s="772">
        <v>39.25830069</v>
      </c>
      <c r="M276" s="769" t="s">
        <v>493</v>
      </c>
      <c r="N276" s="770" t="s">
        <v>588</v>
      </c>
      <c r="O276" s="770" t="s">
        <v>494</v>
      </c>
      <c r="P276" s="770" t="s">
        <v>495</v>
      </c>
      <c r="Q276" s="770" t="s">
        <v>518</v>
      </c>
      <c r="R276" s="770" t="s">
        <v>497</v>
      </c>
      <c r="S276" s="770">
        <v>2019.0</v>
      </c>
      <c r="T276" s="771">
        <v>103.4038883</v>
      </c>
      <c r="U276" s="771">
        <v>195.7708158</v>
      </c>
      <c r="V276" s="772">
        <v>50.26259672</v>
      </c>
      <c r="X276" s="769" t="s">
        <v>518</v>
      </c>
      <c r="Y276" s="770" t="s">
        <v>494</v>
      </c>
      <c r="Z276" s="770" t="s">
        <v>499</v>
      </c>
      <c r="AA276" s="770" t="s">
        <v>35</v>
      </c>
      <c r="AB276" s="770" t="s">
        <v>493</v>
      </c>
      <c r="AC276" s="770" t="s">
        <v>103</v>
      </c>
      <c r="AD276" s="770" t="s">
        <v>501</v>
      </c>
      <c r="AE276" s="784" t="s">
        <v>502</v>
      </c>
      <c r="AF276" s="771">
        <v>8.35399898</v>
      </c>
      <c r="AG276" s="771">
        <v>3.381301805</v>
      </c>
      <c r="AH276" s="771">
        <v>17.28255648</v>
      </c>
      <c r="AI276" s="772" t="s">
        <v>233</v>
      </c>
      <c r="AK276" s="769" t="s">
        <v>518</v>
      </c>
      <c r="AL276" s="770" t="s">
        <v>494</v>
      </c>
      <c r="AM276" s="770" t="s">
        <v>499</v>
      </c>
      <c r="AN276" s="770" t="s">
        <v>35</v>
      </c>
      <c r="AO276" s="770" t="s">
        <v>493</v>
      </c>
      <c r="AP276" s="770" t="s">
        <v>504</v>
      </c>
      <c r="AQ276" s="770" t="s">
        <v>501</v>
      </c>
      <c r="AR276" s="784" t="s">
        <v>502</v>
      </c>
      <c r="AS276" s="771">
        <v>1176.878219</v>
      </c>
      <c r="AT276" s="771">
        <v>476.3443779</v>
      </c>
      <c r="AU276" s="771">
        <v>2434.697962</v>
      </c>
      <c r="AV276" s="772" t="s">
        <v>233</v>
      </c>
      <c r="AW276" s="714"/>
    </row>
    <row r="277">
      <c r="A277" s="761"/>
      <c r="B277" s="769" t="s">
        <v>493</v>
      </c>
      <c r="C277" s="770" t="s">
        <v>588</v>
      </c>
      <c r="D277" s="770" t="s">
        <v>494</v>
      </c>
      <c r="E277" s="770" t="s">
        <v>505</v>
      </c>
      <c r="F277" s="770" t="s">
        <v>518</v>
      </c>
      <c r="G277" s="770" t="s">
        <v>103</v>
      </c>
      <c r="H277" s="770">
        <v>2019.0</v>
      </c>
      <c r="I277" s="771">
        <v>2.468237833</v>
      </c>
      <c r="J277" s="771">
        <v>4.626976962</v>
      </c>
      <c r="K277" s="772">
        <v>1.001246334</v>
      </c>
      <c r="M277" s="769" t="s">
        <v>493</v>
      </c>
      <c r="N277" s="770" t="s">
        <v>588</v>
      </c>
      <c r="O277" s="770" t="s">
        <v>494</v>
      </c>
      <c r="P277" s="770" t="s">
        <v>505</v>
      </c>
      <c r="Q277" s="770" t="s">
        <v>518</v>
      </c>
      <c r="R277" s="770" t="s">
        <v>497</v>
      </c>
      <c r="S277" s="770">
        <v>2019.0</v>
      </c>
      <c r="T277" s="771">
        <v>785.6205312</v>
      </c>
      <c r="U277" s="771">
        <v>1472.730079</v>
      </c>
      <c r="V277" s="772">
        <v>318.688769</v>
      </c>
      <c r="X277" s="769" t="s">
        <v>518</v>
      </c>
      <c r="Y277" s="770" t="s">
        <v>494</v>
      </c>
      <c r="Z277" s="770" t="s">
        <v>507</v>
      </c>
      <c r="AA277" s="770" t="s">
        <v>35</v>
      </c>
      <c r="AB277" s="770" t="s">
        <v>493</v>
      </c>
      <c r="AC277" s="770" t="s">
        <v>103</v>
      </c>
      <c r="AD277" s="770" t="s">
        <v>501</v>
      </c>
      <c r="AE277" s="784" t="s">
        <v>502</v>
      </c>
      <c r="AF277" s="771">
        <v>136.2337778</v>
      </c>
      <c r="AG277" s="771">
        <v>58.66122211</v>
      </c>
      <c r="AH277" s="771">
        <v>251.7734945</v>
      </c>
      <c r="AI277" s="772" t="s">
        <v>233</v>
      </c>
      <c r="AK277" s="769" t="s">
        <v>518</v>
      </c>
      <c r="AL277" s="770" t="s">
        <v>494</v>
      </c>
      <c r="AM277" s="770" t="s">
        <v>507</v>
      </c>
      <c r="AN277" s="770" t="s">
        <v>35</v>
      </c>
      <c r="AO277" s="770" t="s">
        <v>493</v>
      </c>
      <c r="AP277" s="770" t="s">
        <v>504</v>
      </c>
      <c r="AQ277" s="770" t="s">
        <v>501</v>
      </c>
      <c r="AR277" s="784" t="s">
        <v>502</v>
      </c>
      <c r="AS277" s="771">
        <v>398.8727134</v>
      </c>
      <c r="AT277" s="771">
        <v>171.7515378</v>
      </c>
      <c r="AU277" s="771">
        <v>737.1562217</v>
      </c>
      <c r="AV277" s="772" t="s">
        <v>233</v>
      </c>
      <c r="AW277" s="714"/>
    </row>
    <row r="278">
      <c r="A278" s="761"/>
      <c r="B278" s="769" t="s">
        <v>493</v>
      </c>
      <c r="C278" s="770" t="s">
        <v>588</v>
      </c>
      <c r="D278" s="770" t="s">
        <v>494</v>
      </c>
      <c r="E278" s="770" t="s">
        <v>508</v>
      </c>
      <c r="F278" s="770" t="s">
        <v>518</v>
      </c>
      <c r="G278" s="770" t="s">
        <v>103</v>
      </c>
      <c r="H278" s="770">
        <v>2019.0</v>
      </c>
      <c r="I278" s="771">
        <v>40.76293153</v>
      </c>
      <c r="J278" s="771">
        <v>83.09151683</v>
      </c>
      <c r="K278" s="772">
        <v>16.24347073</v>
      </c>
      <c r="M278" s="769" t="s">
        <v>493</v>
      </c>
      <c r="N278" s="770" t="s">
        <v>588</v>
      </c>
      <c r="O278" s="770" t="s">
        <v>494</v>
      </c>
      <c r="P278" s="770" t="s">
        <v>508</v>
      </c>
      <c r="Q278" s="770" t="s">
        <v>518</v>
      </c>
      <c r="R278" s="770" t="s">
        <v>497</v>
      </c>
      <c r="S278" s="770">
        <v>2019.0</v>
      </c>
      <c r="T278" s="771">
        <v>276.9301011</v>
      </c>
      <c r="U278" s="771">
        <v>564.4967449</v>
      </c>
      <c r="V278" s="772">
        <v>110.3528579</v>
      </c>
      <c r="X278" s="769" t="s">
        <v>518</v>
      </c>
      <c r="Y278" s="770" t="s">
        <v>494</v>
      </c>
      <c r="Z278" s="770" t="s">
        <v>509</v>
      </c>
      <c r="AA278" s="770" t="s">
        <v>35</v>
      </c>
      <c r="AB278" s="770" t="s">
        <v>493</v>
      </c>
      <c r="AC278" s="770" t="s">
        <v>103</v>
      </c>
      <c r="AD278" s="770" t="s">
        <v>501</v>
      </c>
      <c r="AE278" s="784" t="s">
        <v>502</v>
      </c>
      <c r="AF278" s="771">
        <v>12.47435059</v>
      </c>
      <c r="AG278" s="771">
        <v>5.920550381</v>
      </c>
      <c r="AH278" s="771">
        <v>22.52306502</v>
      </c>
      <c r="AI278" s="772" t="s">
        <v>233</v>
      </c>
      <c r="AK278" s="769" t="s">
        <v>518</v>
      </c>
      <c r="AL278" s="770" t="s">
        <v>494</v>
      </c>
      <c r="AM278" s="770" t="s">
        <v>509</v>
      </c>
      <c r="AN278" s="770" t="s">
        <v>35</v>
      </c>
      <c r="AO278" s="770" t="s">
        <v>493</v>
      </c>
      <c r="AP278" s="770" t="s">
        <v>504</v>
      </c>
      <c r="AQ278" s="770" t="s">
        <v>501</v>
      </c>
      <c r="AR278" s="784" t="s">
        <v>502</v>
      </c>
      <c r="AS278" s="771">
        <v>593.6882426</v>
      </c>
      <c r="AT278" s="771">
        <v>281.7750812</v>
      </c>
      <c r="AU278" s="771">
        <v>1071.933869</v>
      </c>
      <c r="AV278" s="772" t="s">
        <v>233</v>
      </c>
      <c r="AW278" s="714"/>
    </row>
    <row r="279">
      <c r="A279" s="761"/>
      <c r="B279" s="769" t="s">
        <v>493</v>
      </c>
      <c r="C279" s="770" t="s">
        <v>588</v>
      </c>
      <c r="D279" s="770" t="s">
        <v>494</v>
      </c>
      <c r="E279" s="770" t="s">
        <v>512</v>
      </c>
      <c r="F279" s="770" t="s">
        <v>518</v>
      </c>
      <c r="G279" s="770" t="s">
        <v>103</v>
      </c>
      <c r="H279" s="770">
        <v>2019.0</v>
      </c>
      <c r="I279" s="771">
        <v>4.943420658</v>
      </c>
      <c r="J279" s="771">
        <v>11.20169145</v>
      </c>
      <c r="K279" s="772">
        <v>1.703630778</v>
      </c>
      <c r="M279" s="769" t="s">
        <v>493</v>
      </c>
      <c r="N279" s="770" t="s">
        <v>588</v>
      </c>
      <c r="O279" s="770" t="s">
        <v>494</v>
      </c>
      <c r="P279" s="770" t="s">
        <v>512</v>
      </c>
      <c r="Q279" s="770" t="s">
        <v>518</v>
      </c>
      <c r="R279" s="770" t="s">
        <v>497</v>
      </c>
      <c r="S279" s="770">
        <v>2019.0</v>
      </c>
      <c r="T279" s="771">
        <v>532.1709865</v>
      </c>
      <c r="U279" s="771">
        <v>1205.888716</v>
      </c>
      <c r="V279" s="772">
        <v>183.3999035</v>
      </c>
      <c r="X279" s="769" t="s">
        <v>518</v>
      </c>
      <c r="Y279" s="770" t="s">
        <v>494</v>
      </c>
      <c r="Z279" s="770" t="s">
        <v>513</v>
      </c>
      <c r="AA279" s="770" t="s">
        <v>35</v>
      </c>
      <c r="AB279" s="770" t="s">
        <v>493</v>
      </c>
      <c r="AC279" s="770" t="s">
        <v>103</v>
      </c>
      <c r="AD279" s="770" t="s">
        <v>501</v>
      </c>
      <c r="AE279" s="784" t="s">
        <v>502</v>
      </c>
      <c r="AF279" s="771">
        <v>261.3046733</v>
      </c>
      <c r="AG279" s="771">
        <v>123.7479759</v>
      </c>
      <c r="AH279" s="771">
        <v>469.591155</v>
      </c>
      <c r="AI279" s="772" t="s">
        <v>233</v>
      </c>
      <c r="AK279" s="769" t="s">
        <v>518</v>
      </c>
      <c r="AL279" s="770" t="s">
        <v>494</v>
      </c>
      <c r="AM279" s="770" t="s">
        <v>513</v>
      </c>
      <c r="AN279" s="770" t="s">
        <v>35</v>
      </c>
      <c r="AO279" s="770" t="s">
        <v>493</v>
      </c>
      <c r="AP279" s="770" t="s">
        <v>504</v>
      </c>
      <c r="AQ279" s="770" t="s">
        <v>501</v>
      </c>
      <c r="AR279" s="784" t="s">
        <v>502</v>
      </c>
      <c r="AS279" s="771">
        <v>139.5253346</v>
      </c>
      <c r="AT279" s="771">
        <v>66.07603883</v>
      </c>
      <c r="AU279" s="771">
        <v>250.7412599</v>
      </c>
      <c r="AV279" s="772" t="s">
        <v>233</v>
      </c>
      <c r="AW279" s="714"/>
    </row>
    <row r="280">
      <c r="A280" s="761"/>
      <c r="B280" s="769" t="s">
        <v>493</v>
      </c>
      <c r="C280" s="770" t="s">
        <v>588</v>
      </c>
      <c r="D280" s="770" t="s">
        <v>494</v>
      </c>
      <c r="E280" s="770" t="s">
        <v>495</v>
      </c>
      <c r="F280" s="770" t="s">
        <v>519</v>
      </c>
      <c r="G280" s="770" t="s">
        <v>103</v>
      </c>
      <c r="H280" s="770">
        <v>2019.0</v>
      </c>
      <c r="I280" s="771">
        <v>379.7708836</v>
      </c>
      <c r="J280" s="771">
        <v>488.2215995</v>
      </c>
      <c r="K280" s="772">
        <v>290.3712265</v>
      </c>
      <c r="M280" s="769" t="s">
        <v>493</v>
      </c>
      <c r="N280" s="770" t="s">
        <v>588</v>
      </c>
      <c r="O280" s="770" t="s">
        <v>494</v>
      </c>
      <c r="P280" s="770" t="s">
        <v>495</v>
      </c>
      <c r="Q280" s="770" t="s">
        <v>519</v>
      </c>
      <c r="R280" s="770" t="s">
        <v>497</v>
      </c>
      <c r="S280" s="770">
        <v>2019.0</v>
      </c>
      <c r="T280" s="771">
        <v>486.2225423</v>
      </c>
      <c r="U280" s="771">
        <v>625.0725307</v>
      </c>
      <c r="V280" s="772">
        <v>371.7637188</v>
      </c>
      <c r="X280" s="769" t="s">
        <v>519</v>
      </c>
      <c r="Y280" s="770" t="s">
        <v>494</v>
      </c>
      <c r="Z280" s="770" t="s">
        <v>499</v>
      </c>
      <c r="AA280" s="770" t="s">
        <v>35</v>
      </c>
      <c r="AB280" s="770" t="s">
        <v>493</v>
      </c>
      <c r="AC280" s="770" t="s">
        <v>103</v>
      </c>
      <c r="AD280" s="770" t="s">
        <v>501</v>
      </c>
      <c r="AE280" s="784" t="s">
        <v>502</v>
      </c>
      <c r="AF280" s="771">
        <v>738.4436004</v>
      </c>
      <c r="AG280" s="771">
        <v>568.9093404</v>
      </c>
      <c r="AH280" s="771">
        <v>936.4268621</v>
      </c>
      <c r="AI280" s="772" t="s">
        <v>233</v>
      </c>
      <c r="AK280" s="769" t="s">
        <v>519</v>
      </c>
      <c r="AL280" s="770" t="s">
        <v>494</v>
      </c>
      <c r="AM280" s="770" t="s">
        <v>499</v>
      </c>
      <c r="AN280" s="770" t="s">
        <v>35</v>
      </c>
      <c r="AO280" s="770" t="s">
        <v>493</v>
      </c>
      <c r="AP280" s="770" t="s">
        <v>504</v>
      </c>
      <c r="AQ280" s="770" t="s">
        <v>501</v>
      </c>
      <c r="AR280" s="784" t="s">
        <v>502</v>
      </c>
      <c r="AS280" s="771">
        <v>104029.0035</v>
      </c>
      <c r="AT280" s="771">
        <v>80145.68988</v>
      </c>
      <c r="AU280" s="771">
        <v>131920.0996</v>
      </c>
      <c r="AV280" s="772" t="s">
        <v>233</v>
      </c>
      <c r="AW280" s="714"/>
    </row>
    <row r="281">
      <c r="A281" s="761"/>
      <c r="B281" s="769" t="s">
        <v>493</v>
      </c>
      <c r="C281" s="770" t="s">
        <v>588</v>
      </c>
      <c r="D281" s="770" t="s">
        <v>494</v>
      </c>
      <c r="E281" s="770" t="s">
        <v>505</v>
      </c>
      <c r="F281" s="770" t="s">
        <v>519</v>
      </c>
      <c r="G281" s="770" t="s">
        <v>103</v>
      </c>
      <c r="H281" s="770">
        <v>2019.0</v>
      </c>
      <c r="I281" s="771">
        <v>325.0420922</v>
      </c>
      <c r="J281" s="771">
        <v>413.2179615</v>
      </c>
      <c r="K281" s="772">
        <v>250.2221458</v>
      </c>
      <c r="M281" s="769" t="s">
        <v>493</v>
      </c>
      <c r="N281" s="770" t="s">
        <v>588</v>
      </c>
      <c r="O281" s="770" t="s">
        <v>494</v>
      </c>
      <c r="P281" s="770" t="s">
        <v>505</v>
      </c>
      <c r="Q281" s="770" t="s">
        <v>519</v>
      </c>
      <c r="R281" s="770" t="s">
        <v>497</v>
      </c>
      <c r="S281" s="770">
        <v>2019.0</v>
      </c>
      <c r="T281" s="771">
        <v>103458.3206</v>
      </c>
      <c r="U281" s="771">
        <v>131524.0007</v>
      </c>
      <c r="V281" s="772">
        <v>79643.72497</v>
      </c>
      <c r="X281" s="769" t="s">
        <v>519</v>
      </c>
      <c r="Y281" s="770" t="s">
        <v>494</v>
      </c>
      <c r="Z281" s="770" t="s">
        <v>507</v>
      </c>
      <c r="AA281" s="770" t="s">
        <v>35</v>
      </c>
      <c r="AB281" s="770" t="s">
        <v>493</v>
      </c>
      <c r="AC281" s="770" t="s">
        <v>103</v>
      </c>
      <c r="AD281" s="770" t="s">
        <v>501</v>
      </c>
      <c r="AE281" s="784" t="s">
        <v>502</v>
      </c>
      <c r="AF281" s="771">
        <v>3.668498765</v>
      </c>
      <c r="AG281" s="771">
        <v>1.879822338</v>
      </c>
      <c r="AH281" s="771">
        <v>6.267686976</v>
      </c>
      <c r="AI281" s="772" t="s">
        <v>233</v>
      </c>
      <c r="AK281" s="769" t="s">
        <v>519</v>
      </c>
      <c r="AL281" s="770" t="s">
        <v>494</v>
      </c>
      <c r="AM281" s="770" t="s">
        <v>507</v>
      </c>
      <c r="AN281" s="770" t="s">
        <v>35</v>
      </c>
      <c r="AO281" s="770" t="s">
        <v>493</v>
      </c>
      <c r="AP281" s="770" t="s">
        <v>504</v>
      </c>
      <c r="AQ281" s="770" t="s">
        <v>501</v>
      </c>
      <c r="AR281" s="784" t="s">
        <v>502</v>
      </c>
      <c r="AS281" s="771">
        <v>10.74083153</v>
      </c>
      <c r="AT281" s="771">
        <v>5.503846762</v>
      </c>
      <c r="AU281" s="771">
        <v>18.35087708</v>
      </c>
      <c r="AV281" s="772" t="s">
        <v>233</v>
      </c>
      <c r="AW281" s="714"/>
    </row>
    <row r="282">
      <c r="A282" s="761"/>
      <c r="B282" s="769" t="s">
        <v>493</v>
      </c>
      <c r="C282" s="770" t="s">
        <v>588</v>
      </c>
      <c r="D282" s="770" t="s">
        <v>494</v>
      </c>
      <c r="E282" s="770" t="s">
        <v>508</v>
      </c>
      <c r="F282" s="770" t="s">
        <v>519</v>
      </c>
      <c r="G282" s="770" t="s">
        <v>103</v>
      </c>
      <c r="H282" s="770">
        <v>2019.0</v>
      </c>
      <c r="I282" s="771">
        <v>16.05220412</v>
      </c>
      <c r="J282" s="771">
        <v>33.43290757</v>
      </c>
      <c r="K282" s="772">
        <v>5.350458249</v>
      </c>
      <c r="M282" s="769" t="s">
        <v>493</v>
      </c>
      <c r="N282" s="770" t="s">
        <v>588</v>
      </c>
      <c r="O282" s="770" t="s">
        <v>494</v>
      </c>
      <c r="P282" s="770" t="s">
        <v>508</v>
      </c>
      <c r="Q282" s="770" t="s">
        <v>519</v>
      </c>
      <c r="R282" s="770" t="s">
        <v>497</v>
      </c>
      <c r="S282" s="770">
        <v>2019.0</v>
      </c>
      <c r="T282" s="771">
        <v>109.0534548</v>
      </c>
      <c r="U282" s="771">
        <v>227.1323021</v>
      </c>
      <c r="V282" s="772">
        <v>36.34927343</v>
      </c>
      <c r="X282" s="769" t="s">
        <v>519</v>
      </c>
      <c r="Y282" s="770" t="s">
        <v>494</v>
      </c>
      <c r="Z282" s="770" t="s">
        <v>509</v>
      </c>
      <c r="AA282" s="770" t="s">
        <v>35</v>
      </c>
      <c r="AB282" s="770" t="s">
        <v>493</v>
      </c>
      <c r="AC282" s="770" t="s">
        <v>103</v>
      </c>
      <c r="AD282" s="770" t="s">
        <v>501</v>
      </c>
      <c r="AE282" s="784" t="s">
        <v>502</v>
      </c>
      <c r="AF282" s="771">
        <v>57.53671422</v>
      </c>
      <c r="AG282" s="771">
        <v>35.70301596</v>
      </c>
      <c r="AH282" s="771">
        <v>83.51060504</v>
      </c>
      <c r="AI282" s="772" t="s">
        <v>233</v>
      </c>
      <c r="AK282" s="769" t="s">
        <v>519</v>
      </c>
      <c r="AL282" s="770" t="s">
        <v>494</v>
      </c>
      <c r="AM282" s="770" t="s">
        <v>509</v>
      </c>
      <c r="AN282" s="770" t="s">
        <v>35</v>
      </c>
      <c r="AO282" s="770" t="s">
        <v>493</v>
      </c>
      <c r="AP282" s="770" t="s">
        <v>504</v>
      </c>
      <c r="AQ282" s="770" t="s">
        <v>501</v>
      </c>
      <c r="AR282" s="784" t="s">
        <v>502</v>
      </c>
      <c r="AS282" s="771">
        <v>2738.32858</v>
      </c>
      <c r="AT282" s="771">
        <v>1699.203549</v>
      </c>
      <c r="AU282" s="771">
        <v>3974.496626</v>
      </c>
      <c r="AV282" s="772" t="s">
        <v>233</v>
      </c>
      <c r="AW282" s="714"/>
    </row>
    <row r="283">
      <c r="A283" s="761"/>
      <c r="B283" s="769" t="s">
        <v>493</v>
      </c>
      <c r="C283" s="770" t="s">
        <v>588</v>
      </c>
      <c r="D283" s="770" t="s">
        <v>494</v>
      </c>
      <c r="E283" s="770" t="s">
        <v>512</v>
      </c>
      <c r="F283" s="770" t="s">
        <v>519</v>
      </c>
      <c r="G283" s="770" t="s">
        <v>103</v>
      </c>
      <c r="H283" s="770">
        <v>2019.0</v>
      </c>
      <c r="I283" s="771">
        <v>37.42865966</v>
      </c>
      <c r="J283" s="771">
        <v>49.89191592</v>
      </c>
      <c r="K283" s="772">
        <v>26.75768178</v>
      </c>
      <c r="M283" s="769" t="s">
        <v>493</v>
      </c>
      <c r="N283" s="770" t="s">
        <v>588</v>
      </c>
      <c r="O283" s="770" t="s">
        <v>494</v>
      </c>
      <c r="P283" s="770" t="s">
        <v>512</v>
      </c>
      <c r="Q283" s="770" t="s">
        <v>519</v>
      </c>
      <c r="R283" s="770" t="s">
        <v>497</v>
      </c>
      <c r="S283" s="770">
        <v>2019.0</v>
      </c>
      <c r="T283" s="771">
        <v>4029.284196</v>
      </c>
      <c r="U283" s="771">
        <v>5370.983363</v>
      </c>
      <c r="V283" s="772">
        <v>2880.528058</v>
      </c>
      <c r="X283" s="769" t="s">
        <v>519</v>
      </c>
      <c r="Y283" s="770" t="s">
        <v>494</v>
      </c>
      <c r="Z283" s="770" t="s">
        <v>513</v>
      </c>
      <c r="AA283" s="770" t="s">
        <v>35</v>
      </c>
      <c r="AB283" s="770" t="s">
        <v>493</v>
      </c>
      <c r="AC283" s="770" t="s">
        <v>103</v>
      </c>
      <c r="AD283" s="770" t="s">
        <v>501</v>
      </c>
      <c r="AE283" s="784" t="s">
        <v>502</v>
      </c>
      <c r="AF283" s="771">
        <v>800.3554528</v>
      </c>
      <c r="AG283" s="771">
        <v>618.8967688</v>
      </c>
      <c r="AH283" s="771">
        <v>1015.987525</v>
      </c>
      <c r="AI283" s="772" t="s">
        <v>233</v>
      </c>
      <c r="AK283" s="769" t="s">
        <v>519</v>
      </c>
      <c r="AL283" s="770" t="s">
        <v>494</v>
      </c>
      <c r="AM283" s="770" t="s">
        <v>513</v>
      </c>
      <c r="AN283" s="770" t="s">
        <v>35</v>
      </c>
      <c r="AO283" s="770" t="s">
        <v>493</v>
      </c>
      <c r="AP283" s="770" t="s">
        <v>504</v>
      </c>
      <c r="AQ283" s="770" t="s">
        <v>501</v>
      </c>
      <c r="AR283" s="784" t="s">
        <v>502</v>
      </c>
      <c r="AS283" s="771">
        <v>427.355014</v>
      </c>
      <c r="AT283" s="771">
        <v>330.4639662</v>
      </c>
      <c r="AU283" s="771">
        <v>542.4931656</v>
      </c>
      <c r="AV283" s="772" t="s">
        <v>233</v>
      </c>
      <c r="AW283" s="714"/>
    </row>
    <row r="284">
      <c r="A284" s="761"/>
      <c r="B284" s="769" t="s">
        <v>493</v>
      </c>
      <c r="C284" s="770" t="s">
        <v>588</v>
      </c>
      <c r="D284" s="770" t="s">
        <v>494</v>
      </c>
      <c r="E284" s="770" t="s">
        <v>495</v>
      </c>
      <c r="F284" s="770" t="s">
        <v>521</v>
      </c>
      <c r="G284" s="770" t="s">
        <v>103</v>
      </c>
      <c r="H284" s="770">
        <v>2019.0</v>
      </c>
      <c r="I284" s="771">
        <v>32.39137701</v>
      </c>
      <c r="J284" s="771">
        <v>70.39563048</v>
      </c>
      <c r="K284" s="772">
        <v>11.05304694</v>
      </c>
      <c r="M284" s="786" t="s">
        <v>493</v>
      </c>
      <c r="N284" s="787" t="s">
        <v>588</v>
      </c>
      <c r="O284" s="787" t="s">
        <v>494</v>
      </c>
      <c r="P284" s="787" t="s">
        <v>495</v>
      </c>
      <c r="Q284" s="787" t="s">
        <v>521</v>
      </c>
      <c r="R284" s="787" t="s">
        <v>497</v>
      </c>
      <c r="S284" s="788">
        <v>2019.0</v>
      </c>
      <c r="T284" s="789">
        <v>41.47084033</v>
      </c>
      <c r="U284" s="789">
        <v>90.12787419</v>
      </c>
      <c r="V284" s="790">
        <v>14.15127072</v>
      </c>
      <c r="X284" s="769" t="s">
        <v>521</v>
      </c>
      <c r="Y284" s="770" t="s">
        <v>494</v>
      </c>
      <c r="Z284" s="770" t="s">
        <v>499</v>
      </c>
      <c r="AA284" s="770" t="s">
        <v>35</v>
      </c>
      <c r="AB284" s="770" t="s">
        <v>493</v>
      </c>
      <c r="AC284" s="770" t="s">
        <v>103</v>
      </c>
      <c r="AD284" s="770" t="s">
        <v>501</v>
      </c>
      <c r="AE284" s="784" t="s">
        <v>502</v>
      </c>
      <c r="AF284" s="771">
        <v>0.0</v>
      </c>
      <c r="AG284" s="771">
        <v>0.0</v>
      </c>
      <c r="AH284" s="771">
        <v>0.0</v>
      </c>
      <c r="AI284" s="772" t="s">
        <v>233</v>
      </c>
      <c r="AK284" s="769" t="s">
        <v>521</v>
      </c>
      <c r="AL284" s="770" t="s">
        <v>494</v>
      </c>
      <c r="AM284" s="770" t="s">
        <v>499</v>
      </c>
      <c r="AN284" s="770" t="s">
        <v>35</v>
      </c>
      <c r="AO284" s="770" t="s">
        <v>493</v>
      </c>
      <c r="AP284" s="770" t="s">
        <v>504</v>
      </c>
      <c r="AQ284" s="770" t="s">
        <v>501</v>
      </c>
      <c r="AR284" s="784" t="s">
        <v>502</v>
      </c>
      <c r="AS284" s="771">
        <v>0.0</v>
      </c>
      <c r="AT284" s="771">
        <v>0.0</v>
      </c>
      <c r="AU284" s="771">
        <v>0.0</v>
      </c>
      <c r="AV284" s="772" t="s">
        <v>233</v>
      </c>
      <c r="AW284" s="714"/>
    </row>
    <row r="285">
      <c r="A285" s="761"/>
      <c r="B285" s="769" t="s">
        <v>493</v>
      </c>
      <c r="C285" s="770" t="s">
        <v>588</v>
      </c>
      <c r="D285" s="770" t="s">
        <v>494</v>
      </c>
      <c r="E285" s="770" t="s">
        <v>505</v>
      </c>
      <c r="F285" s="770" t="s">
        <v>521</v>
      </c>
      <c r="G285" s="770" t="s">
        <v>103</v>
      </c>
      <c r="H285" s="770">
        <v>2019.0</v>
      </c>
      <c r="I285" s="771">
        <v>0.0</v>
      </c>
      <c r="J285" s="771">
        <v>0.0</v>
      </c>
      <c r="K285" s="772">
        <v>0.0</v>
      </c>
      <c r="M285" s="776" t="s">
        <v>493</v>
      </c>
      <c r="N285" s="777" t="s">
        <v>588</v>
      </c>
      <c r="O285" s="777" t="s">
        <v>494</v>
      </c>
      <c r="P285" s="777" t="s">
        <v>505</v>
      </c>
      <c r="Q285" s="777" t="s">
        <v>521</v>
      </c>
      <c r="R285" s="777" t="s">
        <v>497</v>
      </c>
      <c r="S285" s="778">
        <v>2019.0</v>
      </c>
      <c r="T285" s="780">
        <v>0.0</v>
      </c>
      <c r="U285" s="780">
        <v>0.0</v>
      </c>
      <c r="V285" s="782">
        <v>0.0</v>
      </c>
      <c r="X285" s="769" t="s">
        <v>521</v>
      </c>
      <c r="Y285" s="770" t="s">
        <v>494</v>
      </c>
      <c r="Z285" s="770" t="s">
        <v>507</v>
      </c>
      <c r="AA285" s="770" t="s">
        <v>35</v>
      </c>
      <c r="AB285" s="770" t="s">
        <v>493</v>
      </c>
      <c r="AC285" s="770" t="s">
        <v>103</v>
      </c>
      <c r="AD285" s="770" t="s">
        <v>501</v>
      </c>
      <c r="AE285" s="784" t="s">
        <v>502</v>
      </c>
      <c r="AF285" s="771">
        <v>0.8928297742</v>
      </c>
      <c r="AG285" s="771">
        <v>0.2395640275</v>
      </c>
      <c r="AH285" s="771">
        <v>2.296131788</v>
      </c>
      <c r="AI285" s="772" t="s">
        <v>233</v>
      </c>
      <c r="AK285" s="769" t="s">
        <v>521</v>
      </c>
      <c r="AL285" s="770" t="s">
        <v>494</v>
      </c>
      <c r="AM285" s="770" t="s">
        <v>507</v>
      </c>
      <c r="AN285" s="770" t="s">
        <v>35</v>
      </c>
      <c r="AO285" s="770" t="s">
        <v>493</v>
      </c>
      <c r="AP285" s="770" t="s">
        <v>504</v>
      </c>
      <c r="AQ285" s="770" t="s">
        <v>501</v>
      </c>
      <c r="AR285" s="784" t="s">
        <v>502</v>
      </c>
      <c r="AS285" s="771">
        <v>2.614075895</v>
      </c>
      <c r="AT285" s="771">
        <v>0.7014086758</v>
      </c>
      <c r="AU285" s="771">
        <v>6.722740362</v>
      </c>
      <c r="AV285" s="772" t="s">
        <v>233</v>
      </c>
      <c r="AW285" s="714"/>
    </row>
    <row r="286">
      <c r="A286" s="761"/>
      <c r="B286" s="769" t="s">
        <v>493</v>
      </c>
      <c r="C286" s="770" t="s">
        <v>588</v>
      </c>
      <c r="D286" s="770" t="s">
        <v>494</v>
      </c>
      <c r="E286" s="770" t="s">
        <v>508</v>
      </c>
      <c r="F286" s="770" t="s">
        <v>521</v>
      </c>
      <c r="G286" s="770" t="s">
        <v>103</v>
      </c>
      <c r="H286" s="770">
        <v>2019.0</v>
      </c>
      <c r="I286" s="771">
        <v>9.551414336</v>
      </c>
      <c r="J286" s="771">
        <v>21.91392272</v>
      </c>
      <c r="K286" s="772">
        <v>3.037871156</v>
      </c>
      <c r="M286" s="776" t="s">
        <v>493</v>
      </c>
      <c r="N286" s="777" t="s">
        <v>588</v>
      </c>
      <c r="O286" s="777" t="s">
        <v>494</v>
      </c>
      <c r="P286" s="777" t="s">
        <v>508</v>
      </c>
      <c r="Q286" s="777" t="s">
        <v>521</v>
      </c>
      <c r="R286" s="777" t="s">
        <v>497</v>
      </c>
      <c r="S286" s="778">
        <v>2019.0</v>
      </c>
      <c r="T286" s="780">
        <v>64.88920298</v>
      </c>
      <c r="U286" s="780">
        <v>148.8760648</v>
      </c>
      <c r="V286" s="782">
        <v>20.63830875</v>
      </c>
      <c r="X286" s="769" t="s">
        <v>521</v>
      </c>
      <c r="Y286" s="770" t="s">
        <v>494</v>
      </c>
      <c r="Z286" s="770" t="s">
        <v>509</v>
      </c>
      <c r="AA286" s="770" t="s">
        <v>35</v>
      </c>
      <c r="AB286" s="770" t="s">
        <v>493</v>
      </c>
      <c r="AC286" s="770" t="s">
        <v>103</v>
      </c>
      <c r="AD286" s="770" t="s">
        <v>501</v>
      </c>
      <c r="AE286" s="784" t="s">
        <v>502</v>
      </c>
      <c r="AF286" s="771">
        <v>0.0</v>
      </c>
      <c r="AG286" s="771">
        <v>0.0</v>
      </c>
      <c r="AH286" s="771">
        <v>0.0</v>
      </c>
      <c r="AI286" s="772" t="s">
        <v>233</v>
      </c>
      <c r="AK286" s="769" t="s">
        <v>521</v>
      </c>
      <c r="AL286" s="770" t="s">
        <v>494</v>
      </c>
      <c r="AM286" s="770" t="s">
        <v>509</v>
      </c>
      <c r="AN286" s="770" t="s">
        <v>35</v>
      </c>
      <c r="AO286" s="770" t="s">
        <v>493</v>
      </c>
      <c r="AP286" s="770" t="s">
        <v>504</v>
      </c>
      <c r="AQ286" s="770" t="s">
        <v>501</v>
      </c>
      <c r="AR286" s="784" t="s">
        <v>502</v>
      </c>
      <c r="AS286" s="771">
        <v>0.0</v>
      </c>
      <c r="AT286" s="771">
        <v>0.0</v>
      </c>
      <c r="AU286" s="771">
        <v>0.0</v>
      </c>
      <c r="AV286" s="772" t="s">
        <v>233</v>
      </c>
      <c r="AW286" s="714"/>
    </row>
    <row r="287">
      <c r="A287" s="761"/>
      <c r="B287" s="769" t="s">
        <v>493</v>
      </c>
      <c r="C287" s="770" t="s">
        <v>588</v>
      </c>
      <c r="D287" s="770" t="s">
        <v>494</v>
      </c>
      <c r="E287" s="770" t="s">
        <v>512</v>
      </c>
      <c r="F287" s="770" t="s">
        <v>521</v>
      </c>
      <c r="G287" s="770" t="s">
        <v>103</v>
      </c>
      <c r="H287" s="770">
        <v>2019.0</v>
      </c>
      <c r="I287" s="771">
        <v>0.0</v>
      </c>
      <c r="J287" s="771">
        <v>0.0</v>
      </c>
      <c r="K287" s="772">
        <v>0.0</v>
      </c>
      <c r="M287" s="786" t="s">
        <v>493</v>
      </c>
      <c r="N287" s="787" t="s">
        <v>588</v>
      </c>
      <c r="O287" s="787" t="s">
        <v>494</v>
      </c>
      <c r="P287" s="787" t="s">
        <v>512</v>
      </c>
      <c r="Q287" s="787" t="s">
        <v>521</v>
      </c>
      <c r="R287" s="787" t="s">
        <v>497</v>
      </c>
      <c r="S287" s="788">
        <v>2019.0</v>
      </c>
      <c r="T287" s="789">
        <v>0.0</v>
      </c>
      <c r="U287" s="789">
        <v>0.0</v>
      </c>
      <c r="V287" s="790">
        <v>0.0</v>
      </c>
      <c r="X287" s="769" t="s">
        <v>521</v>
      </c>
      <c r="Y287" s="770" t="s">
        <v>494</v>
      </c>
      <c r="Z287" s="770" t="s">
        <v>513</v>
      </c>
      <c r="AA287" s="770" t="s">
        <v>35</v>
      </c>
      <c r="AB287" s="770" t="s">
        <v>493</v>
      </c>
      <c r="AC287" s="770" t="s">
        <v>103</v>
      </c>
      <c r="AD287" s="770" t="s">
        <v>501</v>
      </c>
      <c r="AE287" s="784" t="s">
        <v>502</v>
      </c>
      <c r="AF287" s="771">
        <v>4.157590193</v>
      </c>
      <c r="AG287" s="771">
        <v>1.020525877</v>
      </c>
      <c r="AH287" s="771">
        <v>11.43750904</v>
      </c>
      <c r="AI287" s="772" t="s">
        <v>233</v>
      </c>
      <c r="AK287" s="769" t="s">
        <v>521</v>
      </c>
      <c r="AL287" s="770" t="s">
        <v>494</v>
      </c>
      <c r="AM287" s="770" t="s">
        <v>513</v>
      </c>
      <c r="AN287" s="770" t="s">
        <v>35</v>
      </c>
      <c r="AO287" s="770" t="s">
        <v>493</v>
      </c>
      <c r="AP287" s="770" t="s">
        <v>504</v>
      </c>
      <c r="AQ287" s="770" t="s">
        <v>501</v>
      </c>
      <c r="AR287" s="784" t="s">
        <v>502</v>
      </c>
      <c r="AS287" s="771">
        <v>2.2199724</v>
      </c>
      <c r="AT287" s="771">
        <v>0.5449164478</v>
      </c>
      <c r="AU287" s="771">
        <v>6.10713255</v>
      </c>
      <c r="AV287" s="772" t="s">
        <v>233</v>
      </c>
      <c r="AW287" s="714"/>
    </row>
    <row r="288">
      <c r="A288" s="761"/>
      <c r="B288" s="769" t="s">
        <v>493</v>
      </c>
      <c r="C288" s="770" t="s">
        <v>588</v>
      </c>
      <c r="D288" s="770" t="s">
        <v>494</v>
      </c>
      <c r="E288" s="770" t="s">
        <v>495</v>
      </c>
      <c r="F288" s="770" t="s">
        <v>523</v>
      </c>
      <c r="G288" s="770" t="s">
        <v>103</v>
      </c>
      <c r="H288" s="770">
        <v>2019.0</v>
      </c>
      <c r="I288" s="771">
        <v>17.99249459</v>
      </c>
      <c r="J288" s="771">
        <v>28.33376924</v>
      </c>
      <c r="K288" s="772">
        <v>10.32026684</v>
      </c>
      <c r="M288" s="769" t="s">
        <v>493</v>
      </c>
      <c r="N288" s="770" t="s">
        <v>588</v>
      </c>
      <c r="O288" s="770" t="s">
        <v>494</v>
      </c>
      <c r="P288" s="770" t="s">
        <v>495</v>
      </c>
      <c r="Q288" s="770" t="s">
        <v>523</v>
      </c>
      <c r="R288" s="770" t="s">
        <v>497</v>
      </c>
      <c r="S288" s="770">
        <v>2019.0</v>
      </c>
      <c r="T288" s="771">
        <v>23.03587989</v>
      </c>
      <c r="U288" s="771">
        <v>36.27586502</v>
      </c>
      <c r="V288" s="772">
        <v>13.21308872</v>
      </c>
      <c r="X288" s="769" t="s">
        <v>523</v>
      </c>
      <c r="Y288" s="770" t="s">
        <v>494</v>
      </c>
      <c r="Z288" s="770" t="s">
        <v>507</v>
      </c>
      <c r="AA288" s="770" t="s">
        <v>35</v>
      </c>
      <c r="AB288" s="770" t="s">
        <v>493</v>
      </c>
      <c r="AC288" s="770" t="s">
        <v>103</v>
      </c>
      <c r="AD288" s="770" t="s">
        <v>501</v>
      </c>
      <c r="AE288" s="784" t="s">
        <v>502</v>
      </c>
      <c r="AF288" s="771">
        <v>6.504526225</v>
      </c>
      <c r="AG288" s="771">
        <v>2.777125092</v>
      </c>
      <c r="AH288" s="771">
        <v>12.01286326</v>
      </c>
      <c r="AI288" s="772" t="s">
        <v>233</v>
      </c>
      <c r="AK288" s="769" t="s">
        <v>523</v>
      </c>
      <c r="AL288" s="770" t="s">
        <v>494</v>
      </c>
      <c r="AM288" s="770" t="s">
        <v>507</v>
      </c>
      <c r="AN288" s="770" t="s">
        <v>35</v>
      </c>
      <c r="AO288" s="770" t="s">
        <v>493</v>
      </c>
      <c r="AP288" s="770" t="s">
        <v>504</v>
      </c>
      <c r="AQ288" s="770" t="s">
        <v>501</v>
      </c>
      <c r="AR288" s="784" t="s">
        <v>502</v>
      </c>
      <c r="AS288" s="771">
        <v>19.044308</v>
      </c>
      <c r="AT288" s="771">
        <v>8.131018891</v>
      </c>
      <c r="AU288" s="771">
        <v>35.17191877</v>
      </c>
      <c r="AV288" s="772" t="s">
        <v>233</v>
      </c>
      <c r="AW288" s="714"/>
    </row>
    <row r="289">
      <c r="A289" s="761"/>
      <c r="B289" s="769" t="s">
        <v>493</v>
      </c>
      <c r="C289" s="770" t="s">
        <v>588</v>
      </c>
      <c r="D289" s="770" t="s">
        <v>494</v>
      </c>
      <c r="E289" s="770" t="s">
        <v>505</v>
      </c>
      <c r="F289" s="770" t="s">
        <v>523</v>
      </c>
      <c r="G289" s="770" t="s">
        <v>103</v>
      </c>
      <c r="H289" s="770">
        <v>2019.0</v>
      </c>
      <c r="I289" s="771">
        <v>0.0</v>
      </c>
      <c r="J289" s="771">
        <v>0.0</v>
      </c>
      <c r="K289" s="772">
        <v>0.0</v>
      </c>
      <c r="M289" s="769" t="s">
        <v>493</v>
      </c>
      <c r="N289" s="770" t="s">
        <v>588</v>
      </c>
      <c r="O289" s="770" t="s">
        <v>494</v>
      </c>
      <c r="P289" s="770" t="s">
        <v>505</v>
      </c>
      <c r="Q289" s="770" t="s">
        <v>523</v>
      </c>
      <c r="R289" s="770" t="s">
        <v>497</v>
      </c>
      <c r="S289" s="770">
        <v>2019.0</v>
      </c>
      <c r="T289" s="771">
        <v>0.0</v>
      </c>
      <c r="U289" s="771">
        <v>0.0</v>
      </c>
      <c r="V289" s="772">
        <v>0.0</v>
      </c>
      <c r="X289" s="769" t="s">
        <v>523</v>
      </c>
      <c r="Y289" s="770" t="s">
        <v>494</v>
      </c>
      <c r="Z289" s="770" t="s">
        <v>513</v>
      </c>
      <c r="AA289" s="770" t="s">
        <v>35</v>
      </c>
      <c r="AB289" s="770" t="s">
        <v>493</v>
      </c>
      <c r="AC289" s="770" t="s">
        <v>103</v>
      </c>
      <c r="AD289" s="770" t="s">
        <v>501</v>
      </c>
      <c r="AE289" s="784" t="s">
        <v>502</v>
      </c>
      <c r="AF289" s="771">
        <v>10.94014326</v>
      </c>
      <c r="AG289" s="771">
        <v>5.01380852</v>
      </c>
      <c r="AH289" s="771">
        <v>20.00972548</v>
      </c>
      <c r="AI289" s="772" t="s">
        <v>233</v>
      </c>
      <c r="AK289" s="769" t="s">
        <v>523</v>
      </c>
      <c r="AL289" s="770" t="s">
        <v>494</v>
      </c>
      <c r="AM289" s="770" t="s">
        <v>513</v>
      </c>
      <c r="AN289" s="770" t="s">
        <v>35</v>
      </c>
      <c r="AO289" s="770" t="s">
        <v>493</v>
      </c>
      <c r="AP289" s="770" t="s">
        <v>504</v>
      </c>
      <c r="AQ289" s="770" t="s">
        <v>501</v>
      </c>
      <c r="AR289" s="784" t="s">
        <v>502</v>
      </c>
      <c r="AS289" s="771">
        <v>5.841560845</v>
      </c>
      <c r="AT289" s="771">
        <v>2.67715576</v>
      </c>
      <c r="AU289" s="771">
        <v>10.68432343</v>
      </c>
      <c r="AV289" s="772" t="s">
        <v>233</v>
      </c>
      <c r="AW289" s="714"/>
    </row>
    <row r="290">
      <c r="A290" s="761"/>
      <c r="B290" s="769" t="s">
        <v>493</v>
      </c>
      <c r="C290" s="770" t="s">
        <v>588</v>
      </c>
      <c r="D290" s="770" t="s">
        <v>494</v>
      </c>
      <c r="E290" s="770" t="s">
        <v>508</v>
      </c>
      <c r="F290" s="770" t="s">
        <v>523</v>
      </c>
      <c r="G290" s="770" t="s">
        <v>103</v>
      </c>
      <c r="H290" s="770">
        <v>2019.0</v>
      </c>
      <c r="I290" s="771">
        <v>9.149479677</v>
      </c>
      <c r="J290" s="771">
        <v>16.34765311</v>
      </c>
      <c r="K290" s="772">
        <v>4.420151135</v>
      </c>
      <c r="M290" s="769" t="s">
        <v>493</v>
      </c>
      <c r="N290" s="770" t="s">
        <v>588</v>
      </c>
      <c r="O290" s="770" t="s">
        <v>494</v>
      </c>
      <c r="P290" s="770" t="s">
        <v>508</v>
      </c>
      <c r="Q290" s="770" t="s">
        <v>523</v>
      </c>
      <c r="R290" s="770" t="s">
        <v>497</v>
      </c>
      <c r="S290" s="770">
        <v>2019.0</v>
      </c>
      <c r="T290" s="771">
        <v>62.15858962</v>
      </c>
      <c r="U290" s="771">
        <v>111.0606391</v>
      </c>
      <c r="V290" s="772">
        <v>30.02906943</v>
      </c>
      <c r="X290" s="769" t="s">
        <v>496</v>
      </c>
      <c r="Y290" s="770" t="s">
        <v>494</v>
      </c>
      <c r="Z290" s="770" t="s">
        <v>499</v>
      </c>
      <c r="AA290" s="770" t="s">
        <v>592</v>
      </c>
      <c r="AB290" s="770" t="s">
        <v>493</v>
      </c>
      <c r="AC290" s="770" t="s">
        <v>103</v>
      </c>
      <c r="AD290" s="770" t="s">
        <v>501</v>
      </c>
      <c r="AE290" s="784" t="s">
        <v>502</v>
      </c>
      <c r="AF290" s="771">
        <v>2317.840778</v>
      </c>
      <c r="AG290" s="771">
        <v>1867.989963</v>
      </c>
      <c r="AH290" s="771">
        <v>2881.291108</v>
      </c>
      <c r="AI290" s="772" t="s">
        <v>233</v>
      </c>
      <c r="AK290" s="769" t="s">
        <v>496</v>
      </c>
      <c r="AL290" s="770" t="s">
        <v>494</v>
      </c>
      <c r="AM290" s="770" t="s">
        <v>499</v>
      </c>
      <c r="AN290" s="770" t="s">
        <v>592</v>
      </c>
      <c r="AO290" s="770" t="s">
        <v>493</v>
      </c>
      <c r="AP290" s="770" t="s">
        <v>504</v>
      </c>
      <c r="AQ290" s="770" t="s">
        <v>501</v>
      </c>
      <c r="AR290" s="784" t="s">
        <v>502</v>
      </c>
      <c r="AS290" s="771">
        <v>106875.9592</v>
      </c>
      <c r="AT290" s="771">
        <v>86133.27582</v>
      </c>
      <c r="AU290" s="771">
        <v>132856.7319</v>
      </c>
      <c r="AV290" s="772" t="s">
        <v>233</v>
      </c>
      <c r="AW290" s="714"/>
    </row>
    <row r="291">
      <c r="A291" s="761"/>
      <c r="B291" s="769" t="s">
        <v>493</v>
      </c>
      <c r="C291" s="770" t="s">
        <v>588</v>
      </c>
      <c r="D291" s="770" t="s">
        <v>494</v>
      </c>
      <c r="E291" s="770" t="s">
        <v>512</v>
      </c>
      <c r="F291" s="770" t="s">
        <v>523</v>
      </c>
      <c r="G291" s="770" t="s">
        <v>103</v>
      </c>
      <c r="H291" s="770">
        <v>2019.0</v>
      </c>
      <c r="I291" s="771">
        <v>0.0</v>
      </c>
      <c r="J291" s="771">
        <v>0.0</v>
      </c>
      <c r="K291" s="772">
        <v>0.0</v>
      </c>
      <c r="M291" s="769" t="s">
        <v>493</v>
      </c>
      <c r="N291" s="770" t="s">
        <v>588</v>
      </c>
      <c r="O291" s="770" t="s">
        <v>494</v>
      </c>
      <c r="P291" s="770" t="s">
        <v>512</v>
      </c>
      <c r="Q291" s="770" t="s">
        <v>523</v>
      </c>
      <c r="R291" s="770" t="s">
        <v>497</v>
      </c>
      <c r="S291" s="770">
        <v>2019.0</v>
      </c>
      <c r="T291" s="771">
        <v>0.0</v>
      </c>
      <c r="U291" s="771">
        <v>0.0</v>
      </c>
      <c r="V291" s="772">
        <v>0.0</v>
      </c>
      <c r="X291" s="769" t="s">
        <v>496</v>
      </c>
      <c r="Y291" s="770" t="s">
        <v>494</v>
      </c>
      <c r="Z291" s="770" t="s">
        <v>507</v>
      </c>
      <c r="AA291" s="770" t="s">
        <v>592</v>
      </c>
      <c r="AB291" s="770" t="s">
        <v>493</v>
      </c>
      <c r="AC291" s="770" t="s">
        <v>103</v>
      </c>
      <c r="AD291" s="770" t="s">
        <v>501</v>
      </c>
      <c r="AE291" s="784" t="s">
        <v>502</v>
      </c>
      <c r="AF291" s="771">
        <v>1224.122058</v>
      </c>
      <c r="AG291" s="771">
        <v>987.6772315</v>
      </c>
      <c r="AH291" s="771">
        <v>1526.025823</v>
      </c>
      <c r="AI291" s="772" t="s">
        <v>233</v>
      </c>
      <c r="AK291" s="769" t="s">
        <v>496</v>
      </c>
      <c r="AL291" s="770" t="s">
        <v>494</v>
      </c>
      <c r="AM291" s="770" t="s">
        <v>507</v>
      </c>
      <c r="AN291" s="770" t="s">
        <v>592</v>
      </c>
      <c r="AO291" s="770" t="s">
        <v>493</v>
      </c>
      <c r="AP291" s="770" t="s">
        <v>504</v>
      </c>
      <c r="AQ291" s="770" t="s">
        <v>501</v>
      </c>
      <c r="AR291" s="784" t="s">
        <v>502</v>
      </c>
      <c r="AS291" s="771">
        <v>1191.999051</v>
      </c>
      <c r="AT291" s="771">
        <v>961.7589312</v>
      </c>
      <c r="AU291" s="771">
        <v>1485.980357</v>
      </c>
      <c r="AV291" s="772" t="s">
        <v>233</v>
      </c>
      <c r="AW291" s="714"/>
    </row>
    <row r="292">
      <c r="A292" s="761"/>
      <c r="B292" s="769" t="s">
        <v>493</v>
      </c>
      <c r="C292" s="770" t="s">
        <v>593</v>
      </c>
      <c r="D292" s="770" t="s">
        <v>494</v>
      </c>
      <c r="E292" s="770" t="s">
        <v>495</v>
      </c>
      <c r="F292" s="770" t="s">
        <v>496</v>
      </c>
      <c r="G292" s="770" t="s">
        <v>103</v>
      </c>
      <c r="H292" s="770">
        <v>2019.0</v>
      </c>
      <c r="I292" s="771">
        <v>5759.005131</v>
      </c>
      <c r="J292" s="771">
        <v>6893.284281</v>
      </c>
      <c r="K292" s="772">
        <v>4811.65109</v>
      </c>
      <c r="M292" s="769" t="s">
        <v>493</v>
      </c>
      <c r="N292" s="770" t="s">
        <v>593</v>
      </c>
      <c r="O292" s="770" t="s">
        <v>494</v>
      </c>
      <c r="P292" s="770" t="s">
        <v>495</v>
      </c>
      <c r="Q292" s="770" t="s">
        <v>496</v>
      </c>
      <c r="R292" s="770" t="s">
        <v>497</v>
      </c>
      <c r="S292" s="770">
        <v>2019.0</v>
      </c>
      <c r="T292" s="771">
        <v>828.3273928</v>
      </c>
      <c r="U292" s="771">
        <v>991.4726704</v>
      </c>
      <c r="V292" s="772">
        <v>692.0678679</v>
      </c>
      <c r="X292" s="769" t="s">
        <v>496</v>
      </c>
      <c r="Y292" s="770" t="s">
        <v>494</v>
      </c>
      <c r="Z292" s="770" t="s">
        <v>509</v>
      </c>
      <c r="AA292" s="770" t="s">
        <v>592</v>
      </c>
      <c r="AB292" s="770" t="s">
        <v>493</v>
      </c>
      <c r="AC292" s="770" t="s">
        <v>103</v>
      </c>
      <c r="AD292" s="770" t="s">
        <v>501</v>
      </c>
      <c r="AE292" s="784" t="s">
        <v>502</v>
      </c>
      <c r="AF292" s="771">
        <v>364.6540128</v>
      </c>
      <c r="AG292" s="771">
        <v>290.279667</v>
      </c>
      <c r="AH292" s="771">
        <v>457.9654541</v>
      </c>
      <c r="AI292" s="772" t="s">
        <v>233</v>
      </c>
      <c r="AK292" s="769" t="s">
        <v>496</v>
      </c>
      <c r="AL292" s="770" t="s">
        <v>494</v>
      </c>
      <c r="AM292" s="770" t="s">
        <v>509</v>
      </c>
      <c r="AN292" s="770" t="s">
        <v>592</v>
      </c>
      <c r="AO292" s="770" t="s">
        <v>493</v>
      </c>
      <c r="AP292" s="770" t="s">
        <v>504</v>
      </c>
      <c r="AQ292" s="770" t="s">
        <v>501</v>
      </c>
      <c r="AR292" s="784" t="s">
        <v>502</v>
      </c>
      <c r="AS292" s="771">
        <v>5674.481268</v>
      </c>
      <c r="AT292" s="771">
        <v>4517.121641</v>
      </c>
      <c r="AU292" s="771">
        <v>7126.526239</v>
      </c>
      <c r="AV292" s="772" t="s">
        <v>233</v>
      </c>
      <c r="AW292" s="714"/>
    </row>
    <row r="293">
      <c r="A293" s="761"/>
      <c r="B293" s="769" t="s">
        <v>493</v>
      </c>
      <c r="C293" s="770" t="s">
        <v>593</v>
      </c>
      <c r="D293" s="770" t="s">
        <v>494</v>
      </c>
      <c r="E293" s="770" t="s">
        <v>505</v>
      </c>
      <c r="F293" s="770" t="s">
        <v>496</v>
      </c>
      <c r="G293" s="770" t="s">
        <v>103</v>
      </c>
      <c r="H293" s="770">
        <v>2019.0</v>
      </c>
      <c r="I293" s="771">
        <v>2224.23836</v>
      </c>
      <c r="J293" s="771">
        <v>2628.93473</v>
      </c>
      <c r="K293" s="772">
        <v>1869.939753</v>
      </c>
      <c r="M293" s="769" t="s">
        <v>493</v>
      </c>
      <c r="N293" s="770" t="s">
        <v>593</v>
      </c>
      <c r="O293" s="770" t="s">
        <v>494</v>
      </c>
      <c r="P293" s="770" t="s">
        <v>505</v>
      </c>
      <c r="Q293" s="770" t="s">
        <v>496</v>
      </c>
      <c r="R293" s="770" t="s">
        <v>497</v>
      </c>
      <c r="S293" s="770">
        <v>2019.0</v>
      </c>
      <c r="T293" s="771">
        <v>81341.20103</v>
      </c>
      <c r="U293" s="771">
        <v>96141.09361</v>
      </c>
      <c r="V293" s="772">
        <v>68384.37285</v>
      </c>
      <c r="X293" s="769" t="s">
        <v>496</v>
      </c>
      <c r="Y293" s="770" t="s">
        <v>494</v>
      </c>
      <c r="Z293" s="770" t="s">
        <v>513</v>
      </c>
      <c r="AA293" s="770" t="s">
        <v>592</v>
      </c>
      <c r="AB293" s="770" t="s">
        <v>493</v>
      </c>
      <c r="AC293" s="770" t="s">
        <v>103</v>
      </c>
      <c r="AD293" s="770" t="s">
        <v>501</v>
      </c>
      <c r="AE293" s="784" t="s">
        <v>502</v>
      </c>
      <c r="AF293" s="771">
        <v>5108.295659</v>
      </c>
      <c r="AG293" s="771">
        <v>4114.410805</v>
      </c>
      <c r="AH293" s="771">
        <v>6375.995343</v>
      </c>
      <c r="AI293" s="772" t="s">
        <v>233</v>
      </c>
      <c r="AK293" s="769" t="s">
        <v>496</v>
      </c>
      <c r="AL293" s="770" t="s">
        <v>494</v>
      </c>
      <c r="AM293" s="770" t="s">
        <v>513</v>
      </c>
      <c r="AN293" s="770" t="s">
        <v>592</v>
      </c>
      <c r="AO293" s="770" t="s">
        <v>493</v>
      </c>
      <c r="AP293" s="770" t="s">
        <v>504</v>
      </c>
      <c r="AQ293" s="770" t="s">
        <v>501</v>
      </c>
      <c r="AR293" s="784" t="s">
        <v>502</v>
      </c>
      <c r="AS293" s="771">
        <v>895.0929451</v>
      </c>
      <c r="AT293" s="771">
        <v>720.9410595</v>
      </c>
      <c r="AU293" s="771">
        <v>1117.223597</v>
      </c>
      <c r="AV293" s="772" t="s">
        <v>233</v>
      </c>
      <c r="AW293" s="714"/>
    </row>
    <row r="294">
      <c r="A294" s="761"/>
      <c r="B294" s="769" t="s">
        <v>493</v>
      </c>
      <c r="C294" s="770" t="s">
        <v>593</v>
      </c>
      <c r="D294" s="770" t="s">
        <v>494</v>
      </c>
      <c r="E294" s="770" t="s">
        <v>508</v>
      </c>
      <c r="F294" s="770" t="s">
        <v>496</v>
      </c>
      <c r="G294" s="770" t="s">
        <v>103</v>
      </c>
      <c r="H294" s="770">
        <v>2019.0</v>
      </c>
      <c r="I294" s="771">
        <v>1360.079409</v>
      </c>
      <c r="J294" s="771">
        <v>1662.193127</v>
      </c>
      <c r="K294" s="772">
        <v>1085.327789</v>
      </c>
      <c r="M294" s="769" t="s">
        <v>493</v>
      </c>
      <c r="N294" s="770" t="s">
        <v>593</v>
      </c>
      <c r="O294" s="770" t="s">
        <v>494</v>
      </c>
      <c r="P294" s="770" t="s">
        <v>508</v>
      </c>
      <c r="Q294" s="770" t="s">
        <v>496</v>
      </c>
      <c r="R294" s="770" t="s">
        <v>497</v>
      </c>
      <c r="S294" s="770">
        <v>2019.0</v>
      </c>
      <c r="T294" s="771">
        <v>1052.620682</v>
      </c>
      <c r="U294" s="771">
        <v>1286.438756</v>
      </c>
      <c r="V294" s="772">
        <v>839.9792471</v>
      </c>
      <c r="X294" s="769" t="s">
        <v>514</v>
      </c>
      <c r="Y294" s="770" t="s">
        <v>494</v>
      </c>
      <c r="Z294" s="770" t="s">
        <v>499</v>
      </c>
      <c r="AA294" s="770" t="s">
        <v>592</v>
      </c>
      <c r="AB294" s="770" t="s">
        <v>493</v>
      </c>
      <c r="AC294" s="770" t="s">
        <v>103</v>
      </c>
      <c r="AD294" s="770" t="s">
        <v>501</v>
      </c>
      <c r="AE294" s="784" t="s">
        <v>502</v>
      </c>
      <c r="AF294" s="771">
        <v>2133.327156</v>
      </c>
      <c r="AG294" s="771">
        <v>1727.126668</v>
      </c>
      <c r="AH294" s="771">
        <v>2664.76217</v>
      </c>
      <c r="AI294" s="772" t="s">
        <v>233</v>
      </c>
      <c r="AK294" s="769" t="s">
        <v>514</v>
      </c>
      <c r="AL294" s="770" t="s">
        <v>494</v>
      </c>
      <c r="AM294" s="770" t="s">
        <v>499</v>
      </c>
      <c r="AN294" s="770" t="s">
        <v>592</v>
      </c>
      <c r="AO294" s="770" t="s">
        <v>493</v>
      </c>
      <c r="AP294" s="770" t="s">
        <v>504</v>
      </c>
      <c r="AQ294" s="770" t="s">
        <v>501</v>
      </c>
      <c r="AR294" s="784" t="s">
        <v>502</v>
      </c>
      <c r="AS294" s="771">
        <v>98368.01053</v>
      </c>
      <c r="AT294" s="771">
        <v>79638.04976</v>
      </c>
      <c r="AU294" s="771">
        <v>122872.5526</v>
      </c>
      <c r="AV294" s="772" t="s">
        <v>233</v>
      </c>
      <c r="AW294" s="714"/>
    </row>
    <row r="295">
      <c r="A295" s="761"/>
      <c r="B295" s="769" t="s">
        <v>493</v>
      </c>
      <c r="C295" s="770" t="s">
        <v>593</v>
      </c>
      <c r="D295" s="770" t="s">
        <v>494</v>
      </c>
      <c r="E295" s="770" t="s">
        <v>512</v>
      </c>
      <c r="F295" s="770" t="s">
        <v>496</v>
      </c>
      <c r="G295" s="770" t="s">
        <v>103</v>
      </c>
      <c r="H295" s="770">
        <v>2019.0</v>
      </c>
      <c r="I295" s="771">
        <v>453.8500882</v>
      </c>
      <c r="J295" s="771">
        <v>538.1667769</v>
      </c>
      <c r="K295" s="772">
        <v>380.2824619</v>
      </c>
      <c r="M295" s="769" t="s">
        <v>493</v>
      </c>
      <c r="N295" s="770" t="s">
        <v>593</v>
      </c>
      <c r="O295" s="770" t="s">
        <v>494</v>
      </c>
      <c r="P295" s="770" t="s">
        <v>512</v>
      </c>
      <c r="Q295" s="770" t="s">
        <v>496</v>
      </c>
      <c r="R295" s="770" t="s">
        <v>497</v>
      </c>
      <c r="S295" s="770">
        <v>2019.0</v>
      </c>
      <c r="T295" s="771">
        <v>5585.571905</v>
      </c>
      <c r="U295" s="771">
        <v>6623.264614</v>
      </c>
      <c r="V295" s="772">
        <v>4680.168828</v>
      </c>
      <c r="X295" s="769" t="s">
        <v>514</v>
      </c>
      <c r="Y295" s="770" t="s">
        <v>494</v>
      </c>
      <c r="Z295" s="770" t="s">
        <v>507</v>
      </c>
      <c r="AA295" s="770" t="s">
        <v>592</v>
      </c>
      <c r="AB295" s="770" t="s">
        <v>493</v>
      </c>
      <c r="AC295" s="770" t="s">
        <v>103</v>
      </c>
      <c r="AD295" s="770" t="s">
        <v>501</v>
      </c>
      <c r="AE295" s="784" t="s">
        <v>502</v>
      </c>
      <c r="AF295" s="771">
        <v>1054.150548</v>
      </c>
      <c r="AG295" s="771">
        <v>836.7270005</v>
      </c>
      <c r="AH295" s="771">
        <v>1328.737444</v>
      </c>
      <c r="AI295" s="772" t="s">
        <v>233</v>
      </c>
      <c r="AK295" s="769" t="s">
        <v>514</v>
      </c>
      <c r="AL295" s="770" t="s">
        <v>494</v>
      </c>
      <c r="AM295" s="770" t="s">
        <v>507</v>
      </c>
      <c r="AN295" s="770" t="s">
        <v>592</v>
      </c>
      <c r="AO295" s="770" t="s">
        <v>493</v>
      </c>
      <c r="AP295" s="770" t="s">
        <v>504</v>
      </c>
      <c r="AQ295" s="770" t="s">
        <v>501</v>
      </c>
      <c r="AR295" s="784" t="s">
        <v>502</v>
      </c>
      <c r="AS295" s="771">
        <v>1026.487877</v>
      </c>
      <c r="AT295" s="771">
        <v>814.7698863</v>
      </c>
      <c r="AU295" s="771">
        <v>1293.869154</v>
      </c>
      <c r="AV295" s="772" t="s">
        <v>233</v>
      </c>
      <c r="AW295" s="714"/>
    </row>
    <row r="296">
      <c r="A296" s="761"/>
      <c r="B296" s="769" t="s">
        <v>493</v>
      </c>
      <c r="C296" s="770" t="s">
        <v>593</v>
      </c>
      <c r="D296" s="770" t="s">
        <v>494</v>
      </c>
      <c r="E296" s="770" t="s">
        <v>495</v>
      </c>
      <c r="F296" s="770" t="s">
        <v>514</v>
      </c>
      <c r="G296" s="770" t="s">
        <v>103</v>
      </c>
      <c r="H296" s="770">
        <v>2019.0</v>
      </c>
      <c r="I296" s="771">
        <v>5044.503462</v>
      </c>
      <c r="J296" s="771">
        <v>6069.782832</v>
      </c>
      <c r="K296" s="772">
        <v>4208.413983</v>
      </c>
      <c r="M296" s="769" t="s">
        <v>493</v>
      </c>
      <c r="N296" s="770" t="s">
        <v>593</v>
      </c>
      <c r="O296" s="770" t="s">
        <v>494</v>
      </c>
      <c r="P296" s="770" t="s">
        <v>495</v>
      </c>
      <c r="Q296" s="770" t="s">
        <v>514</v>
      </c>
      <c r="R296" s="770" t="s">
        <v>497</v>
      </c>
      <c r="S296" s="770">
        <v>2019.0</v>
      </c>
      <c r="T296" s="771">
        <v>725.5594162</v>
      </c>
      <c r="U296" s="771">
        <v>873.0270721</v>
      </c>
      <c r="V296" s="772">
        <v>605.3032604</v>
      </c>
      <c r="X296" s="769" t="s">
        <v>514</v>
      </c>
      <c r="Y296" s="770" t="s">
        <v>494</v>
      </c>
      <c r="Z296" s="770" t="s">
        <v>509</v>
      </c>
      <c r="AA296" s="770" t="s">
        <v>592</v>
      </c>
      <c r="AB296" s="770" t="s">
        <v>493</v>
      </c>
      <c r="AC296" s="770" t="s">
        <v>103</v>
      </c>
      <c r="AD296" s="770" t="s">
        <v>501</v>
      </c>
      <c r="AE296" s="784" t="s">
        <v>502</v>
      </c>
      <c r="AF296" s="771">
        <v>323.7940078</v>
      </c>
      <c r="AG296" s="771">
        <v>257.7915753</v>
      </c>
      <c r="AH296" s="771">
        <v>409.835268</v>
      </c>
      <c r="AI296" s="772" t="s">
        <v>233</v>
      </c>
      <c r="AK296" s="769" t="s">
        <v>514</v>
      </c>
      <c r="AL296" s="770" t="s">
        <v>494</v>
      </c>
      <c r="AM296" s="770" t="s">
        <v>509</v>
      </c>
      <c r="AN296" s="770" t="s">
        <v>592</v>
      </c>
      <c r="AO296" s="770" t="s">
        <v>493</v>
      </c>
      <c r="AP296" s="770" t="s">
        <v>504</v>
      </c>
      <c r="AQ296" s="770" t="s">
        <v>501</v>
      </c>
      <c r="AR296" s="784" t="s">
        <v>502</v>
      </c>
      <c r="AS296" s="771">
        <v>5038.647505</v>
      </c>
      <c r="AT296" s="771">
        <v>4011.565521</v>
      </c>
      <c r="AU296" s="771">
        <v>6377.559191</v>
      </c>
      <c r="AV296" s="772" t="s">
        <v>233</v>
      </c>
      <c r="AW296" s="714"/>
    </row>
    <row r="297">
      <c r="A297" s="761"/>
      <c r="B297" s="769" t="s">
        <v>493</v>
      </c>
      <c r="C297" s="770" t="s">
        <v>593</v>
      </c>
      <c r="D297" s="770" t="s">
        <v>494</v>
      </c>
      <c r="E297" s="770" t="s">
        <v>505</v>
      </c>
      <c r="F297" s="770" t="s">
        <v>514</v>
      </c>
      <c r="G297" s="770" t="s">
        <v>103</v>
      </c>
      <c r="H297" s="770">
        <v>2019.0</v>
      </c>
      <c r="I297" s="771">
        <v>2018.467859</v>
      </c>
      <c r="J297" s="771">
        <v>2387.169861</v>
      </c>
      <c r="K297" s="772">
        <v>1699.378612</v>
      </c>
      <c r="M297" s="769" t="s">
        <v>493</v>
      </c>
      <c r="N297" s="770" t="s">
        <v>593</v>
      </c>
      <c r="O297" s="770" t="s">
        <v>494</v>
      </c>
      <c r="P297" s="770" t="s">
        <v>505</v>
      </c>
      <c r="Q297" s="770" t="s">
        <v>514</v>
      </c>
      <c r="R297" s="770" t="s">
        <v>497</v>
      </c>
      <c r="S297" s="770">
        <v>2019.0</v>
      </c>
      <c r="T297" s="771">
        <v>73816.0994</v>
      </c>
      <c r="U297" s="771">
        <v>87299.66492</v>
      </c>
      <c r="V297" s="772">
        <v>62146.89026</v>
      </c>
      <c r="X297" s="769" t="s">
        <v>514</v>
      </c>
      <c r="Y297" s="770" t="s">
        <v>494</v>
      </c>
      <c r="Z297" s="770" t="s">
        <v>513</v>
      </c>
      <c r="AA297" s="770" t="s">
        <v>592</v>
      </c>
      <c r="AB297" s="770" t="s">
        <v>493</v>
      </c>
      <c r="AC297" s="770" t="s">
        <v>103</v>
      </c>
      <c r="AD297" s="770" t="s">
        <v>501</v>
      </c>
      <c r="AE297" s="784" t="s">
        <v>502</v>
      </c>
      <c r="AF297" s="771">
        <v>4588.864719</v>
      </c>
      <c r="AG297" s="771">
        <v>3690.399443</v>
      </c>
      <c r="AH297" s="771">
        <v>5755.494321</v>
      </c>
      <c r="AI297" s="772" t="s">
        <v>233</v>
      </c>
      <c r="AK297" s="769" t="s">
        <v>514</v>
      </c>
      <c r="AL297" s="770" t="s">
        <v>494</v>
      </c>
      <c r="AM297" s="770" t="s">
        <v>513</v>
      </c>
      <c r="AN297" s="770" t="s">
        <v>592</v>
      </c>
      <c r="AO297" s="770" t="s">
        <v>493</v>
      </c>
      <c r="AP297" s="770" t="s">
        <v>504</v>
      </c>
      <c r="AQ297" s="770" t="s">
        <v>501</v>
      </c>
      <c r="AR297" s="784" t="s">
        <v>502</v>
      </c>
      <c r="AS297" s="771">
        <v>804.0764886</v>
      </c>
      <c r="AT297" s="771">
        <v>646.6443461</v>
      </c>
      <c r="AU297" s="771">
        <v>1008.497297</v>
      </c>
      <c r="AV297" s="772" t="s">
        <v>233</v>
      </c>
      <c r="AW297" s="714"/>
    </row>
    <row r="298">
      <c r="A298" s="761"/>
      <c r="B298" s="769" t="s">
        <v>493</v>
      </c>
      <c r="C298" s="770" t="s">
        <v>593</v>
      </c>
      <c r="D298" s="770" t="s">
        <v>494</v>
      </c>
      <c r="E298" s="770" t="s">
        <v>508</v>
      </c>
      <c r="F298" s="770" t="s">
        <v>514</v>
      </c>
      <c r="G298" s="770" t="s">
        <v>103</v>
      </c>
      <c r="H298" s="770">
        <v>2019.0</v>
      </c>
      <c r="I298" s="771">
        <v>1182.433097</v>
      </c>
      <c r="J298" s="771">
        <v>1465.331614</v>
      </c>
      <c r="K298" s="772">
        <v>934.170263</v>
      </c>
      <c r="M298" s="769" t="s">
        <v>493</v>
      </c>
      <c r="N298" s="770" t="s">
        <v>593</v>
      </c>
      <c r="O298" s="770" t="s">
        <v>494</v>
      </c>
      <c r="P298" s="770" t="s">
        <v>508</v>
      </c>
      <c r="Q298" s="770" t="s">
        <v>514</v>
      </c>
      <c r="R298" s="770" t="s">
        <v>497</v>
      </c>
      <c r="S298" s="770">
        <v>2019.0</v>
      </c>
      <c r="T298" s="771">
        <v>915.1329881</v>
      </c>
      <c r="U298" s="771">
        <v>1134.079637</v>
      </c>
      <c r="V298" s="772">
        <v>722.9922995</v>
      </c>
      <c r="X298" s="769" t="s">
        <v>518</v>
      </c>
      <c r="Y298" s="770" t="s">
        <v>494</v>
      </c>
      <c r="Z298" s="770" t="s">
        <v>499</v>
      </c>
      <c r="AA298" s="770" t="s">
        <v>592</v>
      </c>
      <c r="AB298" s="770" t="s">
        <v>493</v>
      </c>
      <c r="AC298" s="770" t="s">
        <v>103</v>
      </c>
      <c r="AD298" s="770" t="s">
        <v>501</v>
      </c>
      <c r="AE298" s="784" t="s">
        <v>502</v>
      </c>
      <c r="AF298" s="771">
        <v>18.03101197</v>
      </c>
      <c r="AG298" s="771">
        <v>7.455420367</v>
      </c>
      <c r="AH298" s="771">
        <v>37.41553364</v>
      </c>
      <c r="AI298" s="772" t="s">
        <v>233</v>
      </c>
      <c r="AK298" s="769" t="s">
        <v>518</v>
      </c>
      <c r="AL298" s="770" t="s">
        <v>494</v>
      </c>
      <c r="AM298" s="770" t="s">
        <v>499</v>
      </c>
      <c r="AN298" s="770" t="s">
        <v>592</v>
      </c>
      <c r="AO298" s="770" t="s">
        <v>493</v>
      </c>
      <c r="AP298" s="770" t="s">
        <v>504</v>
      </c>
      <c r="AQ298" s="770" t="s">
        <v>501</v>
      </c>
      <c r="AR298" s="784" t="s">
        <v>502</v>
      </c>
      <c r="AS298" s="771">
        <v>831.4124583</v>
      </c>
      <c r="AT298" s="771">
        <v>343.7704653</v>
      </c>
      <c r="AU298" s="771">
        <v>1725.235436</v>
      </c>
      <c r="AV298" s="772" t="s">
        <v>233</v>
      </c>
      <c r="AW298" s="714"/>
    </row>
    <row r="299">
      <c r="A299" s="761"/>
      <c r="B299" s="769" t="s">
        <v>493</v>
      </c>
      <c r="C299" s="770" t="s">
        <v>593</v>
      </c>
      <c r="D299" s="770" t="s">
        <v>494</v>
      </c>
      <c r="E299" s="770" t="s">
        <v>512</v>
      </c>
      <c r="F299" s="770" t="s">
        <v>514</v>
      </c>
      <c r="G299" s="770" t="s">
        <v>103</v>
      </c>
      <c r="H299" s="770">
        <v>2019.0</v>
      </c>
      <c r="I299" s="771">
        <v>390.2870282</v>
      </c>
      <c r="J299" s="771">
        <v>464.7120274</v>
      </c>
      <c r="K299" s="772">
        <v>324.8626963</v>
      </c>
      <c r="M299" s="769" t="s">
        <v>493</v>
      </c>
      <c r="N299" s="770" t="s">
        <v>593</v>
      </c>
      <c r="O299" s="770" t="s">
        <v>494</v>
      </c>
      <c r="P299" s="770" t="s">
        <v>512</v>
      </c>
      <c r="Q299" s="770" t="s">
        <v>514</v>
      </c>
      <c r="R299" s="770" t="s">
        <v>497</v>
      </c>
      <c r="S299" s="770">
        <v>2019.0</v>
      </c>
      <c r="T299" s="771">
        <v>4803.295882</v>
      </c>
      <c r="U299" s="771">
        <v>5719.250721</v>
      </c>
      <c r="V299" s="772">
        <v>3998.113025</v>
      </c>
      <c r="X299" s="769" t="s">
        <v>518</v>
      </c>
      <c r="Y299" s="770" t="s">
        <v>494</v>
      </c>
      <c r="Z299" s="770" t="s">
        <v>507</v>
      </c>
      <c r="AA299" s="770" t="s">
        <v>592</v>
      </c>
      <c r="AB299" s="770" t="s">
        <v>493</v>
      </c>
      <c r="AC299" s="770" t="s">
        <v>103</v>
      </c>
      <c r="AD299" s="770" t="s">
        <v>501</v>
      </c>
      <c r="AE299" s="784" t="s">
        <v>502</v>
      </c>
      <c r="AF299" s="771">
        <v>231.5228123</v>
      </c>
      <c r="AG299" s="771">
        <v>96.57817395</v>
      </c>
      <c r="AH299" s="771">
        <v>417.1531396</v>
      </c>
      <c r="AI299" s="772" t="s">
        <v>233</v>
      </c>
      <c r="AK299" s="769" t="s">
        <v>518</v>
      </c>
      <c r="AL299" s="770" t="s">
        <v>494</v>
      </c>
      <c r="AM299" s="770" t="s">
        <v>507</v>
      </c>
      <c r="AN299" s="770" t="s">
        <v>592</v>
      </c>
      <c r="AO299" s="770" t="s">
        <v>493</v>
      </c>
      <c r="AP299" s="770" t="s">
        <v>504</v>
      </c>
      <c r="AQ299" s="770" t="s">
        <v>501</v>
      </c>
      <c r="AR299" s="784" t="s">
        <v>502</v>
      </c>
      <c r="AS299" s="771">
        <v>225.4472669</v>
      </c>
      <c r="AT299" s="771">
        <v>94.04380134</v>
      </c>
      <c r="AU299" s="771">
        <v>406.2063444</v>
      </c>
      <c r="AV299" s="772" t="s">
        <v>233</v>
      </c>
      <c r="AW299" s="714"/>
    </row>
    <row r="300">
      <c r="A300" s="761"/>
      <c r="B300" s="769" t="s">
        <v>493</v>
      </c>
      <c r="C300" s="770" t="s">
        <v>593</v>
      </c>
      <c r="D300" s="770" t="s">
        <v>494</v>
      </c>
      <c r="E300" s="770" t="s">
        <v>495</v>
      </c>
      <c r="F300" s="770" t="s">
        <v>518</v>
      </c>
      <c r="G300" s="770" t="s">
        <v>103</v>
      </c>
      <c r="H300" s="770">
        <v>2019.0</v>
      </c>
      <c r="I300" s="771">
        <v>877.0706954</v>
      </c>
      <c r="J300" s="771">
        <v>1472.617238</v>
      </c>
      <c r="K300" s="772">
        <v>319.6731604</v>
      </c>
      <c r="M300" s="769" t="s">
        <v>493</v>
      </c>
      <c r="N300" s="770" t="s">
        <v>593</v>
      </c>
      <c r="O300" s="770" t="s">
        <v>494</v>
      </c>
      <c r="P300" s="770" t="s">
        <v>495</v>
      </c>
      <c r="Q300" s="770" t="s">
        <v>518</v>
      </c>
      <c r="R300" s="770" t="s">
        <v>497</v>
      </c>
      <c r="S300" s="770">
        <v>2019.0</v>
      </c>
      <c r="T300" s="771">
        <v>126.1505531</v>
      </c>
      <c r="U300" s="771">
        <v>211.8090138</v>
      </c>
      <c r="V300" s="772">
        <v>45.97912824</v>
      </c>
      <c r="X300" s="769" t="s">
        <v>518</v>
      </c>
      <c r="Y300" s="770" t="s">
        <v>494</v>
      </c>
      <c r="Z300" s="770" t="s">
        <v>509</v>
      </c>
      <c r="AA300" s="770" t="s">
        <v>592</v>
      </c>
      <c r="AB300" s="770" t="s">
        <v>493</v>
      </c>
      <c r="AC300" s="770" t="s">
        <v>103</v>
      </c>
      <c r="AD300" s="770" t="s">
        <v>501</v>
      </c>
      <c r="AE300" s="784" t="s">
        <v>502</v>
      </c>
      <c r="AF300" s="771">
        <v>24.71082592</v>
      </c>
      <c r="AG300" s="771">
        <v>11.69284333</v>
      </c>
      <c r="AH300" s="771">
        <v>45.05163363</v>
      </c>
      <c r="AI300" s="772" t="s">
        <v>233</v>
      </c>
      <c r="AK300" s="769" t="s">
        <v>518</v>
      </c>
      <c r="AL300" s="770" t="s">
        <v>494</v>
      </c>
      <c r="AM300" s="770" t="s">
        <v>509</v>
      </c>
      <c r="AN300" s="770" t="s">
        <v>592</v>
      </c>
      <c r="AO300" s="770" t="s">
        <v>493</v>
      </c>
      <c r="AP300" s="770" t="s">
        <v>504</v>
      </c>
      <c r="AQ300" s="770" t="s">
        <v>501</v>
      </c>
      <c r="AR300" s="784" t="s">
        <v>502</v>
      </c>
      <c r="AS300" s="771">
        <v>384.5319505</v>
      </c>
      <c r="AT300" s="771">
        <v>181.9555472</v>
      </c>
      <c r="AU300" s="771">
        <v>701.0608471</v>
      </c>
      <c r="AV300" s="772" t="s">
        <v>233</v>
      </c>
      <c r="AW300" s="714"/>
    </row>
    <row r="301">
      <c r="A301" s="761"/>
      <c r="B301" s="769" t="s">
        <v>493</v>
      </c>
      <c r="C301" s="770" t="s">
        <v>593</v>
      </c>
      <c r="D301" s="770" t="s">
        <v>494</v>
      </c>
      <c r="E301" s="770" t="s">
        <v>505</v>
      </c>
      <c r="F301" s="770" t="s">
        <v>518</v>
      </c>
      <c r="G301" s="770" t="s">
        <v>103</v>
      </c>
      <c r="H301" s="770">
        <v>2019.0</v>
      </c>
      <c r="I301" s="771">
        <v>26.73446123</v>
      </c>
      <c r="J301" s="771">
        <v>53.55080688</v>
      </c>
      <c r="K301" s="772">
        <v>10.447264</v>
      </c>
      <c r="M301" s="769" t="s">
        <v>493</v>
      </c>
      <c r="N301" s="770" t="s">
        <v>593</v>
      </c>
      <c r="O301" s="770" t="s">
        <v>494</v>
      </c>
      <c r="P301" s="770" t="s">
        <v>505</v>
      </c>
      <c r="Q301" s="770" t="s">
        <v>518</v>
      </c>
      <c r="R301" s="770" t="s">
        <v>497</v>
      </c>
      <c r="S301" s="770">
        <v>2019.0</v>
      </c>
      <c r="T301" s="771">
        <v>977.6889133</v>
      </c>
      <c r="U301" s="771">
        <v>1958.372369</v>
      </c>
      <c r="V301" s="772">
        <v>382.0602216</v>
      </c>
      <c r="X301" s="769" t="s">
        <v>518</v>
      </c>
      <c r="Y301" s="770" t="s">
        <v>494</v>
      </c>
      <c r="Z301" s="770" t="s">
        <v>513</v>
      </c>
      <c r="AA301" s="770" t="s">
        <v>592</v>
      </c>
      <c r="AB301" s="770" t="s">
        <v>493</v>
      </c>
      <c r="AC301" s="770" t="s">
        <v>103</v>
      </c>
      <c r="AD301" s="770" t="s">
        <v>501</v>
      </c>
      <c r="AE301" s="784" t="s">
        <v>502</v>
      </c>
      <c r="AF301" s="771">
        <v>404.4727014</v>
      </c>
      <c r="AG301" s="771">
        <v>197.3375912</v>
      </c>
      <c r="AH301" s="771">
        <v>679.7037789</v>
      </c>
      <c r="AI301" s="772" t="s">
        <v>233</v>
      </c>
      <c r="AK301" s="769" t="s">
        <v>518</v>
      </c>
      <c r="AL301" s="770" t="s">
        <v>494</v>
      </c>
      <c r="AM301" s="770" t="s">
        <v>513</v>
      </c>
      <c r="AN301" s="770" t="s">
        <v>592</v>
      </c>
      <c r="AO301" s="770" t="s">
        <v>493</v>
      </c>
      <c r="AP301" s="770" t="s">
        <v>504</v>
      </c>
      <c r="AQ301" s="770" t="s">
        <v>501</v>
      </c>
      <c r="AR301" s="784" t="s">
        <v>502</v>
      </c>
      <c r="AS301" s="771">
        <v>70.87308285</v>
      </c>
      <c r="AT301" s="771">
        <v>34.57816412</v>
      </c>
      <c r="AU301" s="771">
        <v>119.1000086</v>
      </c>
      <c r="AV301" s="772" t="s">
        <v>233</v>
      </c>
      <c r="AW301" s="714"/>
    </row>
    <row r="302">
      <c r="A302" s="761"/>
      <c r="B302" s="769" t="s">
        <v>493</v>
      </c>
      <c r="C302" s="770" t="s">
        <v>593</v>
      </c>
      <c r="D302" s="770" t="s">
        <v>494</v>
      </c>
      <c r="E302" s="770" t="s">
        <v>508</v>
      </c>
      <c r="F302" s="770" t="s">
        <v>518</v>
      </c>
      <c r="G302" s="770" t="s">
        <v>103</v>
      </c>
      <c r="H302" s="770">
        <v>2019.0</v>
      </c>
      <c r="I302" s="771">
        <v>422.234091</v>
      </c>
      <c r="J302" s="771">
        <v>715.0163277</v>
      </c>
      <c r="K302" s="772">
        <v>140.3900144</v>
      </c>
      <c r="M302" s="769" t="s">
        <v>493</v>
      </c>
      <c r="N302" s="770" t="s">
        <v>593</v>
      </c>
      <c r="O302" s="770" t="s">
        <v>494</v>
      </c>
      <c r="P302" s="770" t="s">
        <v>508</v>
      </c>
      <c r="Q302" s="770" t="s">
        <v>518</v>
      </c>
      <c r="R302" s="770" t="s">
        <v>497</v>
      </c>
      <c r="S302" s="770">
        <v>2019.0</v>
      </c>
      <c r="T302" s="771">
        <v>326.7841083</v>
      </c>
      <c r="U302" s="771">
        <v>553.38017</v>
      </c>
      <c r="V302" s="772">
        <v>108.6535328</v>
      </c>
      <c r="X302" s="769" t="s">
        <v>519</v>
      </c>
      <c r="Y302" s="770" t="s">
        <v>494</v>
      </c>
      <c r="Z302" s="770" t="s">
        <v>499</v>
      </c>
      <c r="AA302" s="770" t="s">
        <v>592</v>
      </c>
      <c r="AB302" s="770" t="s">
        <v>493</v>
      </c>
      <c r="AC302" s="770" t="s">
        <v>103</v>
      </c>
      <c r="AD302" s="770" t="s">
        <v>501</v>
      </c>
      <c r="AE302" s="784" t="s">
        <v>502</v>
      </c>
      <c r="AF302" s="771">
        <v>1760.892965</v>
      </c>
      <c r="AG302" s="771">
        <v>1399.288121</v>
      </c>
      <c r="AH302" s="771">
        <v>2220.272832</v>
      </c>
      <c r="AI302" s="772" t="s">
        <v>233</v>
      </c>
      <c r="AK302" s="769" t="s">
        <v>519</v>
      </c>
      <c r="AL302" s="770" t="s">
        <v>494</v>
      </c>
      <c r="AM302" s="770" t="s">
        <v>499</v>
      </c>
      <c r="AN302" s="770" t="s">
        <v>592</v>
      </c>
      <c r="AO302" s="770" t="s">
        <v>493</v>
      </c>
      <c r="AP302" s="770" t="s">
        <v>504</v>
      </c>
      <c r="AQ302" s="770" t="s">
        <v>501</v>
      </c>
      <c r="AR302" s="784" t="s">
        <v>502</v>
      </c>
      <c r="AS302" s="771">
        <v>81195.01841</v>
      </c>
      <c r="AT302" s="771">
        <v>64521.36899</v>
      </c>
      <c r="AU302" s="771">
        <v>102377.0877</v>
      </c>
      <c r="AV302" s="772" t="s">
        <v>233</v>
      </c>
      <c r="AW302" s="714"/>
    </row>
    <row r="303">
      <c r="A303" s="761"/>
      <c r="B303" s="769" t="s">
        <v>493</v>
      </c>
      <c r="C303" s="770" t="s">
        <v>593</v>
      </c>
      <c r="D303" s="770" t="s">
        <v>494</v>
      </c>
      <c r="E303" s="770" t="s">
        <v>512</v>
      </c>
      <c r="F303" s="770" t="s">
        <v>518</v>
      </c>
      <c r="G303" s="770" t="s">
        <v>103</v>
      </c>
      <c r="H303" s="770">
        <v>2019.0</v>
      </c>
      <c r="I303" s="771">
        <v>53.84987255</v>
      </c>
      <c r="J303" s="771">
        <v>112.3526463</v>
      </c>
      <c r="K303" s="772">
        <v>17.41759556</v>
      </c>
      <c r="M303" s="769" t="s">
        <v>493</v>
      </c>
      <c r="N303" s="770" t="s">
        <v>593</v>
      </c>
      <c r="O303" s="770" t="s">
        <v>494</v>
      </c>
      <c r="P303" s="770" t="s">
        <v>512</v>
      </c>
      <c r="Q303" s="770" t="s">
        <v>518</v>
      </c>
      <c r="R303" s="770" t="s">
        <v>497</v>
      </c>
      <c r="S303" s="770">
        <v>2019.0</v>
      </c>
      <c r="T303" s="771">
        <v>662.7349933</v>
      </c>
      <c r="U303" s="771">
        <v>1382.733641</v>
      </c>
      <c r="V303" s="772">
        <v>214.3598402</v>
      </c>
      <c r="X303" s="769" t="s">
        <v>519</v>
      </c>
      <c r="Y303" s="770" t="s">
        <v>494</v>
      </c>
      <c r="Z303" s="770" t="s">
        <v>507</v>
      </c>
      <c r="AA303" s="770" t="s">
        <v>592</v>
      </c>
      <c r="AB303" s="770" t="s">
        <v>493</v>
      </c>
      <c r="AC303" s="770" t="s">
        <v>103</v>
      </c>
      <c r="AD303" s="770" t="s">
        <v>501</v>
      </c>
      <c r="AE303" s="784" t="s">
        <v>502</v>
      </c>
      <c r="AF303" s="771">
        <v>8.298298004</v>
      </c>
      <c r="AG303" s="771">
        <v>3.647127946</v>
      </c>
      <c r="AH303" s="771">
        <v>15.10098778</v>
      </c>
      <c r="AI303" s="772" t="s">
        <v>233</v>
      </c>
      <c r="AK303" s="769" t="s">
        <v>519</v>
      </c>
      <c r="AL303" s="770" t="s">
        <v>494</v>
      </c>
      <c r="AM303" s="770" t="s">
        <v>507</v>
      </c>
      <c r="AN303" s="770" t="s">
        <v>592</v>
      </c>
      <c r="AO303" s="770" t="s">
        <v>493</v>
      </c>
      <c r="AP303" s="770" t="s">
        <v>504</v>
      </c>
      <c r="AQ303" s="770" t="s">
        <v>501</v>
      </c>
      <c r="AR303" s="784" t="s">
        <v>502</v>
      </c>
      <c r="AS303" s="771">
        <v>8.080536803</v>
      </c>
      <c r="AT303" s="771">
        <v>3.551421216</v>
      </c>
      <c r="AU303" s="771">
        <v>14.70471264</v>
      </c>
      <c r="AV303" s="772" t="s">
        <v>233</v>
      </c>
      <c r="AW303" s="714"/>
    </row>
    <row r="304">
      <c r="A304" s="761"/>
      <c r="B304" s="769" t="s">
        <v>493</v>
      </c>
      <c r="C304" s="770" t="s">
        <v>593</v>
      </c>
      <c r="D304" s="770" t="s">
        <v>494</v>
      </c>
      <c r="E304" s="770" t="s">
        <v>495</v>
      </c>
      <c r="F304" s="770" t="s">
        <v>519</v>
      </c>
      <c r="G304" s="770" t="s">
        <v>103</v>
      </c>
      <c r="H304" s="770">
        <v>2019.0</v>
      </c>
      <c r="I304" s="771">
        <v>2002.292423</v>
      </c>
      <c r="J304" s="771">
        <v>2382.90594</v>
      </c>
      <c r="K304" s="772">
        <v>1648.879225</v>
      </c>
      <c r="M304" s="769" t="s">
        <v>493</v>
      </c>
      <c r="N304" s="770" t="s">
        <v>593</v>
      </c>
      <c r="O304" s="770" t="s">
        <v>494</v>
      </c>
      <c r="P304" s="770" t="s">
        <v>495</v>
      </c>
      <c r="Q304" s="770" t="s">
        <v>519</v>
      </c>
      <c r="R304" s="770" t="s">
        <v>497</v>
      </c>
      <c r="S304" s="770">
        <v>2019.0</v>
      </c>
      <c r="T304" s="771">
        <v>287.9930864</v>
      </c>
      <c r="U304" s="771">
        <v>342.7373686</v>
      </c>
      <c r="V304" s="772">
        <v>237.1610719</v>
      </c>
      <c r="X304" s="769" t="s">
        <v>519</v>
      </c>
      <c r="Y304" s="770" t="s">
        <v>494</v>
      </c>
      <c r="Z304" s="770" t="s">
        <v>509</v>
      </c>
      <c r="AA304" s="770" t="s">
        <v>592</v>
      </c>
      <c r="AB304" s="770" t="s">
        <v>493</v>
      </c>
      <c r="AC304" s="770" t="s">
        <v>103</v>
      </c>
      <c r="AD304" s="770" t="s">
        <v>501</v>
      </c>
      <c r="AE304" s="784" t="s">
        <v>502</v>
      </c>
      <c r="AF304" s="771">
        <v>122.975705</v>
      </c>
      <c r="AG304" s="771">
        <v>72.38362325</v>
      </c>
      <c r="AH304" s="771">
        <v>178.7589364</v>
      </c>
      <c r="AI304" s="772" t="s">
        <v>233</v>
      </c>
      <c r="AK304" s="769" t="s">
        <v>519</v>
      </c>
      <c r="AL304" s="770" t="s">
        <v>494</v>
      </c>
      <c r="AM304" s="770" t="s">
        <v>509</v>
      </c>
      <c r="AN304" s="770" t="s">
        <v>592</v>
      </c>
      <c r="AO304" s="770" t="s">
        <v>493</v>
      </c>
      <c r="AP304" s="770" t="s">
        <v>504</v>
      </c>
      <c r="AQ304" s="770" t="s">
        <v>501</v>
      </c>
      <c r="AR304" s="784" t="s">
        <v>502</v>
      </c>
      <c r="AS304" s="771">
        <v>1913.658729</v>
      </c>
      <c r="AT304" s="771">
        <v>1126.381446</v>
      </c>
      <c r="AU304" s="771">
        <v>2781.716916</v>
      </c>
      <c r="AV304" s="772" t="s">
        <v>233</v>
      </c>
      <c r="AW304" s="714"/>
    </row>
    <row r="305">
      <c r="A305" s="761"/>
      <c r="B305" s="769" t="s">
        <v>493</v>
      </c>
      <c r="C305" s="770" t="s">
        <v>593</v>
      </c>
      <c r="D305" s="770" t="s">
        <v>494</v>
      </c>
      <c r="E305" s="770" t="s">
        <v>505</v>
      </c>
      <c r="F305" s="770" t="s">
        <v>519</v>
      </c>
      <c r="G305" s="770" t="s">
        <v>103</v>
      </c>
      <c r="H305" s="770">
        <v>2019.0</v>
      </c>
      <c r="I305" s="771">
        <v>1774.476199</v>
      </c>
      <c r="J305" s="771">
        <v>2117.284937</v>
      </c>
      <c r="K305" s="772">
        <v>1461.310721</v>
      </c>
      <c r="M305" s="769" t="s">
        <v>493</v>
      </c>
      <c r="N305" s="770" t="s">
        <v>593</v>
      </c>
      <c r="O305" s="770" t="s">
        <v>494</v>
      </c>
      <c r="P305" s="770" t="s">
        <v>505</v>
      </c>
      <c r="Q305" s="770" t="s">
        <v>519</v>
      </c>
      <c r="R305" s="770" t="s">
        <v>497</v>
      </c>
      <c r="S305" s="770">
        <v>2019.0</v>
      </c>
      <c r="T305" s="771">
        <v>64893.23617</v>
      </c>
      <c r="U305" s="771">
        <v>77429.87566</v>
      </c>
      <c r="V305" s="772">
        <v>53440.6614</v>
      </c>
      <c r="X305" s="769" t="s">
        <v>519</v>
      </c>
      <c r="Y305" s="770" t="s">
        <v>494</v>
      </c>
      <c r="Z305" s="770" t="s">
        <v>513</v>
      </c>
      <c r="AA305" s="770" t="s">
        <v>592</v>
      </c>
      <c r="AB305" s="770" t="s">
        <v>493</v>
      </c>
      <c r="AC305" s="770" t="s">
        <v>103</v>
      </c>
      <c r="AD305" s="770" t="s">
        <v>501</v>
      </c>
      <c r="AE305" s="784" t="s">
        <v>502</v>
      </c>
      <c r="AF305" s="771">
        <v>1893.152214</v>
      </c>
      <c r="AG305" s="771">
        <v>1513.568177</v>
      </c>
      <c r="AH305" s="771">
        <v>2387.472815</v>
      </c>
      <c r="AI305" s="772" t="s">
        <v>233</v>
      </c>
      <c r="AK305" s="769" t="s">
        <v>519</v>
      </c>
      <c r="AL305" s="770" t="s">
        <v>494</v>
      </c>
      <c r="AM305" s="770" t="s">
        <v>513</v>
      </c>
      <c r="AN305" s="770" t="s">
        <v>592</v>
      </c>
      <c r="AO305" s="770" t="s">
        <v>493</v>
      </c>
      <c r="AP305" s="770" t="s">
        <v>504</v>
      </c>
      <c r="AQ305" s="770" t="s">
        <v>501</v>
      </c>
      <c r="AR305" s="784" t="s">
        <v>502</v>
      </c>
      <c r="AS305" s="771">
        <v>331.7245719</v>
      </c>
      <c r="AT305" s="771">
        <v>265.2125655</v>
      </c>
      <c r="AU305" s="771">
        <v>418.3411094</v>
      </c>
      <c r="AV305" s="772" t="s">
        <v>233</v>
      </c>
      <c r="AW305" s="714"/>
    </row>
    <row r="306">
      <c r="A306" s="761"/>
      <c r="B306" s="769" t="s">
        <v>493</v>
      </c>
      <c r="C306" s="770" t="s">
        <v>593</v>
      </c>
      <c r="D306" s="770" t="s">
        <v>494</v>
      </c>
      <c r="E306" s="770" t="s">
        <v>508</v>
      </c>
      <c r="F306" s="770" t="s">
        <v>519</v>
      </c>
      <c r="G306" s="770" t="s">
        <v>103</v>
      </c>
      <c r="H306" s="770">
        <v>2019.0</v>
      </c>
      <c r="I306" s="771">
        <v>32.06214838</v>
      </c>
      <c r="J306" s="771">
        <v>59.65752135</v>
      </c>
      <c r="K306" s="772">
        <v>15.71668154</v>
      </c>
      <c r="M306" s="769" t="s">
        <v>493</v>
      </c>
      <c r="N306" s="770" t="s">
        <v>593</v>
      </c>
      <c r="O306" s="770" t="s">
        <v>494</v>
      </c>
      <c r="P306" s="770" t="s">
        <v>508</v>
      </c>
      <c r="Q306" s="770" t="s">
        <v>519</v>
      </c>
      <c r="R306" s="770" t="s">
        <v>497</v>
      </c>
      <c r="S306" s="770">
        <v>2019.0</v>
      </c>
      <c r="T306" s="771">
        <v>24.81419855</v>
      </c>
      <c r="U306" s="771">
        <v>46.17137823</v>
      </c>
      <c r="V306" s="772">
        <v>12.16377803</v>
      </c>
      <c r="X306" s="769" t="s">
        <v>521</v>
      </c>
      <c r="Y306" s="770" t="s">
        <v>494</v>
      </c>
      <c r="Z306" s="770" t="s">
        <v>499</v>
      </c>
      <c r="AA306" s="770" t="s">
        <v>592</v>
      </c>
      <c r="AB306" s="770" t="s">
        <v>493</v>
      </c>
      <c r="AC306" s="770" t="s">
        <v>103</v>
      </c>
      <c r="AD306" s="770" t="s">
        <v>501</v>
      </c>
      <c r="AE306" s="784" t="s">
        <v>502</v>
      </c>
      <c r="AF306" s="771">
        <v>0.0</v>
      </c>
      <c r="AG306" s="771">
        <v>0.0</v>
      </c>
      <c r="AH306" s="771">
        <v>0.0</v>
      </c>
      <c r="AI306" s="772" t="s">
        <v>233</v>
      </c>
      <c r="AK306" s="769" t="s">
        <v>521</v>
      </c>
      <c r="AL306" s="770" t="s">
        <v>494</v>
      </c>
      <c r="AM306" s="770" t="s">
        <v>499</v>
      </c>
      <c r="AN306" s="770" t="s">
        <v>592</v>
      </c>
      <c r="AO306" s="770" t="s">
        <v>493</v>
      </c>
      <c r="AP306" s="770" t="s">
        <v>504</v>
      </c>
      <c r="AQ306" s="770" t="s">
        <v>501</v>
      </c>
      <c r="AR306" s="784" t="s">
        <v>502</v>
      </c>
      <c r="AS306" s="771">
        <v>0.0</v>
      </c>
      <c r="AT306" s="771">
        <v>0.0</v>
      </c>
      <c r="AU306" s="771">
        <v>0.0</v>
      </c>
      <c r="AV306" s="772" t="s">
        <v>233</v>
      </c>
      <c r="AW306" s="714"/>
    </row>
    <row r="307">
      <c r="A307" s="761"/>
      <c r="B307" s="769" t="s">
        <v>493</v>
      </c>
      <c r="C307" s="770" t="s">
        <v>593</v>
      </c>
      <c r="D307" s="770" t="s">
        <v>494</v>
      </c>
      <c r="E307" s="770" t="s">
        <v>512</v>
      </c>
      <c r="F307" s="770" t="s">
        <v>519</v>
      </c>
      <c r="G307" s="770" t="s">
        <v>103</v>
      </c>
      <c r="H307" s="770">
        <v>2019.0</v>
      </c>
      <c r="I307" s="771">
        <v>191.6644364</v>
      </c>
      <c r="J307" s="771">
        <v>253.1011675</v>
      </c>
      <c r="K307" s="772">
        <v>131.9984683</v>
      </c>
      <c r="M307" s="769" t="s">
        <v>493</v>
      </c>
      <c r="N307" s="770" t="s">
        <v>593</v>
      </c>
      <c r="O307" s="770" t="s">
        <v>494</v>
      </c>
      <c r="P307" s="770" t="s">
        <v>512</v>
      </c>
      <c r="Q307" s="770" t="s">
        <v>519</v>
      </c>
      <c r="R307" s="770" t="s">
        <v>497</v>
      </c>
      <c r="S307" s="770">
        <v>2019.0</v>
      </c>
      <c r="T307" s="771">
        <v>2358.830633</v>
      </c>
      <c r="U307" s="771">
        <v>3114.937745</v>
      </c>
      <c r="V307" s="772">
        <v>1624.516454</v>
      </c>
      <c r="X307" s="769" t="s">
        <v>521</v>
      </c>
      <c r="Y307" s="770" t="s">
        <v>494</v>
      </c>
      <c r="Z307" s="770" t="s">
        <v>507</v>
      </c>
      <c r="AA307" s="770" t="s">
        <v>592</v>
      </c>
      <c r="AB307" s="770" t="s">
        <v>493</v>
      </c>
      <c r="AC307" s="770" t="s">
        <v>103</v>
      </c>
      <c r="AD307" s="770" t="s">
        <v>501</v>
      </c>
      <c r="AE307" s="784" t="s">
        <v>502</v>
      </c>
      <c r="AF307" s="771">
        <v>3.211642117</v>
      </c>
      <c r="AG307" s="771">
        <v>0.8229246328</v>
      </c>
      <c r="AH307" s="771">
        <v>8.441783646</v>
      </c>
      <c r="AI307" s="772" t="s">
        <v>233</v>
      </c>
      <c r="AK307" s="769" t="s">
        <v>521</v>
      </c>
      <c r="AL307" s="770" t="s">
        <v>494</v>
      </c>
      <c r="AM307" s="770" t="s">
        <v>507</v>
      </c>
      <c r="AN307" s="770" t="s">
        <v>592</v>
      </c>
      <c r="AO307" s="770" t="s">
        <v>493</v>
      </c>
      <c r="AP307" s="770" t="s">
        <v>504</v>
      </c>
      <c r="AQ307" s="770" t="s">
        <v>501</v>
      </c>
      <c r="AR307" s="784" t="s">
        <v>502</v>
      </c>
      <c r="AS307" s="771">
        <v>3.127363263</v>
      </c>
      <c r="AT307" s="771">
        <v>0.8013297158</v>
      </c>
      <c r="AU307" s="771">
        <v>8.220257142</v>
      </c>
      <c r="AV307" s="772" t="s">
        <v>233</v>
      </c>
      <c r="AW307" s="714"/>
    </row>
    <row r="308">
      <c r="A308" s="761"/>
      <c r="B308" s="769" t="s">
        <v>493</v>
      </c>
      <c r="C308" s="770" t="s">
        <v>593</v>
      </c>
      <c r="D308" s="770" t="s">
        <v>494</v>
      </c>
      <c r="E308" s="770" t="s">
        <v>495</v>
      </c>
      <c r="F308" s="770" t="s">
        <v>521</v>
      </c>
      <c r="G308" s="770" t="s">
        <v>103</v>
      </c>
      <c r="H308" s="770">
        <v>2019.0</v>
      </c>
      <c r="I308" s="771">
        <v>129.4284886</v>
      </c>
      <c r="J308" s="771">
        <v>312.3892697</v>
      </c>
      <c r="K308" s="772">
        <v>39.47114568</v>
      </c>
      <c r="M308" s="769" t="s">
        <v>493</v>
      </c>
      <c r="N308" s="770" t="s">
        <v>593</v>
      </c>
      <c r="O308" s="770" t="s">
        <v>494</v>
      </c>
      <c r="P308" s="770" t="s">
        <v>495</v>
      </c>
      <c r="Q308" s="770" t="s">
        <v>521</v>
      </c>
      <c r="R308" s="770" t="s">
        <v>497</v>
      </c>
      <c r="S308" s="770">
        <v>2019.0</v>
      </c>
      <c r="T308" s="771">
        <v>18.61591718</v>
      </c>
      <c r="U308" s="771">
        <v>44.931474</v>
      </c>
      <c r="V308" s="772">
        <v>5.677201261</v>
      </c>
      <c r="X308" s="769" t="s">
        <v>521</v>
      </c>
      <c r="Y308" s="770" t="s">
        <v>494</v>
      </c>
      <c r="Z308" s="770" t="s">
        <v>509</v>
      </c>
      <c r="AA308" s="770" t="s">
        <v>592</v>
      </c>
      <c r="AB308" s="770" t="s">
        <v>493</v>
      </c>
      <c r="AC308" s="770" t="s">
        <v>103</v>
      </c>
      <c r="AD308" s="770" t="s">
        <v>501</v>
      </c>
      <c r="AE308" s="784" t="s">
        <v>502</v>
      </c>
      <c r="AF308" s="771">
        <v>0.0</v>
      </c>
      <c r="AG308" s="771">
        <v>0.0</v>
      </c>
      <c r="AH308" s="771">
        <v>0.0</v>
      </c>
      <c r="AI308" s="772" t="s">
        <v>233</v>
      </c>
      <c r="AK308" s="769" t="s">
        <v>521</v>
      </c>
      <c r="AL308" s="770" t="s">
        <v>494</v>
      </c>
      <c r="AM308" s="770" t="s">
        <v>509</v>
      </c>
      <c r="AN308" s="770" t="s">
        <v>592</v>
      </c>
      <c r="AO308" s="770" t="s">
        <v>493</v>
      </c>
      <c r="AP308" s="770" t="s">
        <v>504</v>
      </c>
      <c r="AQ308" s="770" t="s">
        <v>501</v>
      </c>
      <c r="AR308" s="784" t="s">
        <v>502</v>
      </c>
      <c r="AS308" s="771">
        <v>0.0</v>
      </c>
      <c r="AT308" s="771">
        <v>0.0</v>
      </c>
      <c r="AU308" s="771">
        <v>0.0</v>
      </c>
      <c r="AV308" s="772" t="s">
        <v>233</v>
      </c>
      <c r="AW308" s="714"/>
    </row>
    <row r="309">
      <c r="A309" s="761"/>
      <c r="B309" s="769" t="s">
        <v>493</v>
      </c>
      <c r="C309" s="770" t="s">
        <v>593</v>
      </c>
      <c r="D309" s="770" t="s">
        <v>494</v>
      </c>
      <c r="E309" s="770" t="s">
        <v>505</v>
      </c>
      <c r="F309" s="770" t="s">
        <v>521</v>
      </c>
      <c r="G309" s="770" t="s">
        <v>103</v>
      </c>
      <c r="H309" s="770">
        <v>2019.0</v>
      </c>
      <c r="I309" s="771">
        <v>0.0</v>
      </c>
      <c r="J309" s="771">
        <v>0.0</v>
      </c>
      <c r="K309" s="772">
        <v>0.0</v>
      </c>
      <c r="M309" s="769" t="s">
        <v>493</v>
      </c>
      <c r="N309" s="770" t="s">
        <v>593</v>
      </c>
      <c r="O309" s="770" t="s">
        <v>494</v>
      </c>
      <c r="P309" s="770" t="s">
        <v>505</v>
      </c>
      <c r="Q309" s="770" t="s">
        <v>521</v>
      </c>
      <c r="R309" s="770" t="s">
        <v>497</v>
      </c>
      <c r="S309" s="770">
        <v>2019.0</v>
      </c>
      <c r="T309" s="771">
        <v>0.0</v>
      </c>
      <c r="U309" s="771">
        <v>0.0</v>
      </c>
      <c r="V309" s="772">
        <v>0.0</v>
      </c>
      <c r="X309" s="769" t="s">
        <v>521</v>
      </c>
      <c r="Y309" s="770" t="s">
        <v>494</v>
      </c>
      <c r="Z309" s="770" t="s">
        <v>513</v>
      </c>
      <c r="AA309" s="770" t="s">
        <v>592</v>
      </c>
      <c r="AB309" s="770" t="s">
        <v>493</v>
      </c>
      <c r="AC309" s="770" t="s">
        <v>103</v>
      </c>
      <c r="AD309" s="770" t="s">
        <v>501</v>
      </c>
      <c r="AE309" s="784" t="s">
        <v>502</v>
      </c>
      <c r="AF309" s="771">
        <v>13.66253926</v>
      </c>
      <c r="AG309" s="771">
        <v>3.137934475</v>
      </c>
      <c r="AH309" s="771">
        <v>37.70343979</v>
      </c>
      <c r="AI309" s="772" t="s">
        <v>233</v>
      </c>
      <c r="AK309" s="769" t="s">
        <v>521</v>
      </c>
      <c r="AL309" s="770" t="s">
        <v>494</v>
      </c>
      <c r="AM309" s="770" t="s">
        <v>513</v>
      </c>
      <c r="AN309" s="770" t="s">
        <v>592</v>
      </c>
      <c r="AO309" s="770" t="s">
        <v>493</v>
      </c>
      <c r="AP309" s="770" t="s">
        <v>504</v>
      </c>
      <c r="AQ309" s="770" t="s">
        <v>501</v>
      </c>
      <c r="AR309" s="784" t="s">
        <v>502</v>
      </c>
      <c r="AS309" s="771">
        <v>2.393996612</v>
      </c>
      <c r="AT309" s="771">
        <v>0.5498395548</v>
      </c>
      <c r="AU309" s="771">
        <v>6.606524996</v>
      </c>
      <c r="AV309" s="772" t="s">
        <v>233</v>
      </c>
      <c r="AW309" s="714"/>
    </row>
    <row r="310">
      <c r="A310" s="761"/>
      <c r="B310" s="769" t="s">
        <v>493</v>
      </c>
      <c r="C310" s="770" t="s">
        <v>593</v>
      </c>
      <c r="D310" s="770" t="s">
        <v>494</v>
      </c>
      <c r="E310" s="770" t="s">
        <v>508</v>
      </c>
      <c r="F310" s="770" t="s">
        <v>521</v>
      </c>
      <c r="G310" s="770" t="s">
        <v>103</v>
      </c>
      <c r="H310" s="770">
        <v>2019.0</v>
      </c>
      <c r="I310" s="771">
        <v>36.88439749</v>
      </c>
      <c r="J310" s="771">
        <v>87.96879771</v>
      </c>
      <c r="K310" s="772">
        <v>11.15841323</v>
      </c>
      <c r="M310" s="769" t="s">
        <v>493</v>
      </c>
      <c r="N310" s="770" t="s">
        <v>593</v>
      </c>
      <c r="O310" s="770" t="s">
        <v>494</v>
      </c>
      <c r="P310" s="770" t="s">
        <v>508</v>
      </c>
      <c r="Q310" s="770" t="s">
        <v>521</v>
      </c>
      <c r="R310" s="770" t="s">
        <v>497</v>
      </c>
      <c r="S310" s="770">
        <v>2019.0</v>
      </c>
      <c r="T310" s="771">
        <v>28.54633295</v>
      </c>
      <c r="U310" s="771">
        <v>68.08262462</v>
      </c>
      <c r="V310" s="772">
        <v>8.635949096</v>
      </c>
      <c r="X310" s="769" t="s">
        <v>523</v>
      </c>
      <c r="Y310" s="770" t="s">
        <v>494</v>
      </c>
      <c r="Z310" s="770" t="s">
        <v>507</v>
      </c>
      <c r="AA310" s="770" t="s">
        <v>592</v>
      </c>
      <c r="AB310" s="770" t="s">
        <v>493</v>
      </c>
      <c r="AC310" s="770" t="s">
        <v>103</v>
      </c>
      <c r="AD310" s="770" t="s">
        <v>501</v>
      </c>
      <c r="AE310" s="784" t="s">
        <v>502</v>
      </c>
      <c r="AF310" s="771">
        <v>10.4779149</v>
      </c>
      <c r="AG310" s="771">
        <v>4.315203236</v>
      </c>
      <c r="AH310" s="771">
        <v>19.75828701</v>
      </c>
      <c r="AI310" s="772" t="s">
        <v>233</v>
      </c>
      <c r="AK310" s="769" t="s">
        <v>523</v>
      </c>
      <c r="AL310" s="770" t="s">
        <v>494</v>
      </c>
      <c r="AM310" s="770" t="s">
        <v>507</v>
      </c>
      <c r="AN310" s="770" t="s">
        <v>592</v>
      </c>
      <c r="AO310" s="770" t="s">
        <v>493</v>
      </c>
      <c r="AP310" s="770" t="s">
        <v>504</v>
      </c>
      <c r="AQ310" s="770" t="s">
        <v>501</v>
      </c>
      <c r="AR310" s="784" t="s">
        <v>502</v>
      </c>
      <c r="AS310" s="771">
        <v>10.20295691</v>
      </c>
      <c r="AT310" s="771">
        <v>4.201965095</v>
      </c>
      <c r="AU310" s="771">
        <v>19.23979656</v>
      </c>
      <c r="AV310" s="772" t="s">
        <v>233</v>
      </c>
      <c r="AW310" s="714"/>
    </row>
    <row r="311">
      <c r="A311" s="761"/>
      <c r="B311" s="769" t="s">
        <v>493</v>
      </c>
      <c r="C311" s="770" t="s">
        <v>593</v>
      </c>
      <c r="D311" s="770" t="s">
        <v>494</v>
      </c>
      <c r="E311" s="770" t="s">
        <v>512</v>
      </c>
      <c r="F311" s="770" t="s">
        <v>521</v>
      </c>
      <c r="G311" s="770" t="s">
        <v>103</v>
      </c>
      <c r="H311" s="770">
        <v>2019.0</v>
      </c>
      <c r="I311" s="771">
        <v>0.0</v>
      </c>
      <c r="J311" s="771">
        <v>0.0</v>
      </c>
      <c r="K311" s="772">
        <v>0.0</v>
      </c>
      <c r="M311" s="769" t="s">
        <v>493</v>
      </c>
      <c r="N311" s="770" t="s">
        <v>593</v>
      </c>
      <c r="O311" s="770" t="s">
        <v>494</v>
      </c>
      <c r="P311" s="770" t="s">
        <v>512</v>
      </c>
      <c r="Q311" s="770" t="s">
        <v>521</v>
      </c>
      <c r="R311" s="770" t="s">
        <v>497</v>
      </c>
      <c r="S311" s="770">
        <v>2019.0</v>
      </c>
      <c r="T311" s="771">
        <v>0.0</v>
      </c>
      <c r="U311" s="771">
        <v>0.0</v>
      </c>
      <c r="V311" s="772">
        <v>0.0</v>
      </c>
      <c r="X311" s="769" t="s">
        <v>523</v>
      </c>
      <c r="Y311" s="770" t="s">
        <v>494</v>
      </c>
      <c r="Z311" s="770" t="s">
        <v>513</v>
      </c>
      <c r="AA311" s="770" t="s">
        <v>592</v>
      </c>
      <c r="AB311" s="770" t="s">
        <v>493</v>
      </c>
      <c r="AC311" s="770" t="s">
        <v>103</v>
      </c>
      <c r="AD311" s="770" t="s">
        <v>501</v>
      </c>
      <c r="AE311" s="784" t="s">
        <v>502</v>
      </c>
      <c r="AF311" s="771">
        <v>15.78309121</v>
      </c>
      <c r="AG311" s="771">
        <v>6.152855192</v>
      </c>
      <c r="AH311" s="771">
        <v>27.77505823</v>
      </c>
      <c r="AI311" s="772" t="s">
        <v>233</v>
      </c>
      <c r="AK311" s="769" t="s">
        <v>523</v>
      </c>
      <c r="AL311" s="770" t="s">
        <v>494</v>
      </c>
      <c r="AM311" s="770" t="s">
        <v>513</v>
      </c>
      <c r="AN311" s="770" t="s">
        <v>592</v>
      </c>
      <c r="AO311" s="770" t="s">
        <v>493</v>
      </c>
      <c r="AP311" s="770" t="s">
        <v>504</v>
      </c>
      <c r="AQ311" s="770" t="s">
        <v>501</v>
      </c>
      <c r="AR311" s="784" t="s">
        <v>502</v>
      </c>
      <c r="AS311" s="771">
        <v>2.765566939</v>
      </c>
      <c r="AT311" s="771">
        <v>1.07812422</v>
      </c>
      <c r="AU311" s="771">
        <v>4.866840201</v>
      </c>
      <c r="AV311" s="772" t="s">
        <v>233</v>
      </c>
      <c r="AW311" s="714"/>
    </row>
    <row r="312">
      <c r="A312" s="761"/>
      <c r="B312" s="769" t="s">
        <v>493</v>
      </c>
      <c r="C312" s="770" t="s">
        <v>593</v>
      </c>
      <c r="D312" s="770" t="s">
        <v>494</v>
      </c>
      <c r="E312" s="770" t="s">
        <v>495</v>
      </c>
      <c r="F312" s="770" t="s">
        <v>523</v>
      </c>
      <c r="G312" s="770" t="s">
        <v>103</v>
      </c>
      <c r="H312" s="770">
        <v>2019.0</v>
      </c>
      <c r="I312" s="771">
        <v>71.92837361</v>
      </c>
      <c r="J312" s="771">
        <v>128.7520094</v>
      </c>
      <c r="K312" s="772">
        <v>36.22540189</v>
      </c>
      <c r="M312" s="769" t="s">
        <v>493</v>
      </c>
      <c r="N312" s="770" t="s">
        <v>593</v>
      </c>
      <c r="O312" s="770" t="s">
        <v>494</v>
      </c>
      <c r="P312" s="770" t="s">
        <v>495</v>
      </c>
      <c r="Q312" s="770" t="s">
        <v>523</v>
      </c>
      <c r="R312" s="770" t="s">
        <v>497</v>
      </c>
      <c r="S312" s="770">
        <v>2019.0</v>
      </c>
      <c r="T312" s="771">
        <v>10.34557894</v>
      </c>
      <c r="U312" s="771">
        <v>18.51861804</v>
      </c>
      <c r="V312" s="772">
        <v>5.210360473</v>
      </c>
      <c r="X312" s="769" t="s">
        <v>496</v>
      </c>
      <c r="Y312" s="770" t="s">
        <v>494</v>
      </c>
      <c r="Z312" s="770" t="s">
        <v>499</v>
      </c>
      <c r="AA312" s="770" t="s">
        <v>598</v>
      </c>
      <c r="AB312" s="770" t="s">
        <v>493</v>
      </c>
      <c r="AC312" s="770" t="s">
        <v>103</v>
      </c>
      <c r="AD312" s="770" t="s">
        <v>501</v>
      </c>
      <c r="AE312" s="784" t="s">
        <v>502</v>
      </c>
      <c r="AF312" s="771">
        <v>3539.238243</v>
      </c>
      <c r="AG312" s="771">
        <v>2750.837726</v>
      </c>
      <c r="AH312" s="771">
        <v>4603.806365</v>
      </c>
      <c r="AI312" s="772" t="s">
        <v>233</v>
      </c>
      <c r="AK312" s="769" t="s">
        <v>496</v>
      </c>
      <c r="AL312" s="770" t="s">
        <v>494</v>
      </c>
      <c r="AM312" s="770" t="s">
        <v>499</v>
      </c>
      <c r="AN312" s="770" t="s">
        <v>598</v>
      </c>
      <c r="AO312" s="770" t="s">
        <v>493</v>
      </c>
      <c r="AP312" s="770" t="s">
        <v>504</v>
      </c>
      <c r="AQ312" s="770" t="s">
        <v>501</v>
      </c>
      <c r="AR312" s="784" t="s">
        <v>502</v>
      </c>
      <c r="AS312" s="771">
        <v>127878.0564</v>
      </c>
      <c r="AT312" s="771">
        <v>99391.9476</v>
      </c>
      <c r="AU312" s="771">
        <v>166342.5206</v>
      </c>
      <c r="AV312" s="772" t="s">
        <v>233</v>
      </c>
      <c r="AW312" s="714"/>
    </row>
    <row r="313">
      <c r="A313" s="761"/>
      <c r="B313" s="769" t="s">
        <v>493</v>
      </c>
      <c r="C313" s="770" t="s">
        <v>593</v>
      </c>
      <c r="D313" s="770" t="s">
        <v>494</v>
      </c>
      <c r="E313" s="770" t="s">
        <v>505</v>
      </c>
      <c r="F313" s="770" t="s">
        <v>523</v>
      </c>
      <c r="G313" s="770" t="s">
        <v>103</v>
      </c>
      <c r="H313" s="770">
        <v>2019.0</v>
      </c>
      <c r="I313" s="771">
        <v>0.0</v>
      </c>
      <c r="J313" s="771">
        <v>0.0</v>
      </c>
      <c r="K313" s="772">
        <v>0.0</v>
      </c>
      <c r="M313" s="769" t="s">
        <v>493</v>
      </c>
      <c r="N313" s="770" t="s">
        <v>593</v>
      </c>
      <c r="O313" s="770" t="s">
        <v>494</v>
      </c>
      <c r="P313" s="770" t="s">
        <v>505</v>
      </c>
      <c r="Q313" s="770" t="s">
        <v>523</v>
      </c>
      <c r="R313" s="770" t="s">
        <v>497</v>
      </c>
      <c r="S313" s="770">
        <v>2019.0</v>
      </c>
      <c r="T313" s="771">
        <v>0.0</v>
      </c>
      <c r="U313" s="771">
        <v>0.0</v>
      </c>
      <c r="V313" s="772">
        <v>0.0</v>
      </c>
      <c r="X313" s="769" t="s">
        <v>496</v>
      </c>
      <c r="Y313" s="770" t="s">
        <v>494</v>
      </c>
      <c r="Z313" s="770" t="s">
        <v>507</v>
      </c>
      <c r="AA313" s="770" t="s">
        <v>598</v>
      </c>
      <c r="AB313" s="770" t="s">
        <v>493</v>
      </c>
      <c r="AC313" s="770" t="s">
        <v>103</v>
      </c>
      <c r="AD313" s="770" t="s">
        <v>501</v>
      </c>
      <c r="AE313" s="784" t="s">
        <v>502</v>
      </c>
      <c r="AF313" s="771">
        <v>2514.043587</v>
      </c>
      <c r="AG313" s="771">
        <v>1945.645964</v>
      </c>
      <c r="AH313" s="771">
        <v>3280.285491</v>
      </c>
      <c r="AI313" s="772" t="s">
        <v>233</v>
      </c>
      <c r="AK313" s="769" t="s">
        <v>496</v>
      </c>
      <c r="AL313" s="770" t="s">
        <v>494</v>
      </c>
      <c r="AM313" s="770" t="s">
        <v>507</v>
      </c>
      <c r="AN313" s="770" t="s">
        <v>598</v>
      </c>
      <c r="AO313" s="770" t="s">
        <v>493</v>
      </c>
      <c r="AP313" s="770" t="s">
        <v>504</v>
      </c>
      <c r="AQ313" s="770" t="s">
        <v>501</v>
      </c>
      <c r="AR313" s="784" t="s">
        <v>502</v>
      </c>
      <c r="AS313" s="771">
        <v>2013.758489</v>
      </c>
      <c r="AT313" s="771">
        <v>1558.469828</v>
      </c>
      <c r="AU313" s="771">
        <v>2627.521172</v>
      </c>
      <c r="AV313" s="772" t="s">
        <v>233</v>
      </c>
      <c r="AW313" s="714"/>
    </row>
    <row r="314">
      <c r="A314" s="761"/>
      <c r="B314" s="769" t="s">
        <v>493</v>
      </c>
      <c r="C314" s="770" t="s">
        <v>593</v>
      </c>
      <c r="D314" s="770" t="s">
        <v>494</v>
      </c>
      <c r="E314" s="770" t="s">
        <v>508</v>
      </c>
      <c r="F314" s="770" t="s">
        <v>523</v>
      </c>
      <c r="G314" s="770" t="s">
        <v>103</v>
      </c>
      <c r="H314" s="770">
        <v>2019.0</v>
      </c>
      <c r="I314" s="771">
        <v>33.89730777</v>
      </c>
      <c r="J314" s="771">
        <v>64.05013889</v>
      </c>
      <c r="K314" s="772">
        <v>14.90231714</v>
      </c>
      <c r="M314" s="769" t="s">
        <v>493</v>
      </c>
      <c r="N314" s="770" t="s">
        <v>593</v>
      </c>
      <c r="O314" s="770" t="s">
        <v>494</v>
      </c>
      <c r="P314" s="770" t="s">
        <v>508</v>
      </c>
      <c r="Q314" s="770" t="s">
        <v>523</v>
      </c>
      <c r="R314" s="770" t="s">
        <v>497</v>
      </c>
      <c r="S314" s="770">
        <v>2019.0</v>
      </c>
      <c r="T314" s="771">
        <v>26.23450292</v>
      </c>
      <c r="U314" s="771">
        <v>49.57100331</v>
      </c>
      <c r="V314" s="772">
        <v>11.53350836</v>
      </c>
      <c r="X314" s="769" t="s">
        <v>496</v>
      </c>
      <c r="Y314" s="770" t="s">
        <v>494</v>
      </c>
      <c r="Z314" s="770" t="s">
        <v>509</v>
      </c>
      <c r="AA314" s="770" t="s">
        <v>598</v>
      </c>
      <c r="AB314" s="770" t="s">
        <v>493</v>
      </c>
      <c r="AC314" s="770" t="s">
        <v>103</v>
      </c>
      <c r="AD314" s="770" t="s">
        <v>501</v>
      </c>
      <c r="AE314" s="784" t="s">
        <v>502</v>
      </c>
      <c r="AF314" s="771">
        <v>686.3639011</v>
      </c>
      <c r="AG314" s="771">
        <v>527.8294532</v>
      </c>
      <c r="AH314" s="771">
        <v>897.9117654</v>
      </c>
      <c r="AI314" s="772" t="s">
        <v>233</v>
      </c>
      <c r="AK314" s="769" t="s">
        <v>496</v>
      </c>
      <c r="AL314" s="770" t="s">
        <v>494</v>
      </c>
      <c r="AM314" s="770" t="s">
        <v>509</v>
      </c>
      <c r="AN314" s="770" t="s">
        <v>598</v>
      </c>
      <c r="AO314" s="770" t="s">
        <v>493</v>
      </c>
      <c r="AP314" s="770" t="s">
        <v>504</v>
      </c>
      <c r="AQ314" s="770" t="s">
        <v>501</v>
      </c>
      <c r="AR314" s="784" t="s">
        <v>502</v>
      </c>
      <c r="AS314" s="771">
        <v>8417.952114</v>
      </c>
      <c r="AT314" s="771">
        <v>6473.596665</v>
      </c>
      <c r="AU314" s="771">
        <v>11012.49386</v>
      </c>
      <c r="AV314" s="772" t="s">
        <v>233</v>
      </c>
      <c r="AW314" s="714"/>
    </row>
    <row r="315">
      <c r="A315" s="761"/>
      <c r="B315" s="769" t="s">
        <v>493</v>
      </c>
      <c r="C315" s="770" t="s">
        <v>593</v>
      </c>
      <c r="D315" s="770" t="s">
        <v>494</v>
      </c>
      <c r="E315" s="770" t="s">
        <v>512</v>
      </c>
      <c r="F315" s="770" t="s">
        <v>523</v>
      </c>
      <c r="G315" s="770" t="s">
        <v>103</v>
      </c>
      <c r="H315" s="770">
        <v>2019.0</v>
      </c>
      <c r="I315" s="771">
        <v>0.0</v>
      </c>
      <c r="J315" s="771">
        <v>0.0</v>
      </c>
      <c r="K315" s="772">
        <v>0.0</v>
      </c>
      <c r="M315" s="769" t="s">
        <v>493</v>
      </c>
      <c r="N315" s="770" t="s">
        <v>593</v>
      </c>
      <c r="O315" s="770" t="s">
        <v>494</v>
      </c>
      <c r="P315" s="770" t="s">
        <v>512</v>
      </c>
      <c r="Q315" s="770" t="s">
        <v>523</v>
      </c>
      <c r="R315" s="770" t="s">
        <v>497</v>
      </c>
      <c r="S315" s="770">
        <v>2019.0</v>
      </c>
      <c r="T315" s="771">
        <v>0.0</v>
      </c>
      <c r="U315" s="771">
        <v>0.0</v>
      </c>
      <c r="V315" s="772">
        <v>0.0</v>
      </c>
      <c r="X315" s="769" t="s">
        <v>496</v>
      </c>
      <c r="Y315" s="770" t="s">
        <v>494</v>
      </c>
      <c r="Z315" s="770" t="s">
        <v>513</v>
      </c>
      <c r="AA315" s="770" t="s">
        <v>598</v>
      </c>
      <c r="AB315" s="770" t="s">
        <v>493</v>
      </c>
      <c r="AC315" s="770" t="s">
        <v>103</v>
      </c>
      <c r="AD315" s="770" t="s">
        <v>501</v>
      </c>
      <c r="AE315" s="784" t="s">
        <v>502</v>
      </c>
      <c r="AF315" s="771">
        <v>9123.288757</v>
      </c>
      <c r="AG315" s="771">
        <v>7055.865698</v>
      </c>
      <c r="AH315" s="771">
        <v>11894.70147</v>
      </c>
      <c r="AI315" s="772" t="s">
        <v>233</v>
      </c>
      <c r="AK315" s="769" t="s">
        <v>496</v>
      </c>
      <c r="AL315" s="770" t="s">
        <v>494</v>
      </c>
      <c r="AM315" s="770" t="s">
        <v>513</v>
      </c>
      <c r="AN315" s="770" t="s">
        <v>598</v>
      </c>
      <c r="AO315" s="770" t="s">
        <v>493</v>
      </c>
      <c r="AP315" s="770" t="s">
        <v>504</v>
      </c>
      <c r="AQ315" s="770" t="s">
        <v>501</v>
      </c>
      <c r="AR315" s="784" t="s">
        <v>502</v>
      </c>
      <c r="AS315" s="771">
        <v>1397.643861</v>
      </c>
      <c r="AT315" s="771">
        <v>1080.924614</v>
      </c>
      <c r="AU315" s="771">
        <v>1822.210929</v>
      </c>
      <c r="AV315" s="772" t="s">
        <v>233</v>
      </c>
      <c r="AW315" s="714"/>
    </row>
    <row r="316">
      <c r="A316" s="761"/>
      <c r="B316" s="769" t="s">
        <v>493</v>
      </c>
      <c r="C316" s="770" t="s">
        <v>7</v>
      </c>
      <c r="D316" s="770" t="s">
        <v>494</v>
      </c>
      <c r="E316" s="770" t="s">
        <v>495</v>
      </c>
      <c r="F316" s="770" t="s">
        <v>496</v>
      </c>
      <c r="G316" s="770" t="s">
        <v>103</v>
      </c>
      <c r="H316" s="770">
        <v>2019.0</v>
      </c>
      <c r="I316" s="771">
        <v>64816.60409</v>
      </c>
      <c r="J316" s="771">
        <v>77050.05129</v>
      </c>
      <c r="K316" s="772">
        <v>54290.73842</v>
      </c>
      <c r="M316" s="769" t="s">
        <v>493</v>
      </c>
      <c r="N316" s="770" t="s">
        <v>7</v>
      </c>
      <c r="O316" s="770" t="s">
        <v>494</v>
      </c>
      <c r="P316" s="770" t="s">
        <v>495</v>
      </c>
      <c r="Q316" s="770" t="s">
        <v>496</v>
      </c>
      <c r="R316" s="770" t="s">
        <v>497</v>
      </c>
      <c r="S316" s="770">
        <v>2019.0</v>
      </c>
      <c r="T316" s="771">
        <v>1615.568992</v>
      </c>
      <c r="U316" s="771">
        <v>1920.49052</v>
      </c>
      <c r="V316" s="772">
        <v>1353.209333</v>
      </c>
      <c r="X316" s="769" t="s">
        <v>514</v>
      </c>
      <c r="Y316" s="770" t="s">
        <v>494</v>
      </c>
      <c r="Z316" s="770" t="s">
        <v>499</v>
      </c>
      <c r="AA316" s="770" t="s">
        <v>598</v>
      </c>
      <c r="AB316" s="770" t="s">
        <v>493</v>
      </c>
      <c r="AC316" s="770" t="s">
        <v>103</v>
      </c>
      <c r="AD316" s="770" t="s">
        <v>501</v>
      </c>
      <c r="AE316" s="784" t="s">
        <v>502</v>
      </c>
      <c r="AF316" s="771">
        <v>3251.104423</v>
      </c>
      <c r="AG316" s="771">
        <v>2505.358934</v>
      </c>
      <c r="AH316" s="771">
        <v>4226.653259</v>
      </c>
      <c r="AI316" s="772" t="s">
        <v>233</v>
      </c>
      <c r="AK316" s="769" t="s">
        <v>514</v>
      </c>
      <c r="AL316" s="770" t="s">
        <v>494</v>
      </c>
      <c r="AM316" s="770" t="s">
        <v>499</v>
      </c>
      <c r="AN316" s="770" t="s">
        <v>598</v>
      </c>
      <c r="AO316" s="770" t="s">
        <v>493</v>
      </c>
      <c r="AP316" s="770" t="s">
        <v>504</v>
      </c>
      <c r="AQ316" s="770" t="s">
        <v>501</v>
      </c>
      <c r="AR316" s="784" t="s">
        <v>502</v>
      </c>
      <c r="AS316" s="771">
        <v>117467.3436</v>
      </c>
      <c r="AT316" s="771">
        <v>90522.42577</v>
      </c>
      <c r="AU316" s="771">
        <v>152715.4057</v>
      </c>
      <c r="AV316" s="772" t="s">
        <v>233</v>
      </c>
      <c r="AW316" s="714"/>
    </row>
    <row r="317">
      <c r="A317" s="761"/>
      <c r="B317" s="769" t="s">
        <v>493</v>
      </c>
      <c r="C317" s="770" t="s">
        <v>7</v>
      </c>
      <c r="D317" s="770" t="s">
        <v>494</v>
      </c>
      <c r="E317" s="770" t="s">
        <v>505</v>
      </c>
      <c r="F317" s="770" t="s">
        <v>496</v>
      </c>
      <c r="G317" s="770" t="s">
        <v>103</v>
      </c>
      <c r="H317" s="770">
        <v>2019.0</v>
      </c>
      <c r="I317" s="771">
        <v>25085.60233</v>
      </c>
      <c r="J317" s="771">
        <v>30388.42403</v>
      </c>
      <c r="K317" s="772">
        <v>20243.39212</v>
      </c>
      <c r="M317" s="769" t="s">
        <v>493</v>
      </c>
      <c r="N317" s="770" t="s">
        <v>7</v>
      </c>
      <c r="O317" s="770" t="s">
        <v>494</v>
      </c>
      <c r="P317" s="770" t="s">
        <v>505</v>
      </c>
      <c r="Q317" s="770" t="s">
        <v>496</v>
      </c>
      <c r="R317" s="770" t="s">
        <v>497</v>
      </c>
      <c r="S317" s="770">
        <v>2019.0</v>
      </c>
      <c r="T317" s="771">
        <v>149445.0982</v>
      </c>
      <c r="U317" s="771">
        <v>181036.1558</v>
      </c>
      <c r="V317" s="772">
        <v>120598.0898</v>
      </c>
      <c r="X317" s="769" t="s">
        <v>514</v>
      </c>
      <c r="Y317" s="770" t="s">
        <v>494</v>
      </c>
      <c r="Z317" s="770" t="s">
        <v>507</v>
      </c>
      <c r="AA317" s="770" t="s">
        <v>598</v>
      </c>
      <c r="AB317" s="770" t="s">
        <v>493</v>
      </c>
      <c r="AC317" s="770" t="s">
        <v>103</v>
      </c>
      <c r="AD317" s="770" t="s">
        <v>501</v>
      </c>
      <c r="AE317" s="784" t="s">
        <v>502</v>
      </c>
      <c r="AF317" s="771">
        <v>2125.338329</v>
      </c>
      <c r="AG317" s="771">
        <v>1586.913211</v>
      </c>
      <c r="AH317" s="771">
        <v>2831.486474</v>
      </c>
      <c r="AI317" s="772" t="s">
        <v>233</v>
      </c>
      <c r="AK317" s="769" t="s">
        <v>514</v>
      </c>
      <c r="AL317" s="770" t="s">
        <v>494</v>
      </c>
      <c r="AM317" s="770" t="s">
        <v>507</v>
      </c>
      <c r="AN317" s="770" t="s">
        <v>598</v>
      </c>
      <c r="AO317" s="770" t="s">
        <v>493</v>
      </c>
      <c r="AP317" s="770" t="s">
        <v>504</v>
      </c>
      <c r="AQ317" s="770" t="s">
        <v>501</v>
      </c>
      <c r="AR317" s="784" t="s">
        <v>502</v>
      </c>
      <c r="AS317" s="771">
        <v>1702.404097</v>
      </c>
      <c r="AT317" s="771">
        <v>1271.123526</v>
      </c>
      <c r="AU317" s="771">
        <v>2268.03145</v>
      </c>
      <c r="AV317" s="772" t="s">
        <v>233</v>
      </c>
      <c r="AW317" s="714"/>
    </row>
    <row r="318">
      <c r="A318" s="761"/>
      <c r="B318" s="769" t="s">
        <v>493</v>
      </c>
      <c r="C318" s="770" t="s">
        <v>7</v>
      </c>
      <c r="D318" s="770" t="s">
        <v>494</v>
      </c>
      <c r="E318" s="770" t="s">
        <v>508</v>
      </c>
      <c r="F318" s="770" t="s">
        <v>496</v>
      </c>
      <c r="G318" s="770" t="s">
        <v>103</v>
      </c>
      <c r="H318" s="770">
        <v>2019.0</v>
      </c>
      <c r="I318" s="771">
        <v>12225.34139</v>
      </c>
      <c r="J318" s="771">
        <v>17034.88557</v>
      </c>
      <c r="K318" s="772">
        <v>8646.915981</v>
      </c>
      <c r="M318" s="769" t="s">
        <v>493</v>
      </c>
      <c r="N318" s="770" t="s">
        <v>7</v>
      </c>
      <c r="O318" s="770" t="s">
        <v>494</v>
      </c>
      <c r="P318" s="770" t="s">
        <v>508</v>
      </c>
      <c r="Q318" s="770" t="s">
        <v>496</v>
      </c>
      <c r="R318" s="770" t="s">
        <v>497</v>
      </c>
      <c r="S318" s="770">
        <v>2019.0</v>
      </c>
      <c r="T318" s="771">
        <v>1567.745235</v>
      </c>
      <c r="U318" s="771">
        <v>2184.508378</v>
      </c>
      <c r="V318" s="772">
        <v>1108.857487</v>
      </c>
      <c r="X318" s="769" t="s">
        <v>514</v>
      </c>
      <c r="Y318" s="770" t="s">
        <v>494</v>
      </c>
      <c r="Z318" s="770" t="s">
        <v>509</v>
      </c>
      <c r="AA318" s="770" t="s">
        <v>598</v>
      </c>
      <c r="AB318" s="770" t="s">
        <v>493</v>
      </c>
      <c r="AC318" s="770" t="s">
        <v>103</v>
      </c>
      <c r="AD318" s="770" t="s">
        <v>501</v>
      </c>
      <c r="AE318" s="784" t="s">
        <v>502</v>
      </c>
      <c r="AF318" s="771">
        <v>606.3793029</v>
      </c>
      <c r="AG318" s="771">
        <v>466.9658205</v>
      </c>
      <c r="AH318" s="771">
        <v>799.2267621</v>
      </c>
      <c r="AI318" s="772" t="s">
        <v>233</v>
      </c>
      <c r="AK318" s="769" t="s">
        <v>514</v>
      </c>
      <c r="AL318" s="770" t="s">
        <v>494</v>
      </c>
      <c r="AM318" s="770" t="s">
        <v>509</v>
      </c>
      <c r="AN318" s="770" t="s">
        <v>598</v>
      </c>
      <c r="AO318" s="770" t="s">
        <v>493</v>
      </c>
      <c r="AP318" s="770" t="s">
        <v>504</v>
      </c>
      <c r="AQ318" s="770" t="s">
        <v>501</v>
      </c>
      <c r="AR318" s="784" t="s">
        <v>502</v>
      </c>
      <c r="AS318" s="771">
        <v>7436.976109</v>
      </c>
      <c r="AT318" s="771">
        <v>5727.130913</v>
      </c>
      <c r="AU318" s="771">
        <v>9802.165586</v>
      </c>
      <c r="AV318" s="772" t="s">
        <v>233</v>
      </c>
      <c r="AW318" s="714"/>
    </row>
    <row r="319">
      <c r="A319" s="761"/>
      <c r="B319" s="769" t="s">
        <v>493</v>
      </c>
      <c r="C319" s="770" t="s">
        <v>7</v>
      </c>
      <c r="D319" s="770" t="s">
        <v>494</v>
      </c>
      <c r="E319" s="770" t="s">
        <v>512</v>
      </c>
      <c r="F319" s="770" t="s">
        <v>496</v>
      </c>
      <c r="G319" s="770" t="s">
        <v>103</v>
      </c>
      <c r="H319" s="770">
        <v>2019.0</v>
      </c>
      <c r="I319" s="771">
        <v>5328.858472</v>
      </c>
      <c r="J319" s="771">
        <v>6483.228025</v>
      </c>
      <c r="K319" s="772">
        <v>4271.728624</v>
      </c>
      <c r="M319" s="769" t="s">
        <v>493</v>
      </c>
      <c r="N319" s="770" t="s">
        <v>7</v>
      </c>
      <c r="O319" s="770" t="s">
        <v>494</v>
      </c>
      <c r="P319" s="770" t="s">
        <v>512</v>
      </c>
      <c r="Q319" s="770" t="s">
        <v>496</v>
      </c>
      <c r="R319" s="770" t="s">
        <v>497</v>
      </c>
      <c r="S319" s="770">
        <v>2019.0</v>
      </c>
      <c r="T319" s="771">
        <v>10774.44207</v>
      </c>
      <c r="U319" s="771">
        <v>13108.46688</v>
      </c>
      <c r="V319" s="772">
        <v>8637.026642</v>
      </c>
      <c r="X319" s="769" t="s">
        <v>514</v>
      </c>
      <c r="Y319" s="770" t="s">
        <v>494</v>
      </c>
      <c r="Z319" s="770" t="s">
        <v>513</v>
      </c>
      <c r="AA319" s="770" t="s">
        <v>598</v>
      </c>
      <c r="AB319" s="770" t="s">
        <v>493</v>
      </c>
      <c r="AC319" s="770" t="s">
        <v>103</v>
      </c>
      <c r="AD319" s="770" t="s">
        <v>501</v>
      </c>
      <c r="AE319" s="784" t="s">
        <v>502</v>
      </c>
      <c r="AF319" s="771">
        <v>8092.06495</v>
      </c>
      <c r="AG319" s="771">
        <v>6162.956647</v>
      </c>
      <c r="AH319" s="771">
        <v>10525.12176</v>
      </c>
      <c r="AI319" s="772" t="s">
        <v>233</v>
      </c>
      <c r="AK319" s="769" t="s">
        <v>514</v>
      </c>
      <c r="AL319" s="770" t="s">
        <v>494</v>
      </c>
      <c r="AM319" s="770" t="s">
        <v>513</v>
      </c>
      <c r="AN319" s="770" t="s">
        <v>598</v>
      </c>
      <c r="AO319" s="770" t="s">
        <v>493</v>
      </c>
      <c r="AP319" s="770" t="s">
        <v>504</v>
      </c>
      <c r="AQ319" s="770" t="s">
        <v>501</v>
      </c>
      <c r="AR319" s="784" t="s">
        <v>502</v>
      </c>
      <c r="AS319" s="771">
        <v>1239.665344</v>
      </c>
      <c r="AT319" s="771">
        <v>944.135251</v>
      </c>
      <c r="AU319" s="771">
        <v>1612.397919</v>
      </c>
      <c r="AV319" s="772" t="s">
        <v>233</v>
      </c>
      <c r="AW319" s="714"/>
    </row>
    <row r="320">
      <c r="A320" s="761"/>
      <c r="B320" s="769" t="s">
        <v>493</v>
      </c>
      <c r="C320" s="770" t="s">
        <v>7</v>
      </c>
      <c r="D320" s="770" t="s">
        <v>494</v>
      </c>
      <c r="E320" s="770" t="s">
        <v>495</v>
      </c>
      <c r="F320" s="770" t="s">
        <v>514</v>
      </c>
      <c r="G320" s="770" t="s">
        <v>103</v>
      </c>
      <c r="H320" s="770">
        <v>2019.0</v>
      </c>
      <c r="I320" s="771">
        <v>57297.85472</v>
      </c>
      <c r="J320" s="771">
        <v>68359.51221</v>
      </c>
      <c r="K320" s="772">
        <v>47260.458</v>
      </c>
      <c r="M320" s="769" t="s">
        <v>493</v>
      </c>
      <c r="N320" s="770" t="s">
        <v>7</v>
      </c>
      <c r="O320" s="770" t="s">
        <v>494</v>
      </c>
      <c r="P320" s="770" t="s">
        <v>495</v>
      </c>
      <c r="Q320" s="770" t="s">
        <v>514</v>
      </c>
      <c r="R320" s="770" t="s">
        <v>497</v>
      </c>
      <c r="S320" s="770">
        <v>2019.0</v>
      </c>
      <c r="T320" s="771">
        <v>1428.162409</v>
      </c>
      <c r="U320" s="771">
        <v>1703.876805</v>
      </c>
      <c r="V320" s="772">
        <v>1177.977951</v>
      </c>
      <c r="X320" s="769" t="s">
        <v>518</v>
      </c>
      <c r="Y320" s="770" t="s">
        <v>494</v>
      </c>
      <c r="Z320" s="770" t="s">
        <v>499</v>
      </c>
      <c r="AA320" s="770" t="s">
        <v>598</v>
      </c>
      <c r="AB320" s="770" t="s">
        <v>493</v>
      </c>
      <c r="AC320" s="770" t="s">
        <v>103</v>
      </c>
      <c r="AD320" s="770" t="s">
        <v>501</v>
      </c>
      <c r="AE320" s="784" t="s">
        <v>502</v>
      </c>
      <c r="AF320" s="771">
        <v>28.7332815</v>
      </c>
      <c r="AG320" s="771">
        <v>10.89553669</v>
      </c>
      <c r="AH320" s="771">
        <v>60.71436464</v>
      </c>
      <c r="AI320" s="772" t="s">
        <v>233</v>
      </c>
      <c r="AK320" s="769" t="s">
        <v>518</v>
      </c>
      <c r="AL320" s="770" t="s">
        <v>494</v>
      </c>
      <c r="AM320" s="770" t="s">
        <v>499</v>
      </c>
      <c r="AN320" s="770" t="s">
        <v>598</v>
      </c>
      <c r="AO320" s="770" t="s">
        <v>493</v>
      </c>
      <c r="AP320" s="770" t="s">
        <v>504</v>
      </c>
      <c r="AQ320" s="770" t="s">
        <v>501</v>
      </c>
      <c r="AR320" s="784" t="s">
        <v>502</v>
      </c>
      <c r="AS320" s="771">
        <v>1038.177128</v>
      </c>
      <c r="AT320" s="771">
        <v>393.6722989</v>
      </c>
      <c r="AU320" s="771">
        <v>2193.702264</v>
      </c>
      <c r="AV320" s="772" t="s">
        <v>233</v>
      </c>
      <c r="AW320" s="714"/>
    </row>
    <row r="321">
      <c r="A321" s="761"/>
      <c r="B321" s="769" t="s">
        <v>493</v>
      </c>
      <c r="C321" s="770" t="s">
        <v>7</v>
      </c>
      <c r="D321" s="770" t="s">
        <v>494</v>
      </c>
      <c r="E321" s="770" t="s">
        <v>505</v>
      </c>
      <c r="F321" s="770" t="s">
        <v>514</v>
      </c>
      <c r="G321" s="770" t="s">
        <v>103</v>
      </c>
      <c r="H321" s="770">
        <v>2019.0</v>
      </c>
      <c r="I321" s="771">
        <v>23250.27761</v>
      </c>
      <c r="J321" s="771">
        <v>28211.12467</v>
      </c>
      <c r="K321" s="772">
        <v>18715.77369</v>
      </c>
      <c r="M321" s="769" t="s">
        <v>493</v>
      </c>
      <c r="N321" s="770" t="s">
        <v>7</v>
      </c>
      <c r="O321" s="770" t="s">
        <v>494</v>
      </c>
      <c r="P321" s="770" t="s">
        <v>505</v>
      </c>
      <c r="Q321" s="770" t="s">
        <v>514</v>
      </c>
      <c r="R321" s="770" t="s">
        <v>497</v>
      </c>
      <c r="S321" s="770">
        <v>2019.0</v>
      </c>
      <c r="T321" s="771">
        <v>138511.3251</v>
      </c>
      <c r="U321" s="771">
        <v>168065.1012</v>
      </c>
      <c r="V321" s="772">
        <v>111497.4478</v>
      </c>
      <c r="X321" s="769" t="s">
        <v>518</v>
      </c>
      <c r="Y321" s="770" t="s">
        <v>494</v>
      </c>
      <c r="Z321" s="770" t="s">
        <v>507</v>
      </c>
      <c r="AA321" s="770" t="s">
        <v>598</v>
      </c>
      <c r="AB321" s="770" t="s">
        <v>493</v>
      </c>
      <c r="AC321" s="770" t="s">
        <v>103</v>
      </c>
      <c r="AD321" s="770" t="s">
        <v>501</v>
      </c>
      <c r="AE321" s="784" t="s">
        <v>502</v>
      </c>
      <c r="AF321" s="771">
        <v>544.9193174</v>
      </c>
      <c r="AG321" s="771">
        <v>273.3726116</v>
      </c>
      <c r="AH321" s="771">
        <v>972.2524429</v>
      </c>
      <c r="AI321" s="772" t="s">
        <v>233</v>
      </c>
      <c r="AK321" s="769" t="s">
        <v>518</v>
      </c>
      <c r="AL321" s="770" t="s">
        <v>494</v>
      </c>
      <c r="AM321" s="770" t="s">
        <v>507</v>
      </c>
      <c r="AN321" s="770" t="s">
        <v>598</v>
      </c>
      <c r="AO321" s="770" t="s">
        <v>493</v>
      </c>
      <c r="AP321" s="770" t="s">
        <v>504</v>
      </c>
      <c r="AQ321" s="770" t="s">
        <v>501</v>
      </c>
      <c r="AR321" s="784" t="s">
        <v>502</v>
      </c>
      <c r="AS321" s="771">
        <v>436.4824488</v>
      </c>
      <c r="AT321" s="771">
        <v>218.9725031</v>
      </c>
      <c r="AU321" s="771">
        <v>778.77791</v>
      </c>
      <c r="AV321" s="772" t="s">
        <v>233</v>
      </c>
      <c r="AW321" s="714"/>
    </row>
    <row r="322">
      <c r="A322" s="761"/>
      <c r="B322" s="769" t="s">
        <v>493</v>
      </c>
      <c r="C322" s="770" t="s">
        <v>7</v>
      </c>
      <c r="D322" s="770" t="s">
        <v>494</v>
      </c>
      <c r="E322" s="770" t="s">
        <v>508</v>
      </c>
      <c r="F322" s="770" t="s">
        <v>514</v>
      </c>
      <c r="G322" s="770" t="s">
        <v>103</v>
      </c>
      <c r="H322" s="770">
        <v>2019.0</v>
      </c>
      <c r="I322" s="771">
        <v>10424.87457</v>
      </c>
      <c r="J322" s="771">
        <v>14507.32049</v>
      </c>
      <c r="K322" s="772">
        <v>7164.93753</v>
      </c>
      <c r="M322" s="769" t="s">
        <v>493</v>
      </c>
      <c r="N322" s="770" t="s">
        <v>7</v>
      </c>
      <c r="O322" s="770" t="s">
        <v>494</v>
      </c>
      <c r="P322" s="770" t="s">
        <v>508</v>
      </c>
      <c r="Q322" s="770" t="s">
        <v>514</v>
      </c>
      <c r="R322" s="770" t="s">
        <v>497</v>
      </c>
      <c r="S322" s="770">
        <v>2019.0</v>
      </c>
      <c r="T322" s="771">
        <v>1336.858163</v>
      </c>
      <c r="U322" s="771">
        <v>1860.380159</v>
      </c>
      <c r="V322" s="772">
        <v>918.8125152</v>
      </c>
      <c r="X322" s="769" t="s">
        <v>518</v>
      </c>
      <c r="Y322" s="770" t="s">
        <v>494</v>
      </c>
      <c r="Z322" s="770" t="s">
        <v>509</v>
      </c>
      <c r="AA322" s="770" t="s">
        <v>598</v>
      </c>
      <c r="AB322" s="770" t="s">
        <v>493</v>
      </c>
      <c r="AC322" s="770" t="s">
        <v>103</v>
      </c>
      <c r="AD322" s="770" t="s">
        <v>501</v>
      </c>
      <c r="AE322" s="784" t="s">
        <v>502</v>
      </c>
      <c r="AF322" s="771">
        <v>51.6407719</v>
      </c>
      <c r="AG322" s="771">
        <v>25.36118163</v>
      </c>
      <c r="AH322" s="771">
        <v>95.59595042</v>
      </c>
      <c r="AI322" s="772" t="s">
        <v>233</v>
      </c>
      <c r="AK322" s="769" t="s">
        <v>518</v>
      </c>
      <c r="AL322" s="770" t="s">
        <v>494</v>
      </c>
      <c r="AM322" s="770" t="s">
        <v>509</v>
      </c>
      <c r="AN322" s="770" t="s">
        <v>598</v>
      </c>
      <c r="AO322" s="770" t="s">
        <v>493</v>
      </c>
      <c r="AP322" s="770" t="s">
        <v>504</v>
      </c>
      <c r="AQ322" s="770" t="s">
        <v>501</v>
      </c>
      <c r="AR322" s="784" t="s">
        <v>502</v>
      </c>
      <c r="AS322" s="771">
        <v>633.3514106</v>
      </c>
      <c r="AT322" s="771">
        <v>311.0437658</v>
      </c>
      <c r="AU322" s="771">
        <v>1172.44239</v>
      </c>
      <c r="AV322" s="772" t="s">
        <v>233</v>
      </c>
      <c r="AW322" s="714"/>
    </row>
    <row r="323">
      <c r="A323" s="761"/>
      <c r="B323" s="769" t="s">
        <v>493</v>
      </c>
      <c r="C323" s="770" t="s">
        <v>7</v>
      </c>
      <c r="D323" s="770" t="s">
        <v>494</v>
      </c>
      <c r="E323" s="770" t="s">
        <v>512</v>
      </c>
      <c r="F323" s="770" t="s">
        <v>514</v>
      </c>
      <c r="G323" s="770" t="s">
        <v>103</v>
      </c>
      <c r="H323" s="770">
        <v>2019.0</v>
      </c>
      <c r="I323" s="771">
        <v>4753.388392</v>
      </c>
      <c r="J323" s="771">
        <v>5777.73272</v>
      </c>
      <c r="K323" s="772">
        <v>3795.930035</v>
      </c>
      <c r="M323" s="769" t="s">
        <v>493</v>
      </c>
      <c r="N323" s="770" t="s">
        <v>7</v>
      </c>
      <c r="O323" s="770" t="s">
        <v>494</v>
      </c>
      <c r="P323" s="770" t="s">
        <v>512</v>
      </c>
      <c r="Q323" s="770" t="s">
        <v>514</v>
      </c>
      <c r="R323" s="770" t="s">
        <v>497</v>
      </c>
      <c r="S323" s="770">
        <v>2019.0</v>
      </c>
      <c r="T323" s="771">
        <v>9610.896618</v>
      </c>
      <c r="U323" s="771">
        <v>11682.02286</v>
      </c>
      <c r="V323" s="772">
        <v>7675.00741</v>
      </c>
      <c r="X323" s="769" t="s">
        <v>518</v>
      </c>
      <c r="Y323" s="770" t="s">
        <v>494</v>
      </c>
      <c r="Z323" s="770" t="s">
        <v>513</v>
      </c>
      <c r="AA323" s="770" t="s">
        <v>598</v>
      </c>
      <c r="AB323" s="770" t="s">
        <v>493</v>
      </c>
      <c r="AC323" s="770" t="s">
        <v>103</v>
      </c>
      <c r="AD323" s="770" t="s">
        <v>501</v>
      </c>
      <c r="AE323" s="784" t="s">
        <v>502</v>
      </c>
      <c r="AF323" s="771">
        <v>957.4569507</v>
      </c>
      <c r="AG323" s="771">
        <v>517.8244206</v>
      </c>
      <c r="AH323" s="771">
        <v>1616.108952</v>
      </c>
      <c r="AI323" s="772" t="s">
        <v>233</v>
      </c>
      <c r="AK323" s="769" t="s">
        <v>518</v>
      </c>
      <c r="AL323" s="770" t="s">
        <v>494</v>
      </c>
      <c r="AM323" s="770" t="s">
        <v>513</v>
      </c>
      <c r="AN323" s="770" t="s">
        <v>598</v>
      </c>
      <c r="AO323" s="770" t="s">
        <v>493</v>
      </c>
      <c r="AP323" s="770" t="s">
        <v>504</v>
      </c>
      <c r="AQ323" s="770" t="s">
        <v>501</v>
      </c>
      <c r="AR323" s="784" t="s">
        <v>502</v>
      </c>
      <c r="AS323" s="771">
        <v>146.6777896</v>
      </c>
      <c r="AT323" s="771">
        <v>79.32820517</v>
      </c>
      <c r="AU323" s="771">
        <v>247.5801013</v>
      </c>
      <c r="AV323" s="772" t="s">
        <v>233</v>
      </c>
      <c r="AW323" s="714"/>
    </row>
    <row r="324">
      <c r="A324" s="761"/>
      <c r="B324" s="769" t="s">
        <v>493</v>
      </c>
      <c r="C324" s="770" t="s">
        <v>7</v>
      </c>
      <c r="D324" s="770" t="s">
        <v>494</v>
      </c>
      <c r="E324" s="770" t="s">
        <v>495</v>
      </c>
      <c r="F324" s="770" t="s">
        <v>518</v>
      </c>
      <c r="G324" s="770" t="s">
        <v>103</v>
      </c>
      <c r="H324" s="770">
        <v>2019.0</v>
      </c>
      <c r="I324" s="771">
        <v>3977.855075</v>
      </c>
      <c r="J324" s="771">
        <v>8840.87027</v>
      </c>
      <c r="K324" s="772">
        <v>1477.236481</v>
      </c>
      <c r="M324" s="769" t="s">
        <v>493</v>
      </c>
      <c r="N324" s="770" t="s">
        <v>7</v>
      </c>
      <c r="O324" s="770" t="s">
        <v>494</v>
      </c>
      <c r="P324" s="770" t="s">
        <v>495</v>
      </c>
      <c r="Q324" s="770" t="s">
        <v>518</v>
      </c>
      <c r="R324" s="770" t="s">
        <v>497</v>
      </c>
      <c r="S324" s="770">
        <v>2019.0</v>
      </c>
      <c r="T324" s="771">
        <v>99.14896663</v>
      </c>
      <c r="U324" s="771">
        <v>220.3607559</v>
      </c>
      <c r="V324" s="772">
        <v>36.82046424</v>
      </c>
      <c r="X324" s="769" t="s">
        <v>519</v>
      </c>
      <c r="Y324" s="770" t="s">
        <v>494</v>
      </c>
      <c r="Z324" s="770" t="s">
        <v>499</v>
      </c>
      <c r="AA324" s="770" t="s">
        <v>598</v>
      </c>
      <c r="AB324" s="770" t="s">
        <v>493</v>
      </c>
      <c r="AC324" s="770" t="s">
        <v>103</v>
      </c>
      <c r="AD324" s="770" t="s">
        <v>501</v>
      </c>
      <c r="AE324" s="784" t="s">
        <v>502</v>
      </c>
      <c r="AF324" s="771">
        <v>2720.953489</v>
      </c>
      <c r="AG324" s="771">
        <v>2050.097091</v>
      </c>
      <c r="AH324" s="771">
        <v>3575.637639</v>
      </c>
      <c r="AI324" s="772" t="s">
        <v>233</v>
      </c>
      <c r="AK324" s="769" t="s">
        <v>519</v>
      </c>
      <c r="AL324" s="770" t="s">
        <v>494</v>
      </c>
      <c r="AM324" s="770" t="s">
        <v>499</v>
      </c>
      <c r="AN324" s="770" t="s">
        <v>598</v>
      </c>
      <c r="AO324" s="770" t="s">
        <v>493</v>
      </c>
      <c r="AP324" s="770" t="s">
        <v>504</v>
      </c>
      <c r="AQ324" s="770" t="s">
        <v>501</v>
      </c>
      <c r="AR324" s="784" t="s">
        <v>502</v>
      </c>
      <c r="AS324" s="771">
        <v>98312.18471</v>
      </c>
      <c r="AT324" s="771">
        <v>74073.12351</v>
      </c>
      <c r="AU324" s="771">
        <v>129193.2219</v>
      </c>
      <c r="AV324" s="772" t="s">
        <v>233</v>
      </c>
      <c r="AW324" s="714"/>
    </row>
    <row r="325">
      <c r="A325" s="761"/>
      <c r="B325" s="769" t="s">
        <v>493</v>
      </c>
      <c r="C325" s="770" t="s">
        <v>7</v>
      </c>
      <c r="D325" s="770" t="s">
        <v>494</v>
      </c>
      <c r="E325" s="770" t="s">
        <v>505</v>
      </c>
      <c r="F325" s="770" t="s">
        <v>518</v>
      </c>
      <c r="G325" s="770" t="s">
        <v>103</v>
      </c>
      <c r="H325" s="770">
        <v>2019.0</v>
      </c>
      <c r="I325" s="771">
        <v>108.5208194</v>
      </c>
      <c r="J325" s="771">
        <v>242.2882141</v>
      </c>
      <c r="K325" s="772">
        <v>33.70185476</v>
      </c>
      <c r="M325" s="769" t="s">
        <v>493</v>
      </c>
      <c r="N325" s="770" t="s">
        <v>7</v>
      </c>
      <c r="O325" s="770" t="s">
        <v>494</v>
      </c>
      <c r="P325" s="770" t="s">
        <v>505</v>
      </c>
      <c r="Q325" s="770" t="s">
        <v>518</v>
      </c>
      <c r="R325" s="770" t="s">
        <v>497</v>
      </c>
      <c r="S325" s="770">
        <v>2019.0</v>
      </c>
      <c r="T325" s="771">
        <v>646.5024957</v>
      </c>
      <c r="U325" s="771">
        <v>1443.40907</v>
      </c>
      <c r="V325" s="772">
        <v>200.7756053</v>
      </c>
      <c r="X325" s="769" t="s">
        <v>519</v>
      </c>
      <c r="Y325" s="770" t="s">
        <v>494</v>
      </c>
      <c r="Z325" s="770" t="s">
        <v>507</v>
      </c>
      <c r="AA325" s="770" t="s">
        <v>598</v>
      </c>
      <c r="AB325" s="770" t="s">
        <v>493</v>
      </c>
      <c r="AC325" s="770" t="s">
        <v>103</v>
      </c>
      <c r="AD325" s="770" t="s">
        <v>501</v>
      </c>
      <c r="AE325" s="784" t="s">
        <v>502</v>
      </c>
      <c r="AF325" s="771">
        <v>17.35430674</v>
      </c>
      <c r="AG325" s="771">
        <v>9.159830705</v>
      </c>
      <c r="AH325" s="771">
        <v>29.86097681</v>
      </c>
      <c r="AI325" s="772" t="s">
        <v>233</v>
      </c>
      <c r="AK325" s="769" t="s">
        <v>519</v>
      </c>
      <c r="AL325" s="770" t="s">
        <v>494</v>
      </c>
      <c r="AM325" s="770" t="s">
        <v>507</v>
      </c>
      <c r="AN325" s="770" t="s">
        <v>598</v>
      </c>
      <c r="AO325" s="770" t="s">
        <v>493</v>
      </c>
      <c r="AP325" s="770" t="s">
        <v>504</v>
      </c>
      <c r="AQ325" s="770" t="s">
        <v>501</v>
      </c>
      <c r="AR325" s="784" t="s">
        <v>502</v>
      </c>
      <c r="AS325" s="771">
        <v>13.9008658</v>
      </c>
      <c r="AT325" s="771">
        <v>7.337059284</v>
      </c>
      <c r="AU325" s="771">
        <v>23.91875616</v>
      </c>
      <c r="AV325" s="772" t="s">
        <v>233</v>
      </c>
      <c r="AW325" s="714"/>
    </row>
    <row r="326">
      <c r="A326" s="761"/>
      <c r="B326" s="769" t="s">
        <v>493</v>
      </c>
      <c r="C326" s="770" t="s">
        <v>7</v>
      </c>
      <c r="D326" s="770" t="s">
        <v>494</v>
      </c>
      <c r="E326" s="770" t="s">
        <v>508</v>
      </c>
      <c r="F326" s="770" t="s">
        <v>518</v>
      </c>
      <c r="G326" s="770" t="s">
        <v>103</v>
      </c>
      <c r="H326" s="770">
        <v>2019.0</v>
      </c>
      <c r="I326" s="771">
        <v>1429.618315</v>
      </c>
      <c r="J326" s="771">
        <v>3543.048264</v>
      </c>
      <c r="K326" s="772">
        <v>403.8394905</v>
      </c>
      <c r="M326" s="769" t="s">
        <v>493</v>
      </c>
      <c r="N326" s="770" t="s">
        <v>7</v>
      </c>
      <c r="O326" s="770" t="s">
        <v>494</v>
      </c>
      <c r="P326" s="770" t="s">
        <v>508</v>
      </c>
      <c r="Q326" s="770" t="s">
        <v>518</v>
      </c>
      <c r="R326" s="770" t="s">
        <v>497</v>
      </c>
      <c r="S326" s="770">
        <v>2019.0</v>
      </c>
      <c r="T326" s="771">
        <v>183.3304469</v>
      </c>
      <c r="U326" s="771">
        <v>454.3510775</v>
      </c>
      <c r="V326" s="772">
        <v>51.78730121</v>
      </c>
      <c r="X326" s="769" t="s">
        <v>519</v>
      </c>
      <c r="Y326" s="770" t="s">
        <v>494</v>
      </c>
      <c r="Z326" s="770" t="s">
        <v>509</v>
      </c>
      <c r="AA326" s="770" t="s">
        <v>598</v>
      </c>
      <c r="AB326" s="770" t="s">
        <v>493</v>
      </c>
      <c r="AC326" s="770" t="s">
        <v>103</v>
      </c>
      <c r="AD326" s="770" t="s">
        <v>501</v>
      </c>
      <c r="AE326" s="784" t="s">
        <v>502</v>
      </c>
      <c r="AF326" s="771">
        <v>251.2604963</v>
      </c>
      <c r="AG326" s="771">
        <v>169.61439</v>
      </c>
      <c r="AH326" s="771">
        <v>356.1360708</v>
      </c>
      <c r="AI326" s="772" t="s">
        <v>233</v>
      </c>
      <c r="AK326" s="769" t="s">
        <v>519</v>
      </c>
      <c r="AL326" s="770" t="s">
        <v>494</v>
      </c>
      <c r="AM326" s="770" t="s">
        <v>509</v>
      </c>
      <c r="AN326" s="770" t="s">
        <v>598</v>
      </c>
      <c r="AO326" s="770" t="s">
        <v>493</v>
      </c>
      <c r="AP326" s="770" t="s">
        <v>504</v>
      </c>
      <c r="AQ326" s="770" t="s">
        <v>501</v>
      </c>
      <c r="AR326" s="784" t="s">
        <v>502</v>
      </c>
      <c r="AS326" s="771">
        <v>3081.59975</v>
      </c>
      <c r="AT326" s="771">
        <v>2080.246077</v>
      </c>
      <c r="AU326" s="771">
        <v>4367.852658</v>
      </c>
      <c r="AV326" s="772" t="s">
        <v>233</v>
      </c>
      <c r="AW326" s="714"/>
    </row>
    <row r="327">
      <c r="A327" s="761"/>
      <c r="B327" s="769" t="s">
        <v>493</v>
      </c>
      <c r="C327" s="770" t="s">
        <v>7</v>
      </c>
      <c r="D327" s="770" t="s">
        <v>494</v>
      </c>
      <c r="E327" s="770" t="s">
        <v>512</v>
      </c>
      <c r="F327" s="770" t="s">
        <v>518</v>
      </c>
      <c r="G327" s="770" t="s">
        <v>103</v>
      </c>
      <c r="H327" s="770">
        <v>2019.0</v>
      </c>
      <c r="I327" s="771">
        <v>245.0759705</v>
      </c>
      <c r="J327" s="771">
        <v>651.7720849</v>
      </c>
      <c r="K327" s="772">
        <v>59.88156683</v>
      </c>
      <c r="M327" s="769" t="s">
        <v>493</v>
      </c>
      <c r="N327" s="770" t="s">
        <v>7</v>
      </c>
      <c r="O327" s="770" t="s">
        <v>494</v>
      </c>
      <c r="P327" s="770" t="s">
        <v>512</v>
      </c>
      <c r="Q327" s="770" t="s">
        <v>518</v>
      </c>
      <c r="R327" s="770" t="s">
        <v>497</v>
      </c>
      <c r="S327" s="770">
        <v>2019.0</v>
      </c>
      <c r="T327" s="771">
        <v>495.5201682</v>
      </c>
      <c r="U327" s="771">
        <v>1317.820807</v>
      </c>
      <c r="V327" s="772">
        <v>121.0747998</v>
      </c>
      <c r="X327" s="769" t="s">
        <v>519</v>
      </c>
      <c r="Y327" s="770" t="s">
        <v>494</v>
      </c>
      <c r="Z327" s="770" t="s">
        <v>513</v>
      </c>
      <c r="AA327" s="770" t="s">
        <v>598</v>
      </c>
      <c r="AB327" s="770" t="s">
        <v>493</v>
      </c>
      <c r="AC327" s="770" t="s">
        <v>103</v>
      </c>
      <c r="AD327" s="770" t="s">
        <v>501</v>
      </c>
      <c r="AE327" s="784" t="s">
        <v>502</v>
      </c>
      <c r="AF327" s="771">
        <v>2992.078746</v>
      </c>
      <c r="AG327" s="771">
        <v>2256.743605</v>
      </c>
      <c r="AH327" s="771">
        <v>3953.26809</v>
      </c>
      <c r="AI327" s="772" t="s">
        <v>233</v>
      </c>
      <c r="AK327" s="769" t="s">
        <v>519</v>
      </c>
      <c r="AL327" s="770" t="s">
        <v>494</v>
      </c>
      <c r="AM327" s="770" t="s">
        <v>513</v>
      </c>
      <c r="AN327" s="770" t="s">
        <v>598</v>
      </c>
      <c r="AO327" s="770" t="s">
        <v>493</v>
      </c>
      <c r="AP327" s="770" t="s">
        <v>504</v>
      </c>
      <c r="AQ327" s="770" t="s">
        <v>501</v>
      </c>
      <c r="AR327" s="784" t="s">
        <v>502</v>
      </c>
      <c r="AS327" s="771">
        <v>458.3720411</v>
      </c>
      <c r="AT327" s="771">
        <v>345.722242</v>
      </c>
      <c r="AU327" s="771">
        <v>605.6216154</v>
      </c>
      <c r="AV327" s="772" t="s">
        <v>233</v>
      </c>
      <c r="AW327" s="714"/>
    </row>
    <row r="328">
      <c r="A328" s="761"/>
      <c r="B328" s="786" t="s">
        <v>493</v>
      </c>
      <c r="C328" s="787" t="s">
        <v>7</v>
      </c>
      <c r="D328" s="787" t="s">
        <v>494</v>
      </c>
      <c r="E328" s="787" t="s">
        <v>495</v>
      </c>
      <c r="F328" s="787" t="s">
        <v>519</v>
      </c>
      <c r="G328" s="787" t="s">
        <v>103</v>
      </c>
      <c r="H328" s="788">
        <v>2019.0</v>
      </c>
      <c r="I328" s="789">
        <v>23029.54205</v>
      </c>
      <c r="J328" s="789">
        <v>28051.77738</v>
      </c>
      <c r="K328" s="790">
        <v>18458.79337</v>
      </c>
      <c r="M328" s="786" t="s">
        <v>493</v>
      </c>
      <c r="N328" s="787" t="s">
        <v>7</v>
      </c>
      <c r="O328" s="787" t="s">
        <v>494</v>
      </c>
      <c r="P328" s="787" t="s">
        <v>495</v>
      </c>
      <c r="Q328" s="787" t="s">
        <v>519</v>
      </c>
      <c r="R328" s="787" t="s">
        <v>497</v>
      </c>
      <c r="S328" s="788">
        <v>2019.0</v>
      </c>
      <c r="T328" s="789">
        <v>574.0167133</v>
      </c>
      <c r="U328" s="789">
        <v>699.1971017</v>
      </c>
      <c r="V328" s="790">
        <v>460.0897352</v>
      </c>
      <c r="X328" s="769" t="s">
        <v>521</v>
      </c>
      <c r="Y328" s="770" t="s">
        <v>494</v>
      </c>
      <c r="Z328" s="770" t="s">
        <v>499</v>
      </c>
      <c r="AA328" s="770" t="s">
        <v>598</v>
      </c>
      <c r="AB328" s="770" t="s">
        <v>493</v>
      </c>
      <c r="AC328" s="770" t="s">
        <v>103</v>
      </c>
      <c r="AD328" s="770" t="s">
        <v>501</v>
      </c>
      <c r="AE328" s="784" t="s">
        <v>502</v>
      </c>
      <c r="AF328" s="771">
        <v>0.0</v>
      </c>
      <c r="AG328" s="771">
        <v>0.0</v>
      </c>
      <c r="AH328" s="771">
        <v>0.0</v>
      </c>
      <c r="AI328" s="772" t="s">
        <v>233</v>
      </c>
      <c r="AK328" s="769" t="s">
        <v>521</v>
      </c>
      <c r="AL328" s="770" t="s">
        <v>494</v>
      </c>
      <c r="AM328" s="770" t="s">
        <v>499</v>
      </c>
      <c r="AN328" s="770" t="s">
        <v>598</v>
      </c>
      <c r="AO328" s="770" t="s">
        <v>493</v>
      </c>
      <c r="AP328" s="770" t="s">
        <v>504</v>
      </c>
      <c r="AQ328" s="770" t="s">
        <v>501</v>
      </c>
      <c r="AR328" s="784" t="s">
        <v>502</v>
      </c>
      <c r="AS328" s="771">
        <v>0.0</v>
      </c>
      <c r="AT328" s="771">
        <v>0.0</v>
      </c>
      <c r="AU328" s="771">
        <v>0.0</v>
      </c>
      <c r="AV328" s="772" t="s">
        <v>233</v>
      </c>
      <c r="AW328" s="714"/>
    </row>
    <row r="329">
      <c r="A329" s="761"/>
      <c r="B329" s="776" t="s">
        <v>493</v>
      </c>
      <c r="C329" s="777" t="s">
        <v>7</v>
      </c>
      <c r="D329" s="777" t="s">
        <v>494</v>
      </c>
      <c r="E329" s="777" t="s">
        <v>505</v>
      </c>
      <c r="F329" s="777" t="s">
        <v>519</v>
      </c>
      <c r="G329" s="777" t="s">
        <v>103</v>
      </c>
      <c r="H329" s="778">
        <v>2019.0</v>
      </c>
      <c r="I329" s="780">
        <v>20270.83575</v>
      </c>
      <c r="J329" s="780">
        <v>24697.88421</v>
      </c>
      <c r="K329" s="782">
        <v>16244.60319</v>
      </c>
      <c r="M329" s="776" t="s">
        <v>493</v>
      </c>
      <c r="N329" s="777" t="s">
        <v>7</v>
      </c>
      <c r="O329" s="777" t="s">
        <v>494</v>
      </c>
      <c r="P329" s="777" t="s">
        <v>505</v>
      </c>
      <c r="Q329" s="777" t="s">
        <v>519</v>
      </c>
      <c r="R329" s="777" t="s">
        <v>497</v>
      </c>
      <c r="S329" s="778">
        <v>2019.0</v>
      </c>
      <c r="T329" s="780">
        <v>120761.5826</v>
      </c>
      <c r="U329" s="780">
        <v>147135.3042</v>
      </c>
      <c r="V329" s="782">
        <v>96775.68375</v>
      </c>
      <c r="X329" s="769" t="s">
        <v>521</v>
      </c>
      <c r="Y329" s="770" t="s">
        <v>494</v>
      </c>
      <c r="Z329" s="770" t="s">
        <v>507</v>
      </c>
      <c r="AA329" s="770" t="s">
        <v>598</v>
      </c>
      <c r="AB329" s="770" t="s">
        <v>493</v>
      </c>
      <c r="AC329" s="770" t="s">
        <v>103</v>
      </c>
      <c r="AD329" s="770" t="s">
        <v>501</v>
      </c>
      <c r="AE329" s="784" t="s">
        <v>502</v>
      </c>
      <c r="AF329" s="771">
        <v>3.961216656</v>
      </c>
      <c r="AG329" s="771">
        <v>1.131417712</v>
      </c>
      <c r="AH329" s="771">
        <v>9.890189898</v>
      </c>
      <c r="AI329" s="772" t="s">
        <v>233</v>
      </c>
      <c r="AK329" s="769" t="s">
        <v>521</v>
      </c>
      <c r="AL329" s="770" t="s">
        <v>494</v>
      </c>
      <c r="AM329" s="770" t="s">
        <v>507</v>
      </c>
      <c r="AN329" s="770" t="s">
        <v>598</v>
      </c>
      <c r="AO329" s="770" t="s">
        <v>493</v>
      </c>
      <c r="AP329" s="770" t="s">
        <v>504</v>
      </c>
      <c r="AQ329" s="770" t="s">
        <v>501</v>
      </c>
      <c r="AR329" s="784" t="s">
        <v>502</v>
      </c>
      <c r="AS329" s="771">
        <v>3.172949629</v>
      </c>
      <c r="AT329" s="771">
        <v>0.9062698965</v>
      </c>
      <c r="AU329" s="771">
        <v>7.922079779</v>
      </c>
      <c r="AV329" s="772" t="s">
        <v>233</v>
      </c>
      <c r="AW329" s="714"/>
    </row>
    <row r="330">
      <c r="A330" s="761"/>
      <c r="B330" s="776" t="s">
        <v>493</v>
      </c>
      <c r="C330" s="777" t="s">
        <v>7</v>
      </c>
      <c r="D330" s="777" t="s">
        <v>494</v>
      </c>
      <c r="E330" s="777" t="s">
        <v>508</v>
      </c>
      <c r="F330" s="777" t="s">
        <v>519</v>
      </c>
      <c r="G330" s="777" t="s">
        <v>103</v>
      </c>
      <c r="H330" s="778">
        <v>2019.0</v>
      </c>
      <c r="I330" s="780">
        <v>241.1186002</v>
      </c>
      <c r="J330" s="780">
        <v>512.2641128</v>
      </c>
      <c r="K330" s="782">
        <v>93.05624858</v>
      </c>
      <c r="M330" s="776" t="s">
        <v>493</v>
      </c>
      <c r="N330" s="777" t="s">
        <v>7</v>
      </c>
      <c r="O330" s="777" t="s">
        <v>494</v>
      </c>
      <c r="P330" s="777" t="s">
        <v>508</v>
      </c>
      <c r="Q330" s="777" t="s">
        <v>519</v>
      </c>
      <c r="R330" s="777" t="s">
        <v>497</v>
      </c>
      <c r="S330" s="778">
        <v>2019.0</v>
      </c>
      <c r="T330" s="780">
        <v>30.92040741</v>
      </c>
      <c r="U330" s="780">
        <v>65.69138614</v>
      </c>
      <c r="V330" s="782">
        <v>11.93328559</v>
      </c>
      <c r="X330" s="769" t="s">
        <v>521</v>
      </c>
      <c r="Y330" s="770" t="s">
        <v>494</v>
      </c>
      <c r="Z330" s="770" t="s">
        <v>509</v>
      </c>
      <c r="AA330" s="770" t="s">
        <v>598</v>
      </c>
      <c r="AB330" s="770" t="s">
        <v>493</v>
      </c>
      <c r="AC330" s="770" t="s">
        <v>103</v>
      </c>
      <c r="AD330" s="770" t="s">
        <v>501</v>
      </c>
      <c r="AE330" s="784" t="s">
        <v>502</v>
      </c>
      <c r="AF330" s="771">
        <v>0.0</v>
      </c>
      <c r="AG330" s="771">
        <v>0.0</v>
      </c>
      <c r="AH330" s="771">
        <v>0.0</v>
      </c>
      <c r="AI330" s="772" t="s">
        <v>233</v>
      </c>
      <c r="AK330" s="769" t="s">
        <v>521</v>
      </c>
      <c r="AL330" s="770" t="s">
        <v>494</v>
      </c>
      <c r="AM330" s="770" t="s">
        <v>509</v>
      </c>
      <c r="AN330" s="770" t="s">
        <v>598</v>
      </c>
      <c r="AO330" s="770" t="s">
        <v>493</v>
      </c>
      <c r="AP330" s="770" t="s">
        <v>504</v>
      </c>
      <c r="AQ330" s="770" t="s">
        <v>501</v>
      </c>
      <c r="AR330" s="784" t="s">
        <v>502</v>
      </c>
      <c r="AS330" s="771">
        <v>0.0</v>
      </c>
      <c r="AT330" s="771">
        <v>0.0</v>
      </c>
      <c r="AU330" s="771">
        <v>0.0</v>
      </c>
      <c r="AV330" s="772" t="s">
        <v>233</v>
      </c>
      <c r="AW330" s="714"/>
    </row>
    <row r="331">
      <c r="A331" s="761"/>
      <c r="B331" s="786" t="s">
        <v>493</v>
      </c>
      <c r="C331" s="787" t="s">
        <v>7</v>
      </c>
      <c r="D331" s="787" t="s">
        <v>494</v>
      </c>
      <c r="E331" s="787" t="s">
        <v>512</v>
      </c>
      <c r="F331" s="787" t="s">
        <v>519</v>
      </c>
      <c r="G331" s="787" t="s">
        <v>103</v>
      </c>
      <c r="H331" s="788">
        <v>2019.0</v>
      </c>
      <c r="I331" s="789">
        <v>2448.882897</v>
      </c>
      <c r="J331" s="789">
        <v>3264.514089</v>
      </c>
      <c r="K331" s="790">
        <v>1655.166724</v>
      </c>
      <c r="M331" s="786" t="s">
        <v>493</v>
      </c>
      <c r="N331" s="787" t="s">
        <v>7</v>
      </c>
      <c r="O331" s="787" t="s">
        <v>494</v>
      </c>
      <c r="P331" s="787" t="s">
        <v>512</v>
      </c>
      <c r="Q331" s="787" t="s">
        <v>519</v>
      </c>
      <c r="R331" s="787" t="s">
        <v>497</v>
      </c>
      <c r="S331" s="788">
        <v>2019.0</v>
      </c>
      <c r="T331" s="789">
        <v>4951.406957</v>
      </c>
      <c r="U331" s="789">
        <v>6600.535204</v>
      </c>
      <c r="V331" s="790">
        <v>3346.588782</v>
      </c>
      <c r="X331" s="769" t="s">
        <v>521</v>
      </c>
      <c r="Y331" s="770" t="s">
        <v>494</v>
      </c>
      <c r="Z331" s="770" t="s">
        <v>513</v>
      </c>
      <c r="AA331" s="770" t="s">
        <v>598</v>
      </c>
      <c r="AB331" s="770" t="s">
        <v>493</v>
      </c>
      <c r="AC331" s="770" t="s">
        <v>103</v>
      </c>
      <c r="AD331" s="770" t="s">
        <v>501</v>
      </c>
      <c r="AE331" s="784" t="s">
        <v>502</v>
      </c>
      <c r="AF331" s="771">
        <v>17.17852421</v>
      </c>
      <c r="AG331" s="771">
        <v>4.487581147</v>
      </c>
      <c r="AH331" s="771">
        <v>45.3207316</v>
      </c>
      <c r="AI331" s="772" t="s">
        <v>233</v>
      </c>
      <c r="AK331" s="769" t="s">
        <v>521</v>
      </c>
      <c r="AL331" s="770" t="s">
        <v>494</v>
      </c>
      <c r="AM331" s="770" t="s">
        <v>513</v>
      </c>
      <c r="AN331" s="770" t="s">
        <v>598</v>
      </c>
      <c r="AO331" s="770" t="s">
        <v>493</v>
      </c>
      <c r="AP331" s="770" t="s">
        <v>504</v>
      </c>
      <c r="AQ331" s="770" t="s">
        <v>501</v>
      </c>
      <c r="AR331" s="784" t="s">
        <v>502</v>
      </c>
      <c r="AS331" s="771">
        <v>2.631667103</v>
      </c>
      <c r="AT331" s="771">
        <v>0.6874758002</v>
      </c>
      <c r="AU331" s="771">
        <v>6.942917621</v>
      </c>
      <c r="AV331" s="772" t="s">
        <v>233</v>
      </c>
      <c r="AW331" s="714"/>
    </row>
    <row r="332">
      <c r="A332" s="761"/>
      <c r="B332" s="769" t="s">
        <v>493</v>
      </c>
      <c r="C332" s="770" t="s">
        <v>7</v>
      </c>
      <c r="D332" s="770" t="s">
        <v>494</v>
      </c>
      <c r="E332" s="770" t="s">
        <v>495</v>
      </c>
      <c r="F332" s="770" t="s">
        <v>521</v>
      </c>
      <c r="G332" s="770" t="s">
        <v>103</v>
      </c>
      <c r="H332" s="770">
        <v>2019.0</v>
      </c>
      <c r="I332" s="771">
        <v>188.8174766</v>
      </c>
      <c r="J332" s="771">
        <v>477.5565793</v>
      </c>
      <c r="K332" s="772">
        <v>45.59394125</v>
      </c>
      <c r="M332" s="769" t="s">
        <v>493</v>
      </c>
      <c r="N332" s="770" t="s">
        <v>7</v>
      </c>
      <c r="O332" s="770" t="s">
        <v>494</v>
      </c>
      <c r="P332" s="770" t="s">
        <v>495</v>
      </c>
      <c r="Q332" s="770" t="s">
        <v>521</v>
      </c>
      <c r="R332" s="770" t="s">
        <v>497</v>
      </c>
      <c r="S332" s="770">
        <v>2019.0</v>
      </c>
      <c r="T332" s="771">
        <v>4.706319696</v>
      </c>
      <c r="U332" s="771">
        <v>11.90320925</v>
      </c>
      <c r="V332" s="772">
        <v>1.136439632</v>
      </c>
      <c r="X332" s="769" t="s">
        <v>523</v>
      </c>
      <c r="Y332" s="770" t="s">
        <v>494</v>
      </c>
      <c r="Z332" s="770" t="s">
        <v>507</v>
      </c>
      <c r="AA332" s="770" t="s">
        <v>598</v>
      </c>
      <c r="AB332" s="770" t="s">
        <v>493</v>
      </c>
      <c r="AC332" s="770" t="s">
        <v>103</v>
      </c>
      <c r="AD332" s="770" t="s">
        <v>501</v>
      </c>
      <c r="AE332" s="784" t="s">
        <v>502</v>
      </c>
      <c r="AF332" s="771">
        <v>28.70016176</v>
      </c>
      <c r="AG332" s="771">
        <v>13.22991768</v>
      </c>
      <c r="AH332" s="771">
        <v>55.54676231</v>
      </c>
      <c r="AI332" s="772" t="s">
        <v>233</v>
      </c>
      <c r="AK332" s="769" t="s">
        <v>523</v>
      </c>
      <c r="AL332" s="770" t="s">
        <v>494</v>
      </c>
      <c r="AM332" s="770" t="s">
        <v>507</v>
      </c>
      <c r="AN332" s="770" t="s">
        <v>598</v>
      </c>
      <c r="AO332" s="770" t="s">
        <v>493</v>
      </c>
      <c r="AP332" s="770" t="s">
        <v>504</v>
      </c>
      <c r="AQ332" s="770" t="s">
        <v>501</v>
      </c>
      <c r="AR332" s="784" t="s">
        <v>502</v>
      </c>
      <c r="AS332" s="771">
        <v>22.98893888</v>
      </c>
      <c r="AT332" s="771">
        <v>10.59721445</v>
      </c>
      <c r="AU332" s="771">
        <v>44.49316818</v>
      </c>
      <c r="AV332" s="772" t="s">
        <v>233</v>
      </c>
      <c r="AW332" s="714"/>
    </row>
    <row r="333">
      <c r="A333" s="761"/>
      <c r="B333" s="769" t="s">
        <v>493</v>
      </c>
      <c r="C333" s="770" t="s">
        <v>7</v>
      </c>
      <c r="D333" s="770" t="s">
        <v>494</v>
      </c>
      <c r="E333" s="770" t="s">
        <v>505</v>
      </c>
      <c r="F333" s="770" t="s">
        <v>521</v>
      </c>
      <c r="G333" s="770" t="s">
        <v>103</v>
      </c>
      <c r="H333" s="770">
        <v>2019.0</v>
      </c>
      <c r="I333" s="771">
        <v>0.0</v>
      </c>
      <c r="J333" s="771">
        <v>0.0</v>
      </c>
      <c r="K333" s="772">
        <v>0.0</v>
      </c>
      <c r="M333" s="769" t="s">
        <v>493</v>
      </c>
      <c r="N333" s="770" t="s">
        <v>7</v>
      </c>
      <c r="O333" s="770" t="s">
        <v>494</v>
      </c>
      <c r="P333" s="770" t="s">
        <v>505</v>
      </c>
      <c r="Q333" s="770" t="s">
        <v>521</v>
      </c>
      <c r="R333" s="770" t="s">
        <v>497</v>
      </c>
      <c r="S333" s="770">
        <v>2019.0</v>
      </c>
      <c r="T333" s="771">
        <v>0.0</v>
      </c>
      <c r="U333" s="771">
        <v>0.0</v>
      </c>
      <c r="V333" s="772">
        <v>0.0</v>
      </c>
      <c r="X333" s="769" t="s">
        <v>523</v>
      </c>
      <c r="Y333" s="770" t="s">
        <v>494</v>
      </c>
      <c r="Z333" s="770" t="s">
        <v>513</v>
      </c>
      <c r="AA333" s="770" t="s">
        <v>598</v>
      </c>
      <c r="AB333" s="770" t="s">
        <v>493</v>
      </c>
      <c r="AC333" s="770" t="s">
        <v>103</v>
      </c>
      <c r="AD333" s="770" t="s">
        <v>501</v>
      </c>
      <c r="AE333" s="784" t="s">
        <v>502</v>
      </c>
      <c r="AF333" s="771">
        <v>44.20051437</v>
      </c>
      <c r="AG333" s="771">
        <v>22.67835044</v>
      </c>
      <c r="AH333" s="771">
        <v>79.86335042</v>
      </c>
      <c r="AI333" s="772" t="s">
        <v>233</v>
      </c>
      <c r="AK333" s="769" t="s">
        <v>523</v>
      </c>
      <c r="AL333" s="770" t="s">
        <v>494</v>
      </c>
      <c r="AM333" s="770" t="s">
        <v>513</v>
      </c>
      <c r="AN333" s="770" t="s">
        <v>598</v>
      </c>
      <c r="AO333" s="770" t="s">
        <v>493</v>
      </c>
      <c r="AP333" s="770" t="s">
        <v>504</v>
      </c>
      <c r="AQ333" s="770" t="s">
        <v>501</v>
      </c>
      <c r="AR333" s="784" t="s">
        <v>502</v>
      </c>
      <c r="AS333" s="771">
        <v>6.771305741</v>
      </c>
      <c r="AT333" s="771">
        <v>3.474213971</v>
      </c>
      <c r="AU333" s="771">
        <v>12.23468032</v>
      </c>
      <c r="AV333" s="772" t="s">
        <v>233</v>
      </c>
      <c r="AW333" s="714"/>
    </row>
    <row r="334">
      <c r="A334" s="761"/>
      <c r="B334" s="769" t="s">
        <v>493</v>
      </c>
      <c r="C334" s="770" t="s">
        <v>7</v>
      </c>
      <c r="D334" s="770" t="s">
        <v>494</v>
      </c>
      <c r="E334" s="770" t="s">
        <v>508</v>
      </c>
      <c r="F334" s="770" t="s">
        <v>521</v>
      </c>
      <c r="G334" s="770" t="s">
        <v>103</v>
      </c>
      <c r="H334" s="770">
        <v>2019.0</v>
      </c>
      <c r="I334" s="771">
        <v>51.67506087</v>
      </c>
      <c r="J334" s="771">
        <v>130.8986789</v>
      </c>
      <c r="K334" s="772">
        <v>12.1834022</v>
      </c>
      <c r="M334" s="769" t="s">
        <v>493</v>
      </c>
      <c r="N334" s="770" t="s">
        <v>7</v>
      </c>
      <c r="O334" s="770" t="s">
        <v>494</v>
      </c>
      <c r="P334" s="770" t="s">
        <v>508</v>
      </c>
      <c r="Q334" s="770" t="s">
        <v>521</v>
      </c>
      <c r="R334" s="770" t="s">
        <v>497</v>
      </c>
      <c r="S334" s="770">
        <v>2019.0</v>
      </c>
      <c r="T334" s="771">
        <v>6.626672243</v>
      </c>
      <c r="U334" s="771">
        <v>16.78609812</v>
      </c>
      <c r="V334" s="772">
        <v>1.562367065</v>
      </c>
      <c r="X334" s="769" t="s">
        <v>496</v>
      </c>
      <c r="Y334" s="770" t="s">
        <v>494</v>
      </c>
      <c r="Z334" s="770" t="s">
        <v>499</v>
      </c>
      <c r="AA334" s="770" t="s">
        <v>602</v>
      </c>
      <c r="AB334" s="770" t="s">
        <v>493</v>
      </c>
      <c r="AC334" s="770" t="s">
        <v>103</v>
      </c>
      <c r="AD334" s="770" t="s">
        <v>501</v>
      </c>
      <c r="AE334" s="784" t="s">
        <v>502</v>
      </c>
      <c r="AF334" s="771">
        <v>5094.952654</v>
      </c>
      <c r="AG334" s="771">
        <v>4266.167097</v>
      </c>
      <c r="AH334" s="771">
        <v>6136.145727</v>
      </c>
      <c r="AI334" s="772" t="s">
        <v>233</v>
      </c>
      <c r="AK334" s="769" t="s">
        <v>496</v>
      </c>
      <c r="AL334" s="770" t="s">
        <v>494</v>
      </c>
      <c r="AM334" s="770" t="s">
        <v>499</v>
      </c>
      <c r="AN334" s="770" t="s">
        <v>602</v>
      </c>
      <c r="AO334" s="770" t="s">
        <v>493</v>
      </c>
      <c r="AP334" s="770" t="s">
        <v>504</v>
      </c>
      <c r="AQ334" s="770" t="s">
        <v>501</v>
      </c>
      <c r="AR334" s="784" t="s">
        <v>502</v>
      </c>
      <c r="AS334" s="771">
        <v>175933.4082</v>
      </c>
      <c r="AT334" s="771">
        <v>147314.6795</v>
      </c>
      <c r="AU334" s="771">
        <v>211886.7641</v>
      </c>
      <c r="AV334" s="772" t="s">
        <v>233</v>
      </c>
      <c r="AW334" s="714"/>
    </row>
    <row r="335">
      <c r="A335" s="761"/>
      <c r="B335" s="769" t="s">
        <v>493</v>
      </c>
      <c r="C335" s="770" t="s">
        <v>7</v>
      </c>
      <c r="D335" s="770" t="s">
        <v>494</v>
      </c>
      <c r="E335" s="770" t="s">
        <v>512</v>
      </c>
      <c r="F335" s="770" t="s">
        <v>521</v>
      </c>
      <c r="G335" s="770" t="s">
        <v>103</v>
      </c>
      <c r="H335" s="770">
        <v>2019.0</v>
      </c>
      <c r="I335" s="771">
        <v>0.0</v>
      </c>
      <c r="J335" s="771">
        <v>0.0</v>
      </c>
      <c r="K335" s="772">
        <v>0.0</v>
      </c>
      <c r="M335" s="769" t="s">
        <v>493</v>
      </c>
      <c r="N335" s="770" t="s">
        <v>7</v>
      </c>
      <c r="O335" s="770" t="s">
        <v>494</v>
      </c>
      <c r="P335" s="770" t="s">
        <v>512</v>
      </c>
      <c r="Q335" s="770" t="s">
        <v>521</v>
      </c>
      <c r="R335" s="770" t="s">
        <v>497</v>
      </c>
      <c r="S335" s="770">
        <v>2019.0</v>
      </c>
      <c r="T335" s="771">
        <v>0.0</v>
      </c>
      <c r="U335" s="771">
        <v>0.0</v>
      </c>
      <c r="V335" s="772">
        <v>0.0</v>
      </c>
      <c r="X335" s="769" t="s">
        <v>496</v>
      </c>
      <c r="Y335" s="770" t="s">
        <v>494</v>
      </c>
      <c r="Z335" s="770" t="s">
        <v>507</v>
      </c>
      <c r="AA335" s="770" t="s">
        <v>602</v>
      </c>
      <c r="AB335" s="770" t="s">
        <v>493</v>
      </c>
      <c r="AC335" s="770" t="s">
        <v>103</v>
      </c>
      <c r="AD335" s="770" t="s">
        <v>501</v>
      </c>
      <c r="AE335" s="784" t="s">
        <v>502</v>
      </c>
      <c r="AF335" s="771">
        <v>5520.284909</v>
      </c>
      <c r="AG335" s="771">
        <v>4622.912697</v>
      </c>
      <c r="AH335" s="771">
        <v>6640.865863</v>
      </c>
      <c r="AI335" s="772" t="s">
        <v>233</v>
      </c>
      <c r="AK335" s="769" t="s">
        <v>496</v>
      </c>
      <c r="AL335" s="770" t="s">
        <v>494</v>
      </c>
      <c r="AM335" s="770" t="s">
        <v>507</v>
      </c>
      <c r="AN335" s="770" t="s">
        <v>602</v>
      </c>
      <c r="AO335" s="770" t="s">
        <v>493</v>
      </c>
      <c r="AP335" s="770" t="s">
        <v>504</v>
      </c>
      <c r="AQ335" s="770" t="s">
        <v>501</v>
      </c>
      <c r="AR335" s="784" t="s">
        <v>502</v>
      </c>
      <c r="AS335" s="771">
        <v>4195.511527</v>
      </c>
      <c r="AT335" s="771">
        <v>3513.493203</v>
      </c>
      <c r="AU335" s="771">
        <v>5047.172336</v>
      </c>
      <c r="AV335" s="772" t="s">
        <v>233</v>
      </c>
      <c r="AW335" s="714"/>
    </row>
    <row r="336">
      <c r="A336" s="761"/>
      <c r="B336" s="769" t="s">
        <v>493</v>
      </c>
      <c r="C336" s="770" t="s">
        <v>7</v>
      </c>
      <c r="D336" s="770" t="s">
        <v>494</v>
      </c>
      <c r="E336" s="770" t="s">
        <v>495</v>
      </c>
      <c r="F336" s="770" t="s">
        <v>523</v>
      </c>
      <c r="G336" s="770" t="s">
        <v>103</v>
      </c>
      <c r="H336" s="770">
        <v>2019.0</v>
      </c>
      <c r="I336" s="771">
        <v>405.2707627</v>
      </c>
      <c r="J336" s="771">
        <v>760.2296421</v>
      </c>
      <c r="K336" s="772">
        <v>178.9898792</v>
      </c>
      <c r="M336" s="769" t="s">
        <v>493</v>
      </c>
      <c r="N336" s="770" t="s">
        <v>7</v>
      </c>
      <c r="O336" s="770" t="s">
        <v>494</v>
      </c>
      <c r="P336" s="770" t="s">
        <v>495</v>
      </c>
      <c r="Q336" s="770" t="s">
        <v>523</v>
      </c>
      <c r="R336" s="770" t="s">
        <v>497</v>
      </c>
      <c r="S336" s="770">
        <v>2019.0</v>
      </c>
      <c r="T336" s="771">
        <v>10.10146839</v>
      </c>
      <c r="U336" s="771">
        <v>18.94890135</v>
      </c>
      <c r="V336" s="772">
        <v>4.461364535</v>
      </c>
      <c r="X336" s="769" t="s">
        <v>496</v>
      </c>
      <c r="Y336" s="770" t="s">
        <v>494</v>
      </c>
      <c r="Z336" s="770" t="s">
        <v>509</v>
      </c>
      <c r="AA336" s="770" t="s">
        <v>602</v>
      </c>
      <c r="AB336" s="770" t="s">
        <v>493</v>
      </c>
      <c r="AC336" s="770" t="s">
        <v>103</v>
      </c>
      <c r="AD336" s="770" t="s">
        <v>501</v>
      </c>
      <c r="AE336" s="784" t="s">
        <v>502</v>
      </c>
      <c r="AF336" s="771">
        <v>1395.095697</v>
      </c>
      <c r="AG336" s="771">
        <v>1166.49794</v>
      </c>
      <c r="AH336" s="771">
        <v>1683.66742</v>
      </c>
      <c r="AI336" s="772" t="s">
        <v>233</v>
      </c>
      <c r="AK336" s="769" t="s">
        <v>496</v>
      </c>
      <c r="AL336" s="770" t="s">
        <v>494</v>
      </c>
      <c r="AM336" s="770" t="s">
        <v>509</v>
      </c>
      <c r="AN336" s="770" t="s">
        <v>602</v>
      </c>
      <c r="AO336" s="770" t="s">
        <v>493</v>
      </c>
      <c r="AP336" s="770" t="s">
        <v>504</v>
      </c>
      <c r="AQ336" s="770" t="s">
        <v>501</v>
      </c>
      <c r="AR336" s="784" t="s">
        <v>502</v>
      </c>
      <c r="AS336" s="771">
        <v>16417.35845</v>
      </c>
      <c r="AT336" s="771">
        <v>13727.24097</v>
      </c>
      <c r="AU336" s="771">
        <v>19813.24408</v>
      </c>
      <c r="AV336" s="772" t="s">
        <v>233</v>
      </c>
      <c r="AW336" s="714"/>
    </row>
    <row r="337">
      <c r="A337" s="761"/>
      <c r="B337" s="769" t="s">
        <v>493</v>
      </c>
      <c r="C337" s="770" t="s">
        <v>7</v>
      </c>
      <c r="D337" s="770" t="s">
        <v>494</v>
      </c>
      <c r="E337" s="770" t="s">
        <v>505</v>
      </c>
      <c r="F337" s="770" t="s">
        <v>523</v>
      </c>
      <c r="G337" s="770" t="s">
        <v>103</v>
      </c>
      <c r="H337" s="770">
        <v>2019.0</v>
      </c>
      <c r="I337" s="771">
        <v>0.0</v>
      </c>
      <c r="J337" s="771">
        <v>0.0</v>
      </c>
      <c r="K337" s="772">
        <v>0.0</v>
      </c>
      <c r="M337" s="769" t="s">
        <v>493</v>
      </c>
      <c r="N337" s="770" t="s">
        <v>7</v>
      </c>
      <c r="O337" s="770" t="s">
        <v>494</v>
      </c>
      <c r="P337" s="770" t="s">
        <v>505</v>
      </c>
      <c r="Q337" s="770" t="s">
        <v>523</v>
      </c>
      <c r="R337" s="770" t="s">
        <v>497</v>
      </c>
      <c r="S337" s="770">
        <v>2019.0</v>
      </c>
      <c r="T337" s="771">
        <v>0.0</v>
      </c>
      <c r="U337" s="771">
        <v>0.0</v>
      </c>
      <c r="V337" s="772">
        <v>0.0</v>
      </c>
      <c r="X337" s="769" t="s">
        <v>496</v>
      </c>
      <c r="Y337" s="770" t="s">
        <v>494</v>
      </c>
      <c r="Z337" s="770" t="s">
        <v>513</v>
      </c>
      <c r="AA337" s="770" t="s">
        <v>602</v>
      </c>
      <c r="AB337" s="770" t="s">
        <v>493</v>
      </c>
      <c r="AC337" s="770" t="s">
        <v>103</v>
      </c>
      <c r="AD337" s="770" t="s">
        <v>501</v>
      </c>
      <c r="AE337" s="784" t="s">
        <v>502</v>
      </c>
      <c r="AF337" s="771">
        <v>20021.33911</v>
      </c>
      <c r="AG337" s="771">
        <v>16794.80078</v>
      </c>
      <c r="AH337" s="771">
        <v>24077.53894</v>
      </c>
      <c r="AI337" s="772" t="s">
        <v>233</v>
      </c>
      <c r="AK337" s="769" t="s">
        <v>496</v>
      </c>
      <c r="AL337" s="770" t="s">
        <v>494</v>
      </c>
      <c r="AM337" s="770" t="s">
        <v>513</v>
      </c>
      <c r="AN337" s="770" t="s">
        <v>602</v>
      </c>
      <c r="AO337" s="770" t="s">
        <v>493</v>
      </c>
      <c r="AP337" s="770" t="s">
        <v>504</v>
      </c>
      <c r="AQ337" s="770" t="s">
        <v>501</v>
      </c>
      <c r="AR337" s="784" t="s">
        <v>502</v>
      </c>
      <c r="AS337" s="771">
        <v>3063.162263</v>
      </c>
      <c r="AT337" s="771">
        <v>2569.518436</v>
      </c>
      <c r="AU337" s="771">
        <v>3683.740046</v>
      </c>
      <c r="AV337" s="772" t="s">
        <v>233</v>
      </c>
      <c r="AW337" s="714"/>
    </row>
    <row r="338">
      <c r="A338" s="761"/>
      <c r="B338" s="769" t="s">
        <v>493</v>
      </c>
      <c r="C338" s="770" t="s">
        <v>7</v>
      </c>
      <c r="D338" s="770" t="s">
        <v>494</v>
      </c>
      <c r="E338" s="770" t="s">
        <v>508</v>
      </c>
      <c r="F338" s="770" t="s">
        <v>523</v>
      </c>
      <c r="G338" s="770" t="s">
        <v>103</v>
      </c>
      <c r="H338" s="770">
        <v>2019.0</v>
      </c>
      <c r="I338" s="771">
        <v>142.2047</v>
      </c>
      <c r="J338" s="771">
        <v>291.2503864</v>
      </c>
      <c r="K338" s="772">
        <v>55.02434799</v>
      </c>
      <c r="M338" s="769" t="s">
        <v>493</v>
      </c>
      <c r="N338" s="770" t="s">
        <v>7</v>
      </c>
      <c r="O338" s="770" t="s">
        <v>494</v>
      </c>
      <c r="P338" s="770" t="s">
        <v>508</v>
      </c>
      <c r="Q338" s="770" t="s">
        <v>523</v>
      </c>
      <c r="R338" s="770" t="s">
        <v>497</v>
      </c>
      <c r="S338" s="770">
        <v>2019.0</v>
      </c>
      <c r="T338" s="771">
        <v>18.23595217</v>
      </c>
      <c r="U338" s="771">
        <v>37.34917422</v>
      </c>
      <c r="V338" s="772">
        <v>7.056175907</v>
      </c>
      <c r="X338" s="769" t="s">
        <v>514</v>
      </c>
      <c r="Y338" s="770" t="s">
        <v>494</v>
      </c>
      <c r="Z338" s="770" t="s">
        <v>499</v>
      </c>
      <c r="AA338" s="770" t="s">
        <v>602</v>
      </c>
      <c r="AB338" s="770" t="s">
        <v>493</v>
      </c>
      <c r="AC338" s="770" t="s">
        <v>103</v>
      </c>
      <c r="AD338" s="770" t="s">
        <v>501</v>
      </c>
      <c r="AE338" s="784" t="s">
        <v>502</v>
      </c>
      <c r="AF338" s="771">
        <v>4709.054842</v>
      </c>
      <c r="AG338" s="771">
        <v>3915.960457</v>
      </c>
      <c r="AH338" s="771">
        <v>5692.888365</v>
      </c>
      <c r="AI338" s="772" t="s">
        <v>233</v>
      </c>
      <c r="AK338" s="769" t="s">
        <v>514</v>
      </c>
      <c r="AL338" s="770" t="s">
        <v>494</v>
      </c>
      <c r="AM338" s="770" t="s">
        <v>499</v>
      </c>
      <c r="AN338" s="770" t="s">
        <v>602</v>
      </c>
      <c r="AO338" s="770" t="s">
        <v>493</v>
      </c>
      <c r="AP338" s="770" t="s">
        <v>504</v>
      </c>
      <c r="AQ338" s="770" t="s">
        <v>501</v>
      </c>
      <c r="AR338" s="784" t="s">
        <v>502</v>
      </c>
      <c r="AS338" s="771">
        <v>162608.0013</v>
      </c>
      <c r="AT338" s="771">
        <v>135221.7217</v>
      </c>
      <c r="AU338" s="771">
        <v>196580.6791</v>
      </c>
      <c r="AV338" s="772" t="s">
        <v>233</v>
      </c>
      <c r="AW338" s="714"/>
    </row>
    <row r="339">
      <c r="A339" s="761"/>
      <c r="B339" s="769" t="s">
        <v>493</v>
      </c>
      <c r="C339" s="770" t="s">
        <v>7</v>
      </c>
      <c r="D339" s="770" t="s">
        <v>494</v>
      </c>
      <c r="E339" s="770" t="s">
        <v>512</v>
      </c>
      <c r="F339" s="770" t="s">
        <v>523</v>
      </c>
      <c r="G339" s="770" t="s">
        <v>103</v>
      </c>
      <c r="H339" s="770">
        <v>2019.0</v>
      </c>
      <c r="I339" s="771">
        <v>0.0</v>
      </c>
      <c r="J339" s="771">
        <v>0.0</v>
      </c>
      <c r="K339" s="772">
        <v>0.0</v>
      </c>
      <c r="M339" s="769" t="s">
        <v>493</v>
      </c>
      <c r="N339" s="770" t="s">
        <v>7</v>
      </c>
      <c r="O339" s="770" t="s">
        <v>494</v>
      </c>
      <c r="P339" s="770" t="s">
        <v>512</v>
      </c>
      <c r="Q339" s="770" t="s">
        <v>523</v>
      </c>
      <c r="R339" s="770" t="s">
        <v>497</v>
      </c>
      <c r="S339" s="770">
        <v>2019.0</v>
      </c>
      <c r="T339" s="771">
        <v>0.0</v>
      </c>
      <c r="U339" s="771">
        <v>0.0</v>
      </c>
      <c r="V339" s="772">
        <v>0.0</v>
      </c>
      <c r="X339" s="769" t="s">
        <v>514</v>
      </c>
      <c r="Y339" s="770" t="s">
        <v>494</v>
      </c>
      <c r="Z339" s="770" t="s">
        <v>507</v>
      </c>
      <c r="AA339" s="770" t="s">
        <v>602</v>
      </c>
      <c r="AB339" s="770" t="s">
        <v>493</v>
      </c>
      <c r="AC339" s="770" t="s">
        <v>103</v>
      </c>
      <c r="AD339" s="770" t="s">
        <v>501</v>
      </c>
      <c r="AE339" s="784" t="s">
        <v>502</v>
      </c>
      <c r="AF339" s="771">
        <v>4682.629951</v>
      </c>
      <c r="AG339" s="771">
        <v>3781.781813</v>
      </c>
      <c r="AH339" s="771">
        <v>5801.888442</v>
      </c>
      <c r="AI339" s="772" t="s">
        <v>233</v>
      </c>
      <c r="AK339" s="769" t="s">
        <v>514</v>
      </c>
      <c r="AL339" s="770" t="s">
        <v>494</v>
      </c>
      <c r="AM339" s="770" t="s">
        <v>507</v>
      </c>
      <c r="AN339" s="770" t="s">
        <v>602</v>
      </c>
      <c r="AO339" s="770" t="s">
        <v>493</v>
      </c>
      <c r="AP339" s="770" t="s">
        <v>504</v>
      </c>
      <c r="AQ339" s="770" t="s">
        <v>501</v>
      </c>
      <c r="AR339" s="784" t="s">
        <v>502</v>
      </c>
      <c r="AS339" s="771">
        <v>3558.879344</v>
      </c>
      <c r="AT339" s="771">
        <v>2874.219257</v>
      </c>
      <c r="AU339" s="771">
        <v>4409.535058</v>
      </c>
      <c r="AV339" s="772" t="s">
        <v>233</v>
      </c>
      <c r="AW339" s="714"/>
    </row>
    <row r="340">
      <c r="A340" s="761"/>
      <c r="B340" s="769" t="s">
        <v>493</v>
      </c>
      <c r="C340" s="770" t="s">
        <v>8</v>
      </c>
      <c r="D340" s="770" t="s">
        <v>494</v>
      </c>
      <c r="E340" s="770" t="s">
        <v>495</v>
      </c>
      <c r="F340" s="770" t="s">
        <v>496</v>
      </c>
      <c r="G340" s="770" t="s">
        <v>103</v>
      </c>
      <c r="H340" s="770">
        <v>2019.0</v>
      </c>
      <c r="I340" s="771">
        <v>168468.4512</v>
      </c>
      <c r="J340" s="771">
        <v>204871.1948</v>
      </c>
      <c r="K340" s="772">
        <v>140859.8798</v>
      </c>
      <c r="M340" s="769" t="s">
        <v>493</v>
      </c>
      <c r="N340" s="770" t="s">
        <v>8</v>
      </c>
      <c r="O340" s="770" t="s">
        <v>494</v>
      </c>
      <c r="P340" s="770" t="s">
        <v>495</v>
      </c>
      <c r="Q340" s="770" t="s">
        <v>496</v>
      </c>
      <c r="R340" s="770" t="s">
        <v>497</v>
      </c>
      <c r="S340" s="770">
        <v>2019.0</v>
      </c>
      <c r="T340" s="771">
        <v>1236.060618</v>
      </c>
      <c r="U340" s="771">
        <v>1503.149189</v>
      </c>
      <c r="V340" s="772">
        <v>1033.495286</v>
      </c>
      <c r="X340" s="769" t="s">
        <v>514</v>
      </c>
      <c r="Y340" s="770" t="s">
        <v>494</v>
      </c>
      <c r="Z340" s="770" t="s">
        <v>509</v>
      </c>
      <c r="AA340" s="770" t="s">
        <v>602</v>
      </c>
      <c r="AB340" s="770" t="s">
        <v>493</v>
      </c>
      <c r="AC340" s="770" t="s">
        <v>103</v>
      </c>
      <c r="AD340" s="770" t="s">
        <v>501</v>
      </c>
      <c r="AE340" s="784" t="s">
        <v>502</v>
      </c>
      <c r="AF340" s="771">
        <v>1229.613694</v>
      </c>
      <c r="AG340" s="771">
        <v>1001.9739</v>
      </c>
      <c r="AH340" s="771">
        <v>1521.598346</v>
      </c>
      <c r="AI340" s="772" t="s">
        <v>233</v>
      </c>
      <c r="AK340" s="769" t="s">
        <v>514</v>
      </c>
      <c r="AL340" s="770" t="s">
        <v>494</v>
      </c>
      <c r="AM340" s="770" t="s">
        <v>509</v>
      </c>
      <c r="AN340" s="770" t="s">
        <v>602</v>
      </c>
      <c r="AO340" s="770" t="s">
        <v>493</v>
      </c>
      <c r="AP340" s="770" t="s">
        <v>504</v>
      </c>
      <c r="AQ340" s="770" t="s">
        <v>501</v>
      </c>
      <c r="AR340" s="784" t="s">
        <v>502</v>
      </c>
      <c r="AS340" s="771">
        <v>14469.98138</v>
      </c>
      <c r="AT340" s="771">
        <v>11791.13714</v>
      </c>
      <c r="AU340" s="771">
        <v>17906.03004</v>
      </c>
      <c r="AV340" s="772" t="s">
        <v>233</v>
      </c>
      <c r="AW340" s="714"/>
    </row>
    <row r="341">
      <c r="A341" s="761"/>
      <c r="B341" s="769" t="s">
        <v>493</v>
      </c>
      <c r="C341" s="770" t="s">
        <v>8</v>
      </c>
      <c r="D341" s="770" t="s">
        <v>494</v>
      </c>
      <c r="E341" s="770" t="s">
        <v>505</v>
      </c>
      <c r="F341" s="770" t="s">
        <v>496</v>
      </c>
      <c r="G341" s="770" t="s">
        <v>103</v>
      </c>
      <c r="H341" s="770">
        <v>2019.0</v>
      </c>
      <c r="I341" s="771">
        <v>53762.70372</v>
      </c>
      <c r="J341" s="771">
        <v>66052.53783</v>
      </c>
      <c r="K341" s="772">
        <v>44540.37479</v>
      </c>
      <c r="M341" s="769" t="s">
        <v>493</v>
      </c>
      <c r="N341" s="770" t="s">
        <v>8</v>
      </c>
      <c r="O341" s="770" t="s">
        <v>494</v>
      </c>
      <c r="P341" s="770" t="s">
        <v>505</v>
      </c>
      <c r="Q341" s="770" t="s">
        <v>496</v>
      </c>
      <c r="R341" s="770" t="s">
        <v>497</v>
      </c>
      <c r="S341" s="770">
        <v>2019.0</v>
      </c>
      <c r="T341" s="771">
        <v>96871.34595</v>
      </c>
      <c r="U341" s="771">
        <v>119015.5591</v>
      </c>
      <c r="V341" s="772">
        <v>80254.26098</v>
      </c>
      <c r="X341" s="769" t="s">
        <v>514</v>
      </c>
      <c r="Y341" s="770" t="s">
        <v>494</v>
      </c>
      <c r="Z341" s="770" t="s">
        <v>513</v>
      </c>
      <c r="AA341" s="770" t="s">
        <v>602</v>
      </c>
      <c r="AB341" s="770" t="s">
        <v>493</v>
      </c>
      <c r="AC341" s="770" t="s">
        <v>103</v>
      </c>
      <c r="AD341" s="770" t="s">
        <v>501</v>
      </c>
      <c r="AE341" s="784" t="s">
        <v>502</v>
      </c>
      <c r="AF341" s="771">
        <v>17457.84763</v>
      </c>
      <c r="AG341" s="771">
        <v>14379.53711</v>
      </c>
      <c r="AH341" s="771">
        <v>21282.09258</v>
      </c>
      <c r="AI341" s="772" t="s">
        <v>233</v>
      </c>
      <c r="AK341" s="769" t="s">
        <v>514</v>
      </c>
      <c r="AL341" s="770" t="s">
        <v>494</v>
      </c>
      <c r="AM341" s="770" t="s">
        <v>513</v>
      </c>
      <c r="AN341" s="770" t="s">
        <v>602</v>
      </c>
      <c r="AO341" s="770" t="s">
        <v>493</v>
      </c>
      <c r="AP341" s="770" t="s">
        <v>504</v>
      </c>
      <c r="AQ341" s="770" t="s">
        <v>501</v>
      </c>
      <c r="AR341" s="784" t="s">
        <v>502</v>
      </c>
      <c r="AS341" s="771">
        <v>2670.961205</v>
      </c>
      <c r="AT341" s="771">
        <v>2199.995473</v>
      </c>
      <c r="AU341" s="771">
        <v>3256.051082</v>
      </c>
      <c r="AV341" s="772" t="s">
        <v>233</v>
      </c>
      <c r="AW341" s="714"/>
    </row>
    <row r="342">
      <c r="A342" s="761"/>
      <c r="B342" s="769" t="s">
        <v>493</v>
      </c>
      <c r="C342" s="770" t="s">
        <v>8</v>
      </c>
      <c r="D342" s="770" t="s">
        <v>494</v>
      </c>
      <c r="E342" s="770" t="s">
        <v>508</v>
      </c>
      <c r="F342" s="770" t="s">
        <v>496</v>
      </c>
      <c r="G342" s="770" t="s">
        <v>103</v>
      </c>
      <c r="H342" s="770">
        <v>2019.0</v>
      </c>
      <c r="I342" s="771">
        <v>50492.30638</v>
      </c>
      <c r="J342" s="771">
        <v>61395.97166</v>
      </c>
      <c r="K342" s="772">
        <v>42255.41157</v>
      </c>
      <c r="M342" s="769" t="s">
        <v>493</v>
      </c>
      <c r="N342" s="770" t="s">
        <v>8</v>
      </c>
      <c r="O342" s="770" t="s">
        <v>494</v>
      </c>
      <c r="P342" s="770" t="s">
        <v>508</v>
      </c>
      <c r="Q342" s="770" t="s">
        <v>496</v>
      </c>
      <c r="R342" s="770" t="s">
        <v>497</v>
      </c>
      <c r="S342" s="770">
        <v>2019.0</v>
      </c>
      <c r="T342" s="771">
        <v>1950.808715</v>
      </c>
      <c r="U342" s="771">
        <v>2372.080128</v>
      </c>
      <c r="V342" s="772">
        <v>1632.57001</v>
      </c>
      <c r="X342" s="769" t="s">
        <v>518</v>
      </c>
      <c r="Y342" s="770" t="s">
        <v>494</v>
      </c>
      <c r="Z342" s="770" t="s">
        <v>499</v>
      </c>
      <c r="AA342" s="770" t="s">
        <v>602</v>
      </c>
      <c r="AB342" s="770" t="s">
        <v>493</v>
      </c>
      <c r="AC342" s="770" t="s">
        <v>103</v>
      </c>
      <c r="AD342" s="770" t="s">
        <v>501</v>
      </c>
      <c r="AE342" s="784" t="s">
        <v>502</v>
      </c>
      <c r="AF342" s="771">
        <v>47.57369899</v>
      </c>
      <c r="AG342" s="771">
        <v>21.20125702</v>
      </c>
      <c r="AH342" s="771">
        <v>95.68604718</v>
      </c>
      <c r="AI342" s="772" t="s">
        <v>233</v>
      </c>
      <c r="AK342" s="769" t="s">
        <v>518</v>
      </c>
      <c r="AL342" s="770" t="s">
        <v>494</v>
      </c>
      <c r="AM342" s="770" t="s">
        <v>499</v>
      </c>
      <c r="AN342" s="770" t="s">
        <v>602</v>
      </c>
      <c r="AO342" s="770" t="s">
        <v>493</v>
      </c>
      <c r="AP342" s="770" t="s">
        <v>504</v>
      </c>
      <c r="AQ342" s="770" t="s">
        <v>501</v>
      </c>
      <c r="AR342" s="784" t="s">
        <v>502</v>
      </c>
      <c r="AS342" s="771">
        <v>1642.763647</v>
      </c>
      <c r="AT342" s="771">
        <v>732.0989339</v>
      </c>
      <c r="AU342" s="771">
        <v>3304.127347</v>
      </c>
      <c r="AV342" s="772" t="s">
        <v>233</v>
      </c>
      <c r="AW342" s="714"/>
    </row>
    <row r="343">
      <c r="A343" s="761"/>
      <c r="B343" s="769" t="s">
        <v>493</v>
      </c>
      <c r="C343" s="770" t="s">
        <v>8</v>
      </c>
      <c r="D343" s="770" t="s">
        <v>494</v>
      </c>
      <c r="E343" s="770" t="s">
        <v>512</v>
      </c>
      <c r="F343" s="770" t="s">
        <v>496</v>
      </c>
      <c r="G343" s="770" t="s">
        <v>103</v>
      </c>
      <c r="H343" s="770">
        <v>2019.0</v>
      </c>
      <c r="I343" s="771">
        <v>10893.45506</v>
      </c>
      <c r="J343" s="771">
        <v>13416.62694</v>
      </c>
      <c r="K343" s="772">
        <v>9029.132711</v>
      </c>
      <c r="M343" s="769" t="s">
        <v>493</v>
      </c>
      <c r="N343" s="770" t="s">
        <v>8</v>
      </c>
      <c r="O343" s="770" t="s">
        <v>494</v>
      </c>
      <c r="P343" s="770" t="s">
        <v>512</v>
      </c>
      <c r="Q343" s="770" t="s">
        <v>496</v>
      </c>
      <c r="R343" s="770" t="s">
        <v>497</v>
      </c>
      <c r="S343" s="770">
        <v>2019.0</v>
      </c>
      <c r="T343" s="771">
        <v>6620.476995</v>
      </c>
      <c r="U343" s="771">
        <v>8153.930004</v>
      </c>
      <c r="V343" s="772">
        <v>5487.438567</v>
      </c>
      <c r="X343" s="769" t="s">
        <v>518</v>
      </c>
      <c r="Y343" s="770" t="s">
        <v>494</v>
      </c>
      <c r="Z343" s="770" t="s">
        <v>507</v>
      </c>
      <c r="AA343" s="770" t="s">
        <v>602</v>
      </c>
      <c r="AB343" s="770" t="s">
        <v>493</v>
      </c>
      <c r="AC343" s="770" t="s">
        <v>103</v>
      </c>
      <c r="AD343" s="770" t="s">
        <v>501</v>
      </c>
      <c r="AE343" s="784" t="s">
        <v>502</v>
      </c>
      <c r="AF343" s="771">
        <v>1586.948685</v>
      </c>
      <c r="AG343" s="771">
        <v>857.9744733</v>
      </c>
      <c r="AH343" s="771">
        <v>2516.434515</v>
      </c>
      <c r="AI343" s="772" t="s">
        <v>233</v>
      </c>
      <c r="AK343" s="769" t="s">
        <v>518</v>
      </c>
      <c r="AL343" s="770" t="s">
        <v>494</v>
      </c>
      <c r="AM343" s="770" t="s">
        <v>507</v>
      </c>
      <c r="AN343" s="770" t="s">
        <v>602</v>
      </c>
      <c r="AO343" s="770" t="s">
        <v>493</v>
      </c>
      <c r="AP343" s="770" t="s">
        <v>504</v>
      </c>
      <c r="AQ343" s="770" t="s">
        <v>501</v>
      </c>
      <c r="AR343" s="784" t="s">
        <v>502</v>
      </c>
      <c r="AS343" s="771">
        <v>1206.10831</v>
      </c>
      <c r="AT343" s="771">
        <v>652.0753642</v>
      </c>
      <c r="AU343" s="771">
        <v>1912.533535</v>
      </c>
      <c r="AV343" s="772" t="s">
        <v>233</v>
      </c>
      <c r="AW343" s="714"/>
    </row>
    <row r="344">
      <c r="A344" s="761"/>
      <c r="B344" s="769" t="s">
        <v>493</v>
      </c>
      <c r="C344" s="770" t="s">
        <v>8</v>
      </c>
      <c r="D344" s="770" t="s">
        <v>494</v>
      </c>
      <c r="E344" s="770" t="s">
        <v>495</v>
      </c>
      <c r="F344" s="770" t="s">
        <v>514</v>
      </c>
      <c r="G344" s="770" t="s">
        <v>103</v>
      </c>
      <c r="H344" s="770">
        <v>2019.0</v>
      </c>
      <c r="I344" s="771">
        <v>146985.756</v>
      </c>
      <c r="J344" s="771">
        <v>181168.6856</v>
      </c>
      <c r="K344" s="772">
        <v>121562.8683</v>
      </c>
      <c r="M344" s="769" t="s">
        <v>493</v>
      </c>
      <c r="N344" s="770" t="s">
        <v>8</v>
      </c>
      <c r="O344" s="770" t="s">
        <v>494</v>
      </c>
      <c r="P344" s="770" t="s">
        <v>495</v>
      </c>
      <c r="Q344" s="770" t="s">
        <v>514</v>
      </c>
      <c r="R344" s="770" t="s">
        <v>497</v>
      </c>
      <c r="S344" s="770">
        <v>2019.0</v>
      </c>
      <c r="T344" s="771">
        <v>1078.441116</v>
      </c>
      <c r="U344" s="771">
        <v>1329.24281</v>
      </c>
      <c r="V344" s="772">
        <v>891.9122426</v>
      </c>
      <c r="X344" s="769" t="s">
        <v>518</v>
      </c>
      <c r="Y344" s="770" t="s">
        <v>494</v>
      </c>
      <c r="Z344" s="770" t="s">
        <v>509</v>
      </c>
      <c r="AA344" s="770" t="s">
        <v>602</v>
      </c>
      <c r="AB344" s="770" t="s">
        <v>493</v>
      </c>
      <c r="AC344" s="770" t="s">
        <v>103</v>
      </c>
      <c r="AD344" s="770" t="s">
        <v>501</v>
      </c>
      <c r="AE344" s="784" t="s">
        <v>502</v>
      </c>
      <c r="AF344" s="771">
        <v>124.7987804</v>
      </c>
      <c r="AG344" s="771">
        <v>65.46777221</v>
      </c>
      <c r="AH344" s="771">
        <v>213.6488282</v>
      </c>
      <c r="AI344" s="772" t="s">
        <v>233</v>
      </c>
      <c r="AK344" s="769" t="s">
        <v>518</v>
      </c>
      <c r="AL344" s="770" t="s">
        <v>494</v>
      </c>
      <c r="AM344" s="770" t="s">
        <v>509</v>
      </c>
      <c r="AN344" s="770" t="s">
        <v>602</v>
      </c>
      <c r="AO344" s="770" t="s">
        <v>493</v>
      </c>
      <c r="AP344" s="770" t="s">
        <v>504</v>
      </c>
      <c r="AQ344" s="770" t="s">
        <v>501</v>
      </c>
      <c r="AR344" s="784" t="s">
        <v>502</v>
      </c>
      <c r="AS344" s="771">
        <v>1468.620623</v>
      </c>
      <c r="AT344" s="771">
        <v>770.4187502</v>
      </c>
      <c r="AU344" s="771">
        <v>2514.199852</v>
      </c>
      <c r="AV344" s="772" t="s">
        <v>233</v>
      </c>
      <c r="AW344" s="714"/>
    </row>
    <row r="345">
      <c r="A345" s="761"/>
      <c r="B345" s="769" t="s">
        <v>493</v>
      </c>
      <c r="C345" s="770" t="s">
        <v>8</v>
      </c>
      <c r="D345" s="770" t="s">
        <v>494</v>
      </c>
      <c r="E345" s="770" t="s">
        <v>505</v>
      </c>
      <c r="F345" s="770" t="s">
        <v>514</v>
      </c>
      <c r="G345" s="770" t="s">
        <v>103</v>
      </c>
      <c r="H345" s="770">
        <v>2019.0</v>
      </c>
      <c r="I345" s="771">
        <v>47864.25272</v>
      </c>
      <c r="J345" s="771">
        <v>59163.25366</v>
      </c>
      <c r="K345" s="772">
        <v>39191.8951</v>
      </c>
      <c r="M345" s="769" t="s">
        <v>493</v>
      </c>
      <c r="N345" s="770" t="s">
        <v>8</v>
      </c>
      <c r="O345" s="770" t="s">
        <v>494</v>
      </c>
      <c r="P345" s="770" t="s">
        <v>505</v>
      </c>
      <c r="Q345" s="770" t="s">
        <v>514</v>
      </c>
      <c r="R345" s="770" t="s">
        <v>497</v>
      </c>
      <c r="S345" s="770">
        <v>2019.0</v>
      </c>
      <c r="T345" s="771">
        <v>86243.32973</v>
      </c>
      <c r="U345" s="771">
        <v>106602.2282</v>
      </c>
      <c r="V345" s="772">
        <v>70617.20051</v>
      </c>
      <c r="X345" s="769" t="s">
        <v>518</v>
      </c>
      <c r="Y345" s="770" t="s">
        <v>494</v>
      </c>
      <c r="Z345" s="770" t="s">
        <v>513</v>
      </c>
      <c r="AA345" s="770" t="s">
        <v>602</v>
      </c>
      <c r="AB345" s="770" t="s">
        <v>493</v>
      </c>
      <c r="AC345" s="770" t="s">
        <v>103</v>
      </c>
      <c r="AD345" s="770" t="s">
        <v>501</v>
      </c>
      <c r="AE345" s="784" t="s">
        <v>502</v>
      </c>
      <c r="AF345" s="771">
        <v>3391.496919</v>
      </c>
      <c r="AG345" s="771">
        <v>2090.299441</v>
      </c>
      <c r="AH345" s="771">
        <v>4914.097565</v>
      </c>
      <c r="AI345" s="772" t="s">
        <v>233</v>
      </c>
      <c r="AK345" s="769" t="s">
        <v>518</v>
      </c>
      <c r="AL345" s="770" t="s">
        <v>494</v>
      </c>
      <c r="AM345" s="770" t="s">
        <v>513</v>
      </c>
      <c r="AN345" s="770" t="s">
        <v>602</v>
      </c>
      <c r="AO345" s="770" t="s">
        <v>493</v>
      </c>
      <c r="AP345" s="770" t="s">
        <v>504</v>
      </c>
      <c r="AQ345" s="770" t="s">
        <v>501</v>
      </c>
      <c r="AR345" s="784" t="s">
        <v>502</v>
      </c>
      <c r="AS345" s="771">
        <v>518.8816452</v>
      </c>
      <c r="AT345" s="771">
        <v>319.8051005</v>
      </c>
      <c r="AU345" s="771">
        <v>751.8317396</v>
      </c>
      <c r="AV345" s="772" t="s">
        <v>233</v>
      </c>
      <c r="AW345" s="714"/>
    </row>
    <row r="346">
      <c r="A346" s="761"/>
      <c r="B346" s="769" t="s">
        <v>493</v>
      </c>
      <c r="C346" s="770" t="s">
        <v>8</v>
      </c>
      <c r="D346" s="770" t="s">
        <v>494</v>
      </c>
      <c r="E346" s="770" t="s">
        <v>508</v>
      </c>
      <c r="F346" s="770" t="s">
        <v>514</v>
      </c>
      <c r="G346" s="770" t="s">
        <v>103</v>
      </c>
      <c r="H346" s="770">
        <v>2019.0</v>
      </c>
      <c r="I346" s="771">
        <v>44514.11916</v>
      </c>
      <c r="J346" s="771">
        <v>54814.0662</v>
      </c>
      <c r="K346" s="772">
        <v>36533.59575</v>
      </c>
      <c r="M346" s="769" t="s">
        <v>493</v>
      </c>
      <c r="N346" s="770" t="s">
        <v>8</v>
      </c>
      <c r="O346" s="770" t="s">
        <v>494</v>
      </c>
      <c r="P346" s="770" t="s">
        <v>508</v>
      </c>
      <c r="Q346" s="770" t="s">
        <v>514</v>
      </c>
      <c r="R346" s="770" t="s">
        <v>497</v>
      </c>
      <c r="S346" s="770">
        <v>2019.0</v>
      </c>
      <c r="T346" s="771">
        <v>1719.836898</v>
      </c>
      <c r="U346" s="771">
        <v>2117.783197</v>
      </c>
      <c r="V346" s="772">
        <v>1411.503298</v>
      </c>
      <c r="X346" s="769" t="s">
        <v>519</v>
      </c>
      <c r="Y346" s="770" t="s">
        <v>494</v>
      </c>
      <c r="Z346" s="770" t="s">
        <v>499</v>
      </c>
      <c r="AA346" s="770" t="s">
        <v>602</v>
      </c>
      <c r="AB346" s="770" t="s">
        <v>493</v>
      </c>
      <c r="AC346" s="770" t="s">
        <v>103</v>
      </c>
      <c r="AD346" s="770" t="s">
        <v>501</v>
      </c>
      <c r="AE346" s="784" t="s">
        <v>502</v>
      </c>
      <c r="AF346" s="771">
        <v>3921.595007</v>
      </c>
      <c r="AG346" s="771">
        <v>3248.271705</v>
      </c>
      <c r="AH346" s="771">
        <v>4772.422513</v>
      </c>
      <c r="AI346" s="772" t="s">
        <v>233</v>
      </c>
      <c r="AK346" s="769" t="s">
        <v>519</v>
      </c>
      <c r="AL346" s="770" t="s">
        <v>494</v>
      </c>
      <c r="AM346" s="770" t="s">
        <v>499</v>
      </c>
      <c r="AN346" s="770" t="s">
        <v>602</v>
      </c>
      <c r="AO346" s="770" t="s">
        <v>493</v>
      </c>
      <c r="AP346" s="770" t="s">
        <v>504</v>
      </c>
      <c r="AQ346" s="770" t="s">
        <v>501</v>
      </c>
      <c r="AR346" s="784" t="s">
        <v>502</v>
      </c>
      <c r="AS346" s="771">
        <v>135416.2879</v>
      </c>
      <c r="AT346" s="771">
        <v>112165.814</v>
      </c>
      <c r="AU346" s="771">
        <v>164796.1453</v>
      </c>
      <c r="AV346" s="772" t="s">
        <v>233</v>
      </c>
      <c r="AW346" s="714"/>
    </row>
    <row r="347">
      <c r="A347" s="761"/>
      <c r="B347" s="769" t="s">
        <v>493</v>
      </c>
      <c r="C347" s="770" t="s">
        <v>8</v>
      </c>
      <c r="D347" s="770" t="s">
        <v>494</v>
      </c>
      <c r="E347" s="770" t="s">
        <v>512</v>
      </c>
      <c r="F347" s="770" t="s">
        <v>514</v>
      </c>
      <c r="G347" s="770" t="s">
        <v>103</v>
      </c>
      <c r="H347" s="770">
        <v>2019.0</v>
      </c>
      <c r="I347" s="771">
        <v>9506.047935</v>
      </c>
      <c r="J347" s="771">
        <v>11808.5294</v>
      </c>
      <c r="K347" s="772">
        <v>7708.176309</v>
      </c>
      <c r="M347" s="769" t="s">
        <v>493</v>
      </c>
      <c r="N347" s="770" t="s">
        <v>8</v>
      </c>
      <c r="O347" s="770" t="s">
        <v>494</v>
      </c>
      <c r="P347" s="770" t="s">
        <v>512</v>
      </c>
      <c r="Q347" s="770" t="s">
        <v>514</v>
      </c>
      <c r="R347" s="770" t="s">
        <v>497</v>
      </c>
      <c r="S347" s="770">
        <v>2019.0</v>
      </c>
      <c r="T347" s="771">
        <v>5777.282905</v>
      </c>
      <c r="U347" s="771">
        <v>7176.611723</v>
      </c>
      <c r="V347" s="772">
        <v>4684.629777</v>
      </c>
      <c r="X347" s="769" t="s">
        <v>519</v>
      </c>
      <c r="Y347" s="770" t="s">
        <v>494</v>
      </c>
      <c r="Z347" s="770" t="s">
        <v>507</v>
      </c>
      <c r="AA347" s="770" t="s">
        <v>602</v>
      </c>
      <c r="AB347" s="770" t="s">
        <v>493</v>
      </c>
      <c r="AC347" s="770" t="s">
        <v>103</v>
      </c>
      <c r="AD347" s="770" t="s">
        <v>501</v>
      </c>
      <c r="AE347" s="784" t="s">
        <v>502</v>
      </c>
      <c r="AF347" s="771">
        <v>31.66314668</v>
      </c>
      <c r="AG347" s="771">
        <v>18.11325946</v>
      </c>
      <c r="AH347" s="771">
        <v>50.71986649</v>
      </c>
      <c r="AI347" s="772" t="s">
        <v>233</v>
      </c>
      <c r="AK347" s="769" t="s">
        <v>519</v>
      </c>
      <c r="AL347" s="770" t="s">
        <v>494</v>
      </c>
      <c r="AM347" s="770" t="s">
        <v>507</v>
      </c>
      <c r="AN347" s="770" t="s">
        <v>602</v>
      </c>
      <c r="AO347" s="770" t="s">
        <v>493</v>
      </c>
      <c r="AP347" s="770" t="s">
        <v>504</v>
      </c>
      <c r="AQ347" s="770" t="s">
        <v>501</v>
      </c>
      <c r="AR347" s="784" t="s">
        <v>502</v>
      </c>
      <c r="AS347" s="771">
        <v>24.06453635</v>
      </c>
      <c r="AT347" s="771">
        <v>13.76638889</v>
      </c>
      <c r="AU347" s="771">
        <v>38.54797135</v>
      </c>
      <c r="AV347" s="772" t="s">
        <v>233</v>
      </c>
      <c r="AW347" s="714"/>
    </row>
    <row r="348">
      <c r="A348" s="761"/>
      <c r="B348" s="769" t="s">
        <v>493</v>
      </c>
      <c r="C348" s="770" t="s">
        <v>8</v>
      </c>
      <c r="D348" s="770" t="s">
        <v>494</v>
      </c>
      <c r="E348" s="770" t="s">
        <v>495</v>
      </c>
      <c r="F348" s="770" t="s">
        <v>518</v>
      </c>
      <c r="G348" s="770" t="s">
        <v>103</v>
      </c>
      <c r="H348" s="770">
        <v>2019.0</v>
      </c>
      <c r="I348" s="771">
        <v>18979.54673</v>
      </c>
      <c r="J348" s="771">
        <v>42081.97174</v>
      </c>
      <c r="K348" s="772">
        <v>4753.129016</v>
      </c>
      <c r="M348" s="769" t="s">
        <v>493</v>
      </c>
      <c r="N348" s="770" t="s">
        <v>8</v>
      </c>
      <c r="O348" s="770" t="s">
        <v>494</v>
      </c>
      <c r="P348" s="770" t="s">
        <v>495</v>
      </c>
      <c r="Q348" s="770" t="s">
        <v>518</v>
      </c>
      <c r="R348" s="770" t="s">
        <v>497</v>
      </c>
      <c r="S348" s="770">
        <v>2019.0</v>
      </c>
      <c r="T348" s="771">
        <v>139.2537896</v>
      </c>
      <c r="U348" s="771">
        <v>308.757323</v>
      </c>
      <c r="V348" s="772">
        <v>34.87392178</v>
      </c>
      <c r="X348" s="769" t="s">
        <v>519</v>
      </c>
      <c r="Y348" s="770" t="s">
        <v>494</v>
      </c>
      <c r="Z348" s="770" t="s">
        <v>509</v>
      </c>
      <c r="AA348" s="770" t="s">
        <v>602</v>
      </c>
      <c r="AB348" s="770" t="s">
        <v>493</v>
      </c>
      <c r="AC348" s="770" t="s">
        <v>103</v>
      </c>
      <c r="AD348" s="770" t="s">
        <v>501</v>
      </c>
      <c r="AE348" s="784" t="s">
        <v>502</v>
      </c>
      <c r="AF348" s="771">
        <v>562.7441997</v>
      </c>
      <c r="AG348" s="771">
        <v>404.8584117</v>
      </c>
      <c r="AH348" s="771">
        <v>747.5756356</v>
      </c>
      <c r="AI348" s="772" t="s">
        <v>233</v>
      </c>
      <c r="AK348" s="769" t="s">
        <v>519</v>
      </c>
      <c r="AL348" s="770" t="s">
        <v>494</v>
      </c>
      <c r="AM348" s="770" t="s">
        <v>509</v>
      </c>
      <c r="AN348" s="770" t="s">
        <v>602</v>
      </c>
      <c r="AO348" s="770" t="s">
        <v>493</v>
      </c>
      <c r="AP348" s="770" t="s">
        <v>504</v>
      </c>
      <c r="AQ348" s="770" t="s">
        <v>501</v>
      </c>
      <c r="AR348" s="784" t="s">
        <v>502</v>
      </c>
      <c r="AS348" s="771">
        <v>6622.322227</v>
      </c>
      <c r="AT348" s="771">
        <v>4764.336727</v>
      </c>
      <c r="AU348" s="771">
        <v>8797.401645</v>
      </c>
      <c r="AV348" s="772" t="s">
        <v>233</v>
      </c>
      <c r="AW348" s="714"/>
    </row>
    <row r="349">
      <c r="A349" s="761"/>
      <c r="B349" s="769" t="s">
        <v>493</v>
      </c>
      <c r="C349" s="770" t="s">
        <v>8</v>
      </c>
      <c r="D349" s="770" t="s">
        <v>494</v>
      </c>
      <c r="E349" s="770" t="s">
        <v>505</v>
      </c>
      <c r="F349" s="770" t="s">
        <v>518</v>
      </c>
      <c r="G349" s="770" t="s">
        <v>103</v>
      </c>
      <c r="H349" s="770">
        <v>2019.0</v>
      </c>
      <c r="I349" s="771">
        <v>725.0958856</v>
      </c>
      <c r="J349" s="771">
        <v>1797.954084</v>
      </c>
      <c r="K349" s="772">
        <v>172.9342719</v>
      </c>
      <c r="M349" s="769" t="s">
        <v>493</v>
      </c>
      <c r="N349" s="770" t="s">
        <v>8</v>
      </c>
      <c r="O349" s="770" t="s">
        <v>494</v>
      </c>
      <c r="P349" s="770" t="s">
        <v>505</v>
      </c>
      <c r="Q349" s="770" t="s">
        <v>518</v>
      </c>
      <c r="R349" s="770" t="s">
        <v>497</v>
      </c>
      <c r="S349" s="770">
        <v>2019.0</v>
      </c>
      <c r="T349" s="771">
        <v>1306.500781</v>
      </c>
      <c r="U349" s="771">
        <v>3239.610734</v>
      </c>
      <c r="V349" s="772">
        <v>311.5984599</v>
      </c>
      <c r="X349" s="769" t="s">
        <v>519</v>
      </c>
      <c r="Y349" s="770" t="s">
        <v>494</v>
      </c>
      <c r="Z349" s="770" t="s">
        <v>513</v>
      </c>
      <c r="AA349" s="770" t="s">
        <v>602</v>
      </c>
      <c r="AB349" s="770" t="s">
        <v>493</v>
      </c>
      <c r="AC349" s="770" t="s">
        <v>103</v>
      </c>
      <c r="AD349" s="770" t="s">
        <v>501</v>
      </c>
      <c r="AE349" s="784" t="s">
        <v>502</v>
      </c>
      <c r="AF349" s="771">
        <v>4527.720208</v>
      </c>
      <c r="AG349" s="771">
        <v>3755.411173</v>
      </c>
      <c r="AH349" s="771">
        <v>5503.996272</v>
      </c>
      <c r="AI349" s="772" t="s">
        <v>233</v>
      </c>
      <c r="AK349" s="769" t="s">
        <v>519</v>
      </c>
      <c r="AL349" s="770" t="s">
        <v>494</v>
      </c>
      <c r="AM349" s="770" t="s">
        <v>513</v>
      </c>
      <c r="AN349" s="770" t="s">
        <v>602</v>
      </c>
      <c r="AO349" s="770" t="s">
        <v>493</v>
      </c>
      <c r="AP349" s="770" t="s">
        <v>504</v>
      </c>
      <c r="AQ349" s="770" t="s">
        <v>501</v>
      </c>
      <c r="AR349" s="784" t="s">
        <v>502</v>
      </c>
      <c r="AS349" s="771">
        <v>692.7179845</v>
      </c>
      <c r="AT349" s="771">
        <v>574.5586607</v>
      </c>
      <c r="AU349" s="771">
        <v>842.0832182</v>
      </c>
      <c r="AV349" s="772" t="s">
        <v>233</v>
      </c>
      <c r="AW349" s="714"/>
    </row>
    <row r="350">
      <c r="A350" s="761"/>
      <c r="B350" s="769" t="s">
        <v>493</v>
      </c>
      <c r="C350" s="770" t="s">
        <v>8</v>
      </c>
      <c r="D350" s="770" t="s">
        <v>494</v>
      </c>
      <c r="E350" s="770" t="s">
        <v>508</v>
      </c>
      <c r="F350" s="770" t="s">
        <v>518</v>
      </c>
      <c r="G350" s="770" t="s">
        <v>103</v>
      </c>
      <c r="H350" s="770">
        <v>2019.0</v>
      </c>
      <c r="I350" s="771">
        <v>10035.0135</v>
      </c>
      <c r="J350" s="771">
        <v>22084.7991</v>
      </c>
      <c r="K350" s="772">
        <v>2523.39548</v>
      </c>
      <c r="M350" s="769" t="s">
        <v>493</v>
      </c>
      <c r="N350" s="770" t="s">
        <v>8</v>
      </c>
      <c r="O350" s="770" t="s">
        <v>494</v>
      </c>
      <c r="P350" s="770" t="s">
        <v>508</v>
      </c>
      <c r="Q350" s="770" t="s">
        <v>518</v>
      </c>
      <c r="R350" s="770" t="s">
        <v>497</v>
      </c>
      <c r="S350" s="770">
        <v>2019.0</v>
      </c>
      <c r="T350" s="771">
        <v>387.7103899</v>
      </c>
      <c r="U350" s="771">
        <v>853.2630343</v>
      </c>
      <c r="V350" s="772">
        <v>97.49330634</v>
      </c>
      <c r="X350" s="769" t="s">
        <v>521</v>
      </c>
      <c r="Y350" s="770" t="s">
        <v>494</v>
      </c>
      <c r="Z350" s="770" t="s">
        <v>499</v>
      </c>
      <c r="AA350" s="770" t="s">
        <v>602</v>
      </c>
      <c r="AB350" s="770" t="s">
        <v>493</v>
      </c>
      <c r="AC350" s="770" t="s">
        <v>103</v>
      </c>
      <c r="AD350" s="770" t="s">
        <v>501</v>
      </c>
      <c r="AE350" s="784" t="s">
        <v>502</v>
      </c>
      <c r="AF350" s="771">
        <v>0.0</v>
      </c>
      <c r="AG350" s="771">
        <v>0.0</v>
      </c>
      <c r="AH350" s="771">
        <v>0.0</v>
      </c>
      <c r="AI350" s="772" t="s">
        <v>233</v>
      </c>
      <c r="AK350" s="769" t="s">
        <v>521</v>
      </c>
      <c r="AL350" s="770" t="s">
        <v>494</v>
      </c>
      <c r="AM350" s="770" t="s">
        <v>499</v>
      </c>
      <c r="AN350" s="770" t="s">
        <v>602</v>
      </c>
      <c r="AO350" s="770" t="s">
        <v>493</v>
      </c>
      <c r="AP350" s="770" t="s">
        <v>504</v>
      </c>
      <c r="AQ350" s="770" t="s">
        <v>501</v>
      </c>
      <c r="AR350" s="784" t="s">
        <v>502</v>
      </c>
      <c r="AS350" s="771">
        <v>0.0</v>
      </c>
      <c r="AT350" s="771">
        <v>0.0</v>
      </c>
      <c r="AU350" s="771">
        <v>0.0</v>
      </c>
      <c r="AV350" s="772" t="s">
        <v>233</v>
      </c>
      <c r="AW350" s="714"/>
    </row>
    <row r="351">
      <c r="A351" s="761"/>
      <c r="B351" s="769" t="s">
        <v>493</v>
      </c>
      <c r="C351" s="770" t="s">
        <v>8</v>
      </c>
      <c r="D351" s="770" t="s">
        <v>494</v>
      </c>
      <c r="E351" s="770" t="s">
        <v>512</v>
      </c>
      <c r="F351" s="770" t="s">
        <v>518</v>
      </c>
      <c r="G351" s="770" t="s">
        <v>103</v>
      </c>
      <c r="H351" s="770">
        <v>2019.0</v>
      </c>
      <c r="I351" s="771">
        <v>1156.690402</v>
      </c>
      <c r="J351" s="771">
        <v>3392.233275</v>
      </c>
      <c r="K351" s="772">
        <v>189.7899026</v>
      </c>
      <c r="M351" s="769" t="s">
        <v>493</v>
      </c>
      <c r="N351" s="770" t="s">
        <v>8</v>
      </c>
      <c r="O351" s="770" t="s">
        <v>494</v>
      </c>
      <c r="P351" s="770" t="s">
        <v>512</v>
      </c>
      <c r="Q351" s="770" t="s">
        <v>518</v>
      </c>
      <c r="R351" s="770" t="s">
        <v>497</v>
      </c>
      <c r="S351" s="770">
        <v>2019.0</v>
      </c>
      <c r="T351" s="771">
        <v>702.9764346</v>
      </c>
      <c r="U351" s="771">
        <v>2061.623447</v>
      </c>
      <c r="V351" s="772">
        <v>115.3444594</v>
      </c>
      <c r="X351" s="769" t="s">
        <v>521</v>
      </c>
      <c r="Y351" s="770" t="s">
        <v>494</v>
      </c>
      <c r="Z351" s="770" t="s">
        <v>507</v>
      </c>
      <c r="AA351" s="770" t="s">
        <v>602</v>
      </c>
      <c r="AB351" s="770" t="s">
        <v>493</v>
      </c>
      <c r="AC351" s="770" t="s">
        <v>103</v>
      </c>
      <c r="AD351" s="770" t="s">
        <v>501</v>
      </c>
      <c r="AE351" s="784" t="s">
        <v>502</v>
      </c>
      <c r="AF351" s="771">
        <v>32.21436188</v>
      </c>
      <c r="AG351" s="771">
        <v>9.57562481</v>
      </c>
      <c r="AH351" s="771">
        <v>80.22564997</v>
      </c>
      <c r="AI351" s="772" t="s">
        <v>233</v>
      </c>
      <c r="AK351" s="769" t="s">
        <v>521</v>
      </c>
      <c r="AL351" s="770" t="s">
        <v>494</v>
      </c>
      <c r="AM351" s="770" t="s">
        <v>507</v>
      </c>
      <c r="AN351" s="770" t="s">
        <v>602</v>
      </c>
      <c r="AO351" s="770" t="s">
        <v>493</v>
      </c>
      <c r="AP351" s="770" t="s">
        <v>504</v>
      </c>
      <c r="AQ351" s="770" t="s">
        <v>501</v>
      </c>
      <c r="AR351" s="784" t="s">
        <v>502</v>
      </c>
      <c r="AS351" s="771">
        <v>24.48346939</v>
      </c>
      <c r="AT351" s="771">
        <v>7.277639639</v>
      </c>
      <c r="AU351" s="771">
        <v>60.97287454</v>
      </c>
      <c r="AV351" s="772" t="s">
        <v>233</v>
      </c>
      <c r="AW351" s="714"/>
    </row>
    <row r="352">
      <c r="A352" s="761"/>
      <c r="B352" s="769" t="s">
        <v>493</v>
      </c>
      <c r="C352" s="770" t="s">
        <v>8</v>
      </c>
      <c r="D352" s="770" t="s">
        <v>494</v>
      </c>
      <c r="E352" s="770" t="s">
        <v>495</v>
      </c>
      <c r="F352" s="770" t="s">
        <v>519</v>
      </c>
      <c r="G352" s="770" t="s">
        <v>103</v>
      </c>
      <c r="H352" s="770">
        <v>2019.0</v>
      </c>
      <c r="I352" s="771">
        <v>42976.46898</v>
      </c>
      <c r="J352" s="771">
        <v>53776.3324</v>
      </c>
      <c r="K352" s="772">
        <v>34111.27174</v>
      </c>
      <c r="M352" s="769" t="s">
        <v>493</v>
      </c>
      <c r="N352" s="770" t="s">
        <v>8</v>
      </c>
      <c r="O352" s="770" t="s">
        <v>494</v>
      </c>
      <c r="P352" s="770" t="s">
        <v>495</v>
      </c>
      <c r="Q352" s="770" t="s">
        <v>519</v>
      </c>
      <c r="R352" s="770" t="s">
        <v>497</v>
      </c>
      <c r="S352" s="770">
        <v>2019.0</v>
      </c>
      <c r="T352" s="771">
        <v>315.3202895</v>
      </c>
      <c r="U352" s="771">
        <v>394.5593741</v>
      </c>
      <c r="V352" s="772">
        <v>250.2759379</v>
      </c>
      <c r="X352" s="769" t="s">
        <v>521</v>
      </c>
      <c r="Y352" s="770" t="s">
        <v>494</v>
      </c>
      <c r="Z352" s="770" t="s">
        <v>509</v>
      </c>
      <c r="AA352" s="770" t="s">
        <v>602</v>
      </c>
      <c r="AB352" s="770" t="s">
        <v>493</v>
      </c>
      <c r="AC352" s="770" t="s">
        <v>103</v>
      </c>
      <c r="AD352" s="770" t="s">
        <v>501</v>
      </c>
      <c r="AE352" s="784" t="s">
        <v>502</v>
      </c>
      <c r="AF352" s="771">
        <v>0.0</v>
      </c>
      <c r="AG352" s="771">
        <v>0.0</v>
      </c>
      <c r="AH352" s="771">
        <v>0.0</v>
      </c>
      <c r="AI352" s="772" t="s">
        <v>233</v>
      </c>
      <c r="AK352" s="769" t="s">
        <v>521</v>
      </c>
      <c r="AL352" s="770" t="s">
        <v>494</v>
      </c>
      <c r="AM352" s="770" t="s">
        <v>509</v>
      </c>
      <c r="AN352" s="770" t="s">
        <v>602</v>
      </c>
      <c r="AO352" s="770" t="s">
        <v>493</v>
      </c>
      <c r="AP352" s="770" t="s">
        <v>504</v>
      </c>
      <c r="AQ352" s="770" t="s">
        <v>501</v>
      </c>
      <c r="AR352" s="784" t="s">
        <v>502</v>
      </c>
      <c r="AS352" s="771">
        <v>0.0</v>
      </c>
      <c r="AT352" s="771">
        <v>0.0</v>
      </c>
      <c r="AU352" s="771">
        <v>0.0</v>
      </c>
      <c r="AV352" s="772" t="s">
        <v>233</v>
      </c>
      <c r="AW352" s="714"/>
    </row>
    <row r="353">
      <c r="A353" s="761"/>
      <c r="B353" s="769" t="s">
        <v>493</v>
      </c>
      <c r="C353" s="770" t="s">
        <v>8</v>
      </c>
      <c r="D353" s="770" t="s">
        <v>494</v>
      </c>
      <c r="E353" s="770" t="s">
        <v>505</v>
      </c>
      <c r="F353" s="770" t="s">
        <v>519</v>
      </c>
      <c r="G353" s="770" t="s">
        <v>103</v>
      </c>
      <c r="H353" s="770">
        <v>2019.0</v>
      </c>
      <c r="I353" s="771">
        <v>39188.56776</v>
      </c>
      <c r="J353" s="771">
        <v>48865.03563</v>
      </c>
      <c r="K353" s="772">
        <v>31157.60548</v>
      </c>
      <c r="M353" s="769" t="s">
        <v>493</v>
      </c>
      <c r="N353" s="770" t="s">
        <v>8</v>
      </c>
      <c r="O353" s="770" t="s">
        <v>494</v>
      </c>
      <c r="P353" s="770" t="s">
        <v>505</v>
      </c>
      <c r="Q353" s="770" t="s">
        <v>519</v>
      </c>
      <c r="R353" s="770" t="s">
        <v>497</v>
      </c>
      <c r="S353" s="770">
        <v>2019.0</v>
      </c>
      <c r="T353" s="771">
        <v>70611.20521</v>
      </c>
      <c r="U353" s="771">
        <v>88046.57215</v>
      </c>
      <c r="V353" s="772">
        <v>56140.76247</v>
      </c>
      <c r="X353" s="769" t="s">
        <v>521</v>
      </c>
      <c r="Y353" s="770" t="s">
        <v>494</v>
      </c>
      <c r="Z353" s="770" t="s">
        <v>513</v>
      </c>
      <c r="AA353" s="770" t="s">
        <v>602</v>
      </c>
      <c r="AB353" s="770" t="s">
        <v>493</v>
      </c>
      <c r="AC353" s="770" t="s">
        <v>103</v>
      </c>
      <c r="AD353" s="770" t="s">
        <v>501</v>
      </c>
      <c r="AE353" s="784" t="s">
        <v>502</v>
      </c>
      <c r="AF353" s="771">
        <v>174.5908787</v>
      </c>
      <c r="AG353" s="771">
        <v>54.15944944</v>
      </c>
      <c r="AH353" s="771">
        <v>450.8583552</v>
      </c>
      <c r="AI353" s="772" t="s">
        <v>233</v>
      </c>
      <c r="AK353" s="769" t="s">
        <v>521</v>
      </c>
      <c r="AL353" s="770" t="s">
        <v>494</v>
      </c>
      <c r="AM353" s="770" t="s">
        <v>513</v>
      </c>
      <c r="AN353" s="770" t="s">
        <v>602</v>
      </c>
      <c r="AO353" s="770" t="s">
        <v>493</v>
      </c>
      <c r="AP353" s="770" t="s">
        <v>504</v>
      </c>
      <c r="AQ353" s="770" t="s">
        <v>501</v>
      </c>
      <c r="AR353" s="784" t="s">
        <v>502</v>
      </c>
      <c r="AS353" s="771">
        <v>26.71150956</v>
      </c>
      <c r="AT353" s="771">
        <v>8.286118164</v>
      </c>
      <c r="AU353" s="771">
        <v>68.97901742</v>
      </c>
      <c r="AV353" s="772" t="s">
        <v>233</v>
      </c>
      <c r="AW353" s="714"/>
    </row>
    <row r="354">
      <c r="A354" s="761"/>
      <c r="B354" s="769" t="s">
        <v>493</v>
      </c>
      <c r="C354" s="770" t="s">
        <v>8</v>
      </c>
      <c r="D354" s="770" t="s">
        <v>494</v>
      </c>
      <c r="E354" s="770" t="s">
        <v>508</v>
      </c>
      <c r="F354" s="770" t="s">
        <v>519</v>
      </c>
      <c r="G354" s="770" t="s">
        <v>103</v>
      </c>
      <c r="H354" s="770">
        <v>2019.0</v>
      </c>
      <c r="I354" s="771">
        <v>914.4215202</v>
      </c>
      <c r="J354" s="771">
        <v>2332.136224</v>
      </c>
      <c r="K354" s="772">
        <v>366.7824053</v>
      </c>
      <c r="M354" s="769" t="s">
        <v>493</v>
      </c>
      <c r="N354" s="770" t="s">
        <v>8</v>
      </c>
      <c r="O354" s="770" t="s">
        <v>494</v>
      </c>
      <c r="P354" s="770" t="s">
        <v>508</v>
      </c>
      <c r="Q354" s="770" t="s">
        <v>519</v>
      </c>
      <c r="R354" s="770" t="s">
        <v>497</v>
      </c>
      <c r="S354" s="770">
        <v>2019.0</v>
      </c>
      <c r="T354" s="771">
        <v>35.32937191</v>
      </c>
      <c r="U354" s="771">
        <v>90.1038593</v>
      </c>
      <c r="V354" s="772">
        <v>14.17091759</v>
      </c>
      <c r="X354" s="769" t="s">
        <v>523</v>
      </c>
      <c r="Y354" s="770" t="s">
        <v>494</v>
      </c>
      <c r="Z354" s="770" t="s">
        <v>507</v>
      </c>
      <c r="AA354" s="770" t="s">
        <v>602</v>
      </c>
      <c r="AB354" s="770" t="s">
        <v>493</v>
      </c>
      <c r="AC354" s="770" t="s">
        <v>103</v>
      </c>
      <c r="AD354" s="770" t="s">
        <v>501</v>
      </c>
      <c r="AE354" s="784" t="s">
        <v>502</v>
      </c>
      <c r="AF354" s="771">
        <v>62.04855601</v>
      </c>
      <c r="AG354" s="771">
        <v>30.52529643</v>
      </c>
      <c r="AH354" s="771">
        <v>106.9217158</v>
      </c>
      <c r="AI354" s="772" t="s">
        <v>233</v>
      </c>
      <c r="AK354" s="769" t="s">
        <v>523</v>
      </c>
      <c r="AL354" s="770" t="s">
        <v>494</v>
      </c>
      <c r="AM354" s="770" t="s">
        <v>507</v>
      </c>
      <c r="AN354" s="770" t="s">
        <v>602</v>
      </c>
      <c r="AO354" s="770" t="s">
        <v>493</v>
      </c>
      <c r="AP354" s="770" t="s">
        <v>504</v>
      </c>
      <c r="AQ354" s="770" t="s">
        <v>501</v>
      </c>
      <c r="AR354" s="784" t="s">
        <v>502</v>
      </c>
      <c r="AS354" s="771">
        <v>47.15797034</v>
      </c>
      <c r="AT354" s="771">
        <v>23.19975058</v>
      </c>
      <c r="AU354" s="771">
        <v>81.26234397</v>
      </c>
      <c r="AV354" s="772" t="s">
        <v>233</v>
      </c>
      <c r="AW354" s="714"/>
    </row>
    <row r="355">
      <c r="A355" s="761"/>
      <c r="B355" s="769" t="s">
        <v>493</v>
      </c>
      <c r="C355" s="770" t="s">
        <v>8</v>
      </c>
      <c r="D355" s="770" t="s">
        <v>494</v>
      </c>
      <c r="E355" s="770" t="s">
        <v>512</v>
      </c>
      <c r="F355" s="770" t="s">
        <v>519</v>
      </c>
      <c r="G355" s="770" t="s">
        <v>103</v>
      </c>
      <c r="H355" s="770">
        <v>2019.0</v>
      </c>
      <c r="I355" s="771">
        <v>2774.750799</v>
      </c>
      <c r="J355" s="771">
        <v>4744.377013</v>
      </c>
      <c r="K355" s="772">
        <v>1413.822783</v>
      </c>
      <c r="M355" s="769" t="s">
        <v>493</v>
      </c>
      <c r="N355" s="770" t="s">
        <v>8</v>
      </c>
      <c r="O355" s="770" t="s">
        <v>494</v>
      </c>
      <c r="P355" s="770" t="s">
        <v>512</v>
      </c>
      <c r="Q355" s="770" t="s">
        <v>519</v>
      </c>
      <c r="R355" s="770" t="s">
        <v>497</v>
      </c>
      <c r="S355" s="770">
        <v>2019.0</v>
      </c>
      <c r="T355" s="771">
        <v>1686.349623</v>
      </c>
      <c r="U355" s="771">
        <v>2883.386282</v>
      </c>
      <c r="V355" s="772">
        <v>859.2481596</v>
      </c>
      <c r="X355" s="769" t="s">
        <v>523</v>
      </c>
      <c r="Y355" s="770" t="s">
        <v>494</v>
      </c>
      <c r="Z355" s="770" t="s">
        <v>513</v>
      </c>
      <c r="AA355" s="770" t="s">
        <v>602</v>
      </c>
      <c r="AB355" s="770" t="s">
        <v>493</v>
      </c>
      <c r="AC355" s="770" t="s">
        <v>103</v>
      </c>
      <c r="AD355" s="770" t="s">
        <v>501</v>
      </c>
      <c r="AE355" s="784" t="s">
        <v>502</v>
      </c>
      <c r="AF355" s="771">
        <v>137.7051229</v>
      </c>
      <c r="AG355" s="771">
        <v>75.04782272</v>
      </c>
      <c r="AH355" s="771">
        <v>225.3746667</v>
      </c>
      <c r="AI355" s="772" t="s">
        <v>233</v>
      </c>
      <c r="AK355" s="769" t="s">
        <v>523</v>
      </c>
      <c r="AL355" s="770" t="s">
        <v>494</v>
      </c>
      <c r="AM355" s="770" t="s">
        <v>513</v>
      </c>
      <c r="AN355" s="770" t="s">
        <v>602</v>
      </c>
      <c r="AO355" s="770" t="s">
        <v>493</v>
      </c>
      <c r="AP355" s="770" t="s">
        <v>504</v>
      </c>
      <c r="AQ355" s="770" t="s">
        <v>501</v>
      </c>
      <c r="AR355" s="784" t="s">
        <v>502</v>
      </c>
      <c r="AS355" s="771">
        <v>21.06817798</v>
      </c>
      <c r="AT355" s="771">
        <v>11.48193221</v>
      </c>
      <c r="AU355" s="771">
        <v>34.48116882</v>
      </c>
      <c r="AV355" s="772" t="s">
        <v>233</v>
      </c>
      <c r="AW355" s="714"/>
    </row>
    <row r="356">
      <c r="A356" s="761"/>
      <c r="B356" s="769" t="s">
        <v>493</v>
      </c>
      <c r="C356" s="770" t="s">
        <v>8</v>
      </c>
      <c r="D356" s="770" t="s">
        <v>494</v>
      </c>
      <c r="E356" s="770" t="s">
        <v>495</v>
      </c>
      <c r="F356" s="770" t="s">
        <v>521</v>
      </c>
      <c r="G356" s="770" t="s">
        <v>103</v>
      </c>
      <c r="H356" s="770">
        <v>2019.0</v>
      </c>
      <c r="I356" s="771">
        <v>3123.420902</v>
      </c>
      <c r="J356" s="771">
        <v>6985.58436</v>
      </c>
      <c r="K356" s="772">
        <v>1293.702306</v>
      </c>
      <c r="M356" s="769" t="s">
        <v>493</v>
      </c>
      <c r="N356" s="770" t="s">
        <v>8</v>
      </c>
      <c r="O356" s="770" t="s">
        <v>494</v>
      </c>
      <c r="P356" s="770" t="s">
        <v>495</v>
      </c>
      <c r="Q356" s="770" t="s">
        <v>521</v>
      </c>
      <c r="R356" s="770" t="s">
        <v>497</v>
      </c>
      <c r="S356" s="770">
        <v>2019.0</v>
      </c>
      <c r="T356" s="771">
        <v>22.91667991</v>
      </c>
      <c r="U356" s="771">
        <v>51.25354724</v>
      </c>
      <c r="V356" s="772">
        <v>9.491952118</v>
      </c>
      <c r="X356" s="769" t="s">
        <v>496</v>
      </c>
      <c r="Y356" s="770" t="s">
        <v>494</v>
      </c>
      <c r="Z356" s="770" t="s">
        <v>499</v>
      </c>
      <c r="AA356" s="770" t="s">
        <v>36</v>
      </c>
      <c r="AB356" s="770" t="s">
        <v>493</v>
      </c>
      <c r="AC356" s="770" t="s">
        <v>103</v>
      </c>
      <c r="AD356" s="770" t="s">
        <v>501</v>
      </c>
      <c r="AE356" s="784" t="s">
        <v>502</v>
      </c>
      <c r="AF356" s="771">
        <v>5034.873061</v>
      </c>
      <c r="AG356" s="771">
        <v>3873.499804</v>
      </c>
      <c r="AH356" s="771">
        <v>6595.479374</v>
      </c>
      <c r="AI356" s="772" t="s">
        <v>233</v>
      </c>
      <c r="AK356" s="769" t="s">
        <v>496</v>
      </c>
      <c r="AL356" s="770" t="s">
        <v>494</v>
      </c>
      <c r="AM356" s="770" t="s">
        <v>499</v>
      </c>
      <c r="AN356" s="770" t="s">
        <v>36</v>
      </c>
      <c r="AO356" s="770" t="s">
        <v>493</v>
      </c>
      <c r="AP356" s="770" t="s">
        <v>504</v>
      </c>
      <c r="AQ356" s="770" t="s">
        <v>501</v>
      </c>
      <c r="AR356" s="784" t="s">
        <v>502</v>
      </c>
      <c r="AS356" s="771">
        <v>113093.9609</v>
      </c>
      <c r="AT356" s="771">
        <v>87007.04671</v>
      </c>
      <c r="AU356" s="771">
        <v>148148.499</v>
      </c>
      <c r="AV356" s="772" t="s">
        <v>233</v>
      </c>
      <c r="AW356" s="714"/>
    </row>
    <row r="357">
      <c r="A357" s="761"/>
      <c r="B357" s="769" t="s">
        <v>493</v>
      </c>
      <c r="C357" s="770" t="s">
        <v>8</v>
      </c>
      <c r="D357" s="770" t="s">
        <v>494</v>
      </c>
      <c r="E357" s="770" t="s">
        <v>505</v>
      </c>
      <c r="F357" s="770" t="s">
        <v>521</v>
      </c>
      <c r="G357" s="770" t="s">
        <v>103</v>
      </c>
      <c r="H357" s="770">
        <v>2019.0</v>
      </c>
      <c r="I357" s="771">
        <v>213.1905408</v>
      </c>
      <c r="J357" s="771">
        <v>234.5704296</v>
      </c>
      <c r="K357" s="772">
        <v>193.5756165</v>
      </c>
      <c r="M357" s="769" t="s">
        <v>493</v>
      </c>
      <c r="N357" s="770" t="s">
        <v>8</v>
      </c>
      <c r="O357" s="770" t="s">
        <v>494</v>
      </c>
      <c r="P357" s="770" t="s">
        <v>505</v>
      </c>
      <c r="Q357" s="770" t="s">
        <v>521</v>
      </c>
      <c r="R357" s="770" t="s">
        <v>497</v>
      </c>
      <c r="S357" s="770">
        <v>2019.0</v>
      </c>
      <c r="T357" s="771">
        <v>384.1334829</v>
      </c>
      <c r="U357" s="771">
        <v>422.6564452</v>
      </c>
      <c r="V357" s="772">
        <v>348.7906897</v>
      </c>
      <c r="X357" s="769" t="s">
        <v>496</v>
      </c>
      <c r="Y357" s="770" t="s">
        <v>494</v>
      </c>
      <c r="Z357" s="770" t="s">
        <v>507</v>
      </c>
      <c r="AA357" s="770" t="s">
        <v>36</v>
      </c>
      <c r="AB357" s="770" t="s">
        <v>493</v>
      </c>
      <c r="AC357" s="770" t="s">
        <v>103</v>
      </c>
      <c r="AD357" s="770" t="s">
        <v>501</v>
      </c>
      <c r="AE357" s="784" t="s">
        <v>502</v>
      </c>
      <c r="AF357" s="771">
        <v>2904.058815</v>
      </c>
      <c r="AG357" s="771">
        <v>2220.067113</v>
      </c>
      <c r="AH357" s="771">
        <v>3827.242006</v>
      </c>
      <c r="AI357" s="772" t="s">
        <v>233</v>
      </c>
      <c r="AK357" s="769" t="s">
        <v>496</v>
      </c>
      <c r="AL357" s="770" t="s">
        <v>494</v>
      </c>
      <c r="AM357" s="770" t="s">
        <v>507</v>
      </c>
      <c r="AN357" s="770" t="s">
        <v>36</v>
      </c>
      <c r="AO357" s="770" t="s">
        <v>493</v>
      </c>
      <c r="AP357" s="770" t="s">
        <v>504</v>
      </c>
      <c r="AQ357" s="770" t="s">
        <v>501</v>
      </c>
      <c r="AR357" s="784" t="s">
        <v>502</v>
      </c>
      <c r="AS357" s="771">
        <v>1412.865903</v>
      </c>
      <c r="AT357" s="771">
        <v>1080.094215</v>
      </c>
      <c r="AU357" s="771">
        <v>1862.007651</v>
      </c>
      <c r="AV357" s="772" t="s">
        <v>233</v>
      </c>
      <c r="AW357" s="714"/>
    </row>
    <row r="358">
      <c r="A358" s="761"/>
      <c r="B358" s="769" t="s">
        <v>493</v>
      </c>
      <c r="C358" s="770" t="s">
        <v>8</v>
      </c>
      <c r="D358" s="770" t="s">
        <v>494</v>
      </c>
      <c r="E358" s="770" t="s">
        <v>508</v>
      </c>
      <c r="F358" s="770" t="s">
        <v>521</v>
      </c>
      <c r="G358" s="770" t="s">
        <v>103</v>
      </c>
      <c r="H358" s="770">
        <v>2019.0</v>
      </c>
      <c r="I358" s="771">
        <v>940.0679784</v>
      </c>
      <c r="J358" s="771">
        <v>2135.234629</v>
      </c>
      <c r="K358" s="772">
        <v>375.3868408</v>
      </c>
      <c r="M358" s="769" t="s">
        <v>493</v>
      </c>
      <c r="N358" s="770" t="s">
        <v>8</v>
      </c>
      <c r="O358" s="770" t="s">
        <v>494</v>
      </c>
      <c r="P358" s="770" t="s">
        <v>508</v>
      </c>
      <c r="Q358" s="770" t="s">
        <v>521</v>
      </c>
      <c r="R358" s="770" t="s">
        <v>497</v>
      </c>
      <c r="S358" s="770">
        <v>2019.0</v>
      </c>
      <c r="T358" s="771">
        <v>36.32024236</v>
      </c>
      <c r="U358" s="771">
        <v>82.49641621</v>
      </c>
      <c r="V358" s="772">
        <v>14.50335651</v>
      </c>
      <c r="X358" s="769" t="s">
        <v>496</v>
      </c>
      <c r="Y358" s="770" t="s">
        <v>494</v>
      </c>
      <c r="Z358" s="770" t="s">
        <v>509</v>
      </c>
      <c r="AA358" s="770" t="s">
        <v>36</v>
      </c>
      <c r="AB358" s="770" t="s">
        <v>493</v>
      </c>
      <c r="AC358" s="770" t="s">
        <v>103</v>
      </c>
      <c r="AD358" s="770" t="s">
        <v>501</v>
      </c>
      <c r="AE358" s="784" t="s">
        <v>502</v>
      </c>
      <c r="AF358" s="771">
        <v>845.1846992</v>
      </c>
      <c r="AG358" s="771">
        <v>647.1162116</v>
      </c>
      <c r="AH358" s="771">
        <v>1110.636995</v>
      </c>
      <c r="AI358" s="772" t="s">
        <v>233</v>
      </c>
      <c r="AK358" s="769" t="s">
        <v>496</v>
      </c>
      <c r="AL358" s="770" t="s">
        <v>494</v>
      </c>
      <c r="AM358" s="770" t="s">
        <v>509</v>
      </c>
      <c r="AN358" s="770" t="s">
        <v>36</v>
      </c>
      <c r="AO358" s="770" t="s">
        <v>493</v>
      </c>
      <c r="AP358" s="770" t="s">
        <v>504</v>
      </c>
      <c r="AQ358" s="770" t="s">
        <v>501</v>
      </c>
      <c r="AR358" s="784" t="s">
        <v>502</v>
      </c>
      <c r="AS358" s="771">
        <v>6424.361823</v>
      </c>
      <c r="AT358" s="771">
        <v>4918.816785</v>
      </c>
      <c r="AU358" s="771">
        <v>8442.100187</v>
      </c>
      <c r="AV358" s="772" t="s">
        <v>233</v>
      </c>
      <c r="AW358" s="714"/>
    </row>
    <row r="359">
      <c r="A359" s="761"/>
      <c r="B359" s="769" t="s">
        <v>493</v>
      </c>
      <c r="C359" s="770" t="s">
        <v>8</v>
      </c>
      <c r="D359" s="770" t="s">
        <v>494</v>
      </c>
      <c r="E359" s="770" t="s">
        <v>512</v>
      </c>
      <c r="F359" s="770" t="s">
        <v>521</v>
      </c>
      <c r="G359" s="770" t="s">
        <v>103</v>
      </c>
      <c r="H359" s="770">
        <v>2019.0</v>
      </c>
      <c r="I359" s="771">
        <v>43.47452123</v>
      </c>
      <c r="J359" s="771">
        <v>47.83437897</v>
      </c>
      <c r="K359" s="772">
        <v>39.47458089</v>
      </c>
      <c r="M359" s="769" t="s">
        <v>493</v>
      </c>
      <c r="N359" s="770" t="s">
        <v>8</v>
      </c>
      <c r="O359" s="770" t="s">
        <v>494</v>
      </c>
      <c r="P359" s="770" t="s">
        <v>512</v>
      </c>
      <c r="Q359" s="770" t="s">
        <v>521</v>
      </c>
      <c r="R359" s="770" t="s">
        <v>497</v>
      </c>
      <c r="S359" s="770">
        <v>2019.0</v>
      </c>
      <c r="T359" s="771">
        <v>26.4215592</v>
      </c>
      <c r="U359" s="771">
        <v>29.07125462</v>
      </c>
      <c r="V359" s="772">
        <v>23.99060292</v>
      </c>
      <c r="X359" s="769" t="s">
        <v>496</v>
      </c>
      <c r="Y359" s="770" t="s">
        <v>494</v>
      </c>
      <c r="Z359" s="770" t="s">
        <v>513</v>
      </c>
      <c r="AA359" s="770" t="s">
        <v>36</v>
      </c>
      <c r="AB359" s="770" t="s">
        <v>493</v>
      </c>
      <c r="AC359" s="770" t="s">
        <v>103</v>
      </c>
      <c r="AD359" s="770" t="s">
        <v>501</v>
      </c>
      <c r="AE359" s="784" t="s">
        <v>502</v>
      </c>
      <c r="AF359" s="771">
        <v>11380.79524</v>
      </c>
      <c r="AG359" s="771">
        <v>8705.418466</v>
      </c>
      <c r="AH359" s="771">
        <v>14993.19599</v>
      </c>
      <c r="AI359" s="772" t="s">
        <v>233</v>
      </c>
      <c r="AK359" s="769" t="s">
        <v>496</v>
      </c>
      <c r="AL359" s="770" t="s">
        <v>494</v>
      </c>
      <c r="AM359" s="770" t="s">
        <v>513</v>
      </c>
      <c r="AN359" s="770" t="s">
        <v>36</v>
      </c>
      <c r="AO359" s="770" t="s">
        <v>493</v>
      </c>
      <c r="AP359" s="770" t="s">
        <v>504</v>
      </c>
      <c r="AQ359" s="770" t="s">
        <v>501</v>
      </c>
      <c r="AR359" s="784" t="s">
        <v>502</v>
      </c>
      <c r="AS359" s="771">
        <v>1006.944899</v>
      </c>
      <c r="AT359" s="771">
        <v>770.2341123</v>
      </c>
      <c r="AU359" s="771">
        <v>1326.561273</v>
      </c>
      <c r="AV359" s="772" t="s">
        <v>233</v>
      </c>
      <c r="AW359" s="714"/>
    </row>
    <row r="360">
      <c r="A360" s="761"/>
      <c r="B360" s="769" t="s">
        <v>493</v>
      </c>
      <c r="C360" s="770" t="s">
        <v>8</v>
      </c>
      <c r="D360" s="770" t="s">
        <v>494</v>
      </c>
      <c r="E360" s="770" t="s">
        <v>495</v>
      </c>
      <c r="F360" s="770" t="s">
        <v>523</v>
      </c>
      <c r="G360" s="770" t="s">
        <v>103</v>
      </c>
      <c r="H360" s="770">
        <v>2019.0</v>
      </c>
      <c r="I360" s="771">
        <v>3209.696883</v>
      </c>
      <c r="J360" s="771">
        <v>5845.359067</v>
      </c>
      <c r="K360" s="772">
        <v>1589.532988</v>
      </c>
      <c r="M360" s="769" t="s">
        <v>493</v>
      </c>
      <c r="N360" s="770" t="s">
        <v>8</v>
      </c>
      <c r="O360" s="770" t="s">
        <v>494</v>
      </c>
      <c r="P360" s="770" t="s">
        <v>495</v>
      </c>
      <c r="Q360" s="770" t="s">
        <v>523</v>
      </c>
      <c r="R360" s="770" t="s">
        <v>497</v>
      </c>
      <c r="S360" s="770">
        <v>2019.0</v>
      </c>
      <c r="T360" s="771">
        <v>23.54969067</v>
      </c>
      <c r="U360" s="771">
        <v>42.88766288</v>
      </c>
      <c r="V360" s="772">
        <v>11.66247516</v>
      </c>
      <c r="X360" s="769" t="s">
        <v>514</v>
      </c>
      <c r="Y360" s="770" t="s">
        <v>494</v>
      </c>
      <c r="Z360" s="770" t="s">
        <v>499</v>
      </c>
      <c r="AA360" s="770" t="s">
        <v>36</v>
      </c>
      <c r="AB360" s="770" t="s">
        <v>493</v>
      </c>
      <c r="AC360" s="770" t="s">
        <v>103</v>
      </c>
      <c r="AD360" s="770" t="s">
        <v>501</v>
      </c>
      <c r="AE360" s="784" t="s">
        <v>502</v>
      </c>
      <c r="AF360" s="771">
        <v>4660.979503</v>
      </c>
      <c r="AG360" s="771">
        <v>3553.648311</v>
      </c>
      <c r="AH360" s="771">
        <v>6098.110365</v>
      </c>
      <c r="AI360" s="772" t="s">
        <v>233</v>
      </c>
      <c r="AK360" s="769" t="s">
        <v>514</v>
      </c>
      <c r="AL360" s="770" t="s">
        <v>494</v>
      </c>
      <c r="AM360" s="770" t="s">
        <v>499</v>
      </c>
      <c r="AN360" s="770" t="s">
        <v>36</v>
      </c>
      <c r="AO360" s="770" t="s">
        <v>493</v>
      </c>
      <c r="AP360" s="770" t="s">
        <v>504</v>
      </c>
      <c r="AQ360" s="770" t="s">
        <v>501</v>
      </c>
      <c r="AR360" s="784" t="s">
        <v>502</v>
      </c>
      <c r="AS360" s="771">
        <v>104695.5161</v>
      </c>
      <c r="AT360" s="771">
        <v>79822.50168</v>
      </c>
      <c r="AU360" s="771">
        <v>136976.5329</v>
      </c>
      <c r="AV360" s="772" t="s">
        <v>233</v>
      </c>
      <c r="AW360" s="714"/>
    </row>
    <row r="361">
      <c r="A361" s="761"/>
      <c r="B361" s="769" t="s">
        <v>493</v>
      </c>
      <c r="C361" s="770" t="s">
        <v>8</v>
      </c>
      <c r="D361" s="770" t="s">
        <v>494</v>
      </c>
      <c r="E361" s="770" t="s">
        <v>505</v>
      </c>
      <c r="F361" s="770" t="s">
        <v>523</v>
      </c>
      <c r="G361" s="770" t="s">
        <v>103</v>
      </c>
      <c r="H361" s="770">
        <v>2019.0</v>
      </c>
      <c r="I361" s="771">
        <v>0.0</v>
      </c>
      <c r="J361" s="771">
        <v>0.0</v>
      </c>
      <c r="K361" s="772">
        <v>0.0</v>
      </c>
      <c r="M361" s="769" t="s">
        <v>493</v>
      </c>
      <c r="N361" s="770" t="s">
        <v>8</v>
      </c>
      <c r="O361" s="770" t="s">
        <v>494</v>
      </c>
      <c r="P361" s="770" t="s">
        <v>505</v>
      </c>
      <c r="Q361" s="770" t="s">
        <v>523</v>
      </c>
      <c r="R361" s="770" t="s">
        <v>497</v>
      </c>
      <c r="S361" s="770">
        <v>2019.0</v>
      </c>
      <c r="T361" s="771">
        <v>0.0</v>
      </c>
      <c r="U361" s="771">
        <v>0.0</v>
      </c>
      <c r="V361" s="772">
        <v>0.0</v>
      </c>
      <c r="X361" s="769" t="s">
        <v>514</v>
      </c>
      <c r="Y361" s="770" t="s">
        <v>494</v>
      </c>
      <c r="Z361" s="770" t="s">
        <v>507</v>
      </c>
      <c r="AA361" s="770" t="s">
        <v>36</v>
      </c>
      <c r="AB361" s="770" t="s">
        <v>493</v>
      </c>
      <c r="AC361" s="770" t="s">
        <v>103</v>
      </c>
      <c r="AD361" s="770" t="s">
        <v>501</v>
      </c>
      <c r="AE361" s="784" t="s">
        <v>502</v>
      </c>
      <c r="AF361" s="771">
        <v>2617.713561</v>
      </c>
      <c r="AG361" s="771">
        <v>1990.517135</v>
      </c>
      <c r="AH361" s="771">
        <v>3457.090314</v>
      </c>
      <c r="AI361" s="772" t="s">
        <v>233</v>
      </c>
      <c r="AK361" s="769" t="s">
        <v>514</v>
      </c>
      <c r="AL361" s="770" t="s">
        <v>494</v>
      </c>
      <c r="AM361" s="770" t="s">
        <v>507</v>
      </c>
      <c r="AN361" s="770" t="s">
        <v>36</v>
      </c>
      <c r="AO361" s="770" t="s">
        <v>493</v>
      </c>
      <c r="AP361" s="770" t="s">
        <v>504</v>
      </c>
      <c r="AQ361" s="770" t="s">
        <v>501</v>
      </c>
      <c r="AR361" s="784" t="s">
        <v>502</v>
      </c>
      <c r="AS361" s="771">
        <v>1273.554866</v>
      </c>
      <c r="AT361" s="771">
        <v>968.4148869</v>
      </c>
      <c r="AU361" s="771">
        <v>1681.92359</v>
      </c>
      <c r="AV361" s="772" t="s">
        <v>233</v>
      </c>
      <c r="AW361" s="714"/>
    </row>
    <row r="362">
      <c r="A362" s="761"/>
      <c r="B362" s="769" t="s">
        <v>493</v>
      </c>
      <c r="C362" s="770" t="s">
        <v>8</v>
      </c>
      <c r="D362" s="770" t="s">
        <v>494</v>
      </c>
      <c r="E362" s="770" t="s">
        <v>508</v>
      </c>
      <c r="F362" s="770" t="s">
        <v>523</v>
      </c>
      <c r="G362" s="770" t="s">
        <v>103</v>
      </c>
      <c r="H362" s="770">
        <v>2019.0</v>
      </c>
      <c r="I362" s="771">
        <v>1750.771129</v>
      </c>
      <c r="J362" s="771">
        <v>3410.560066</v>
      </c>
      <c r="K362" s="772">
        <v>767.4161551</v>
      </c>
      <c r="M362" s="769" t="s">
        <v>493</v>
      </c>
      <c r="N362" s="770" t="s">
        <v>8</v>
      </c>
      <c r="O362" s="770" t="s">
        <v>494</v>
      </c>
      <c r="P362" s="770" t="s">
        <v>508</v>
      </c>
      <c r="Q362" s="770" t="s">
        <v>523</v>
      </c>
      <c r="R362" s="770" t="s">
        <v>497</v>
      </c>
      <c r="S362" s="770">
        <v>2019.0</v>
      </c>
      <c r="T362" s="771">
        <v>67.64237607</v>
      </c>
      <c r="U362" s="771">
        <v>131.7695858</v>
      </c>
      <c r="V362" s="772">
        <v>29.64970766</v>
      </c>
      <c r="X362" s="769" t="s">
        <v>514</v>
      </c>
      <c r="Y362" s="770" t="s">
        <v>494</v>
      </c>
      <c r="Z362" s="770" t="s">
        <v>509</v>
      </c>
      <c r="AA362" s="770" t="s">
        <v>36</v>
      </c>
      <c r="AB362" s="770" t="s">
        <v>493</v>
      </c>
      <c r="AC362" s="770" t="s">
        <v>103</v>
      </c>
      <c r="AD362" s="770" t="s">
        <v>501</v>
      </c>
      <c r="AE362" s="784" t="s">
        <v>502</v>
      </c>
      <c r="AF362" s="771">
        <v>773.7757722</v>
      </c>
      <c r="AG362" s="771">
        <v>588.8657305</v>
      </c>
      <c r="AH362" s="771">
        <v>1019.62747</v>
      </c>
      <c r="AI362" s="772" t="s">
        <v>233</v>
      </c>
      <c r="AK362" s="769" t="s">
        <v>514</v>
      </c>
      <c r="AL362" s="770" t="s">
        <v>494</v>
      </c>
      <c r="AM362" s="770" t="s">
        <v>509</v>
      </c>
      <c r="AN362" s="770" t="s">
        <v>36</v>
      </c>
      <c r="AO362" s="770" t="s">
        <v>493</v>
      </c>
      <c r="AP362" s="770" t="s">
        <v>504</v>
      </c>
      <c r="AQ362" s="770" t="s">
        <v>501</v>
      </c>
      <c r="AR362" s="784" t="s">
        <v>502</v>
      </c>
      <c r="AS362" s="771">
        <v>5881.573028</v>
      </c>
      <c r="AT362" s="771">
        <v>4476.047096</v>
      </c>
      <c r="AU362" s="771">
        <v>7750.324629</v>
      </c>
      <c r="AV362" s="772" t="s">
        <v>233</v>
      </c>
      <c r="AW362" s="714"/>
    </row>
    <row r="363">
      <c r="A363" s="761"/>
      <c r="B363" s="769" t="s">
        <v>493</v>
      </c>
      <c r="C363" s="770" t="s">
        <v>8</v>
      </c>
      <c r="D363" s="770" t="s">
        <v>494</v>
      </c>
      <c r="E363" s="770" t="s">
        <v>512</v>
      </c>
      <c r="F363" s="770" t="s">
        <v>523</v>
      </c>
      <c r="G363" s="770" t="s">
        <v>103</v>
      </c>
      <c r="H363" s="770">
        <v>2019.0</v>
      </c>
      <c r="I363" s="771">
        <v>0.0</v>
      </c>
      <c r="J363" s="771">
        <v>0.0</v>
      </c>
      <c r="K363" s="772">
        <v>0.0</v>
      </c>
      <c r="M363" s="769" t="s">
        <v>493</v>
      </c>
      <c r="N363" s="770" t="s">
        <v>8</v>
      </c>
      <c r="O363" s="770" t="s">
        <v>494</v>
      </c>
      <c r="P363" s="770" t="s">
        <v>512</v>
      </c>
      <c r="Q363" s="770" t="s">
        <v>523</v>
      </c>
      <c r="R363" s="770" t="s">
        <v>497</v>
      </c>
      <c r="S363" s="770">
        <v>2019.0</v>
      </c>
      <c r="T363" s="771">
        <v>0.0</v>
      </c>
      <c r="U363" s="771">
        <v>0.0</v>
      </c>
      <c r="V363" s="772">
        <v>0.0</v>
      </c>
      <c r="X363" s="769" t="s">
        <v>514</v>
      </c>
      <c r="Y363" s="770" t="s">
        <v>494</v>
      </c>
      <c r="Z363" s="770" t="s">
        <v>513</v>
      </c>
      <c r="AA363" s="770" t="s">
        <v>36</v>
      </c>
      <c r="AB363" s="770" t="s">
        <v>493</v>
      </c>
      <c r="AC363" s="770" t="s">
        <v>103</v>
      </c>
      <c r="AD363" s="770" t="s">
        <v>501</v>
      </c>
      <c r="AE363" s="784" t="s">
        <v>502</v>
      </c>
      <c r="AF363" s="771">
        <v>10489.90213</v>
      </c>
      <c r="AG363" s="771">
        <v>8005.75972</v>
      </c>
      <c r="AH363" s="771">
        <v>13805.73786</v>
      </c>
      <c r="AI363" s="772" t="s">
        <v>233</v>
      </c>
      <c r="AK363" s="769" t="s">
        <v>514</v>
      </c>
      <c r="AL363" s="770" t="s">
        <v>494</v>
      </c>
      <c r="AM363" s="770" t="s">
        <v>513</v>
      </c>
      <c r="AN363" s="770" t="s">
        <v>36</v>
      </c>
      <c r="AO363" s="770" t="s">
        <v>493</v>
      </c>
      <c r="AP363" s="770" t="s">
        <v>504</v>
      </c>
      <c r="AQ363" s="770" t="s">
        <v>501</v>
      </c>
      <c r="AR363" s="784" t="s">
        <v>502</v>
      </c>
      <c r="AS363" s="771">
        <v>928.1208576</v>
      </c>
      <c r="AT363" s="771">
        <v>708.3300195</v>
      </c>
      <c r="AU363" s="771">
        <v>1221.497885</v>
      </c>
      <c r="AV363" s="772" t="s">
        <v>233</v>
      </c>
      <c r="AW363" s="714"/>
    </row>
    <row r="364">
      <c r="A364" s="761"/>
      <c r="B364" s="769" t="s">
        <v>493</v>
      </c>
      <c r="C364" s="770" t="s">
        <v>606</v>
      </c>
      <c r="D364" s="770" t="s">
        <v>494</v>
      </c>
      <c r="E364" s="770" t="s">
        <v>495</v>
      </c>
      <c r="F364" s="770" t="s">
        <v>496</v>
      </c>
      <c r="G364" s="770" t="s">
        <v>103</v>
      </c>
      <c r="H364" s="770">
        <v>2019.0</v>
      </c>
      <c r="I364" s="771">
        <v>1665.935002</v>
      </c>
      <c r="J364" s="771">
        <v>2083.402928</v>
      </c>
      <c r="K364" s="772">
        <v>1332.623141</v>
      </c>
      <c r="M364" s="786" t="s">
        <v>493</v>
      </c>
      <c r="N364" s="787" t="s">
        <v>606</v>
      </c>
      <c r="O364" s="787" t="s">
        <v>494</v>
      </c>
      <c r="P364" s="787" t="s">
        <v>495</v>
      </c>
      <c r="Q364" s="787" t="s">
        <v>496</v>
      </c>
      <c r="R364" s="787" t="s">
        <v>497</v>
      </c>
      <c r="S364" s="788">
        <v>2019.0</v>
      </c>
      <c r="T364" s="789">
        <v>1046.66283</v>
      </c>
      <c r="U364" s="789">
        <v>1308.946869</v>
      </c>
      <c r="V364" s="790">
        <v>837.2518175</v>
      </c>
      <c r="X364" s="769" t="s">
        <v>518</v>
      </c>
      <c r="Y364" s="770" t="s">
        <v>494</v>
      </c>
      <c r="Z364" s="770" t="s">
        <v>499</v>
      </c>
      <c r="AA364" s="770" t="s">
        <v>36</v>
      </c>
      <c r="AB364" s="770" t="s">
        <v>493</v>
      </c>
      <c r="AC364" s="770" t="s">
        <v>103</v>
      </c>
      <c r="AD364" s="770" t="s">
        <v>501</v>
      </c>
      <c r="AE364" s="784" t="s">
        <v>502</v>
      </c>
      <c r="AF364" s="771">
        <v>38.53956214</v>
      </c>
      <c r="AG364" s="771">
        <v>15.72516316</v>
      </c>
      <c r="AH364" s="771">
        <v>81.94947752</v>
      </c>
      <c r="AI364" s="772" t="s">
        <v>233</v>
      </c>
      <c r="AK364" s="769" t="s">
        <v>518</v>
      </c>
      <c r="AL364" s="770" t="s">
        <v>494</v>
      </c>
      <c r="AM364" s="770" t="s">
        <v>499</v>
      </c>
      <c r="AN364" s="770" t="s">
        <v>36</v>
      </c>
      <c r="AO364" s="770" t="s">
        <v>493</v>
      </c>
      <c r="AP364" s="770" t="s">
        <v>504</v>
      </c>
      <c r="AQ364" s="770" t="s">
        <v>501</v>
      </c>
      <c r="AR364" s="784" t="s">
        <v>502</v>
      </c>
      <c r="AS364" s="771">
        <v>865.680561</v>
      </c>
      <c r="AT364" s="771">
        <v>353.2206208</v>
      </c>
      <c r="AU364" s="771">
        <v>1840.759618</v>
      </c>
      <c r="AV364" s="772" t="s">
        <v>233</v>
      </c>
      <c r="AW364" s="714"/>
    </row>
    <row r="365">
      <c r="A365" s="761"/>
      <c r="B365" s="769" t="s">
        <v>493</v>
      </c>
      <c r="C365" s="770" t="s">
        <v>606</v>
      </c>
      <c r="D365" s="770" t="s">
        <v>494</v>
      </c>
      <c r="E365" s="770" t="s">
        <v>505</v>
      </c>
      <c r="F365" s="770" t="s">
        <v>496</v>
      </c>
      <c r="G365" s="770" t="s">
        <v>103</v>
      </c>
      <c r="H365" s="770">
        <v>2019.0</v>
      </c>
      <c r="I365" s="771">
        <v>608.7048113</v>
      </c>
      <c r="J365" s="771">
        <v>766.3056316</v>
      </c>
      <c r="K365" s="772">
        <v>481.4211877</v>
      </c>
      <c r="M365" s="776" t="s">
        <v>493</v>
      </c>
      <c r="N365" s="777" t="s">
        <v>606</v>
      </c>
      <c r="O365" s="777" t="s">
        <v>494</v>
      </c>
      <c r="P365" s="777" t="s">
        <v>505</v>
      </c>
      <c r="Q365" s="777" t="s">
        <v>496</v>
      </c>
      <c r="R365" s="777" t="s">
        <v>497</v>
      </c>
      <c r="S365" s="778">
        <v>2019.0</v>
      </c>
      <c r="T365" s="780">
        <v>92570.4588</v>
      </c>
      <c r="U365" s="780">
        <v>116538.0371</v>
      </c>
      <c r="V365" s="782">
        <v>73213.45156</v>
      </c>
      <c r="X365" s="769" t="s">
        <v>518</v>
      </c>
      <c r="Y365" s="770" t="s">
        <v>494</v>
      </c>
      <c r="Z365" s="770" t="s">
        <v>507</v>
      </c>
      <c r="AA365" s="770" t="s">
        <v>36</v>
      </c>
      <c r="AB365" s="770" t="s">
        <v>493</v>
      </c>
      <c r="AC365" s="770" t="s">
        <v>103</v>
      </c>
      <c r="AD365" s="770" t="s">
        <v>501</v>
      </c>
      <c r="AE365" s="784" t="s">
        <v>502</v>
      </c>
      <c r="AF365" s="771">
        <v>426.6946491</v>
      </c>
      <c r="AG365" s="771">
        <v>162.5684111</v>
      </c>
      <c r="AH365" s="771">
        <v>843.5802826</v>
      </c>
      <c r="AI365" s="772" t="s">
        <v>233</v>
      </c>
      <c r="AK365" s="769" t="s">
        <v>518</v>
      </c>
      <c r="AL365" s="770" t="s">
        <v>494</v>
      </c>
      <c r="AM365" s="770" t="s">
        <v>507</v>
      </c>
      <c r="AN365" s="770" t="s">
        <v>36</v>
      </c>
      <c r="AO365" s="770" t="s">
        <v>493</v>
      </c>
      <c r="AP365" s="770" t="s">
        <v>504</v>
      </c>
      <c r="AQ365" s="770" t="s">
        <v>501</v>
      </c>
      <c r="AR365" s="784" t="s">
        <v>502</v>
      </c>
      <c r="AS365" s="771">
        <v>207.5930135</v>
      </c>
      <c r="AT365" s="771">
        <v>79.09184339</v>
      </c>
      <c r="AU365" s="771">
        <v>410.4138014</v>
      </c>
      <c r="AV365" s="772" t="s">
        <v>233</v>
      </c>
      <c r="AW365" s="714"/>
    </row>
    <row r="366">
      <c r="A366" s="761"/>
      <c r="B366" s="769" t="s">
        <v>493</v>
      </c>
      <c r="C366" s="770" t="s">
        <v>606</v>
      </c>
      <c r="D366" s="770" t="s">
        <v>494</v>
      </c>
      <c r="E366" s="770" t="s">
        <v>508</v>
      </c>
      <c r="F366" s="770" t="s">
        <v>496</v>
      </c>
      <c r="G366" s="770" t="s">
        <v>103</v>
      </c>
      <c r="H366" s="770">
        <v>2019.0</v>
      </c>
      <c r="I366" s="771">
        <v>471.1116528</v>
      </c>
      <c r="J366" s="771">
        <v>588.5622478</v>
      </c>
      <c r="K366" s="772">
        <v>376.0285736</v>
      </c>
      <c r="M366" s="769" t="s">
        <v>493</v>
      </c>
      <c r="N366" s="770" t="s">
        <v>606</v>
      </c>
      <c r="O366" s="770" t="s">
        <v>494</v>
      </c>
      <c r="P366" s="770" t="s">
        <v>508</v>
      </c>
      <c r="Q366" s="770" t="s">
        <v>496</v>
      </c>
      <c r="R366" s="770" t="s">
        <v>497</v>
      </c>
      <c r="S366" s="770">
        <v>2019.0</v>
      </c>
      <c r="T366" s="771">
        <v>1523.938048</v>
      </c>
      <c r="U366" s="771">
        <v>1903.863761</v>
      </c>
      <c r="V366" s="772">
        <v>1216.366114</v>
      </c>
      <c r="X366" s="769" t="s">
        <v>518</v>
      </c>
      <c r="Y366" s="770" t="s">
        <v>494</v>
      </c>
      <c r="Z366" s="770" t="s">
        <v>509</v>
      </c>
      <c r="AA366" s="770" t="s">
        <v>36</v>
      </c>
      <c r="AB366" s="770" t="s">
        <v>493</v>
      </c>
      <c r="AC366" s="770" t="s">
        <v>103</v>
      </c>
      <c r="AD366" s="770" t="s">
        <v>501</v>
      </c>
      <c r="AE366" s="784" t="s">
        <v>502</v>
      </c>
      <c r="AF366" s="771">
        <v>45.10719646</v>
      </c>
      <c r="AG366" s="771">
        <v>20.07113629</v>
      </c>
      <c r="AH366" s="771">
        <v>93.17554909</v>
      </c>
      <c r="AI366" s="772" t="s">
        <v>233</v>
      </c>
      <c r="AK366" s="769" t="s">
        <v>518</v>
      </c>
      <c r="AL366" s="770" t="s">
        <v>494</v>
      </c>
      <c r="AM366" s="770" t="s">
        <v>509</v>
      </c>
      <c r="AN366" s="770" t="s">
        <v>36</v>
      </c>
      <c r="AO366" s="770" t="s">
        <v>493</v>
      </c>
      <c r="AP366" s="770" t="s">
        <v>504</v>
      </c>
      <c r="AQ366" s="770" t="s">
        <v>501</v>
      </c>
      <c r="AR366" s="784" t="s">
        <v>502</v>
      </c>
      <c r="AS366" s="771">
        <v>342.8658271</v>
      </c>
      <c r="AT366" s="771">
        <v>152.5633887</v>
      </c>
      <c r="AU366" s="771">
        <v>708.2397977</v>
      </c>
      <c r="AV366" s="772" t="s">
        <v>233</v>
      </c>
      <c r="AW366" s="714"/>
    </row>
    <row r="367">
      <c r="A367" s="761"/>
      <c r="B367" s="769" t="s">
        <v>493</v>
      </c>
      <c r="C367" s="770" t="s">
        <v>606</v>
      </c>
      <c r="D367" s="770" t="s">
        <v>494</v>
      </c>
      <c r="E367" s="770" t="s">
        <v>512</v>
      </c>
      <c r="F367" s="770" t="s">
        <v>496</v>
      </c>
      <c r="G367" s="770" t="s">
        <v>103</v>
      </c>
      <c r="H367" s="770">
        <v>2019.0</v>
      </c>
      <c r="I367" s="771">
        <v>140.8914646</v>
      </c>
      <c r="J367" s="771">
        <v>175.8197826</v>
      </c>
      <c r="K367" s="772">
        <v>111.9817659</v>
      </c>
      <c r="M367" s="858" t="s">
        <v>493</v>
      </c>
      <c r="N367" s="859" t="s">
        <v>606</v>
      </c>
      <c r="O367" s="859" t="s">
        <v>494</v>
      </c>
      <c r="P367" s="859" t="s">
        <v>512</v>
      </c>
      <c r="Q367" s="859" t="s">
        <v>496</v>
      </c>
      <c r="R367" s="859" t="s">
        <v>497</v>
      </c>
      <c r="S367" s="859">
        <v>2019.0</v>
      </c>
      <c r="T367" s="860">
        <v>7221.261062</v>
      </c>
      <c r="U367" s="860">
        <v>9011.479535</v>
      </c>
      <c r="V367" s="861">
        <v>5739.521325</v>
      </c>
      <c r="X367" s="769" t="s">
        <v>518</v>
      </c>
      <c r="Y367" s="770" t="s">
        <v>494</v>
      </c>
      <c r="Z367" s="770" t="s">
        <v>513</v>
      </c>
      <c r="AA367" s="770" t="s">
        <v>36</v>
      </c>
      <c r="AB367" s="770" t="s">
        <v>493</v>
      </c>
      <c r="AC367" s="770" t="s">
        <v>103</v>
      </c>
      <c r="AD367" s="770" t="s">
        <v>501</v>
      </c>
      <c r="AE367" s="784" t="s">
        <v>502</v>
      </c>
      <c r="AF367" s="771">
        <v>684.6036095</v>
      </c>
      <c r="AG367" s="771">
        <v>306.0613989</v>
      </c>
      <c r="AH367" s="771">
        <v>1270.229826</v>
      </c>
      <c r="AI367" s="772" t="s">
        <v>233</v>
      </c>
      <c r="AK367" s="769" t="s">
        <v>518</v>
      </c>
      <c r="AL367" s="770" t="s">
        <v>494</v>
      </c>
      <c r="AM367" s="770" t="s">
        <v>513</v>
      </c>
      <c r="AN367" s="770" t="s">
        <v>36</v>
      </c>
      <c r="AO367" s="770" t="s">
        <v>493</v>
      </c>
      <c r="AP367" s="770" t="s">
        <v>504</v>
      </c>
      <c r="AQ367" s="770" t="s">
        <v>501</v>
      </c>
      <c r="AR367" s="784" t="s">
        <v>502</v>
      </c>
      <c r="AS367" s="771">
        <v>60.57205124</v>
      </c>
      <c r="AT367" s="771">
        <v>27.07956324</v>
      </c>
      <c r="AU367" s="771">
        <v>112.3868251</v>
      </c>
      <c r="AV367" s="772" t="s">
        <v>233</v>
      </c>
      <c r="AW367" s="714"/>
    </row>
    <row r="368">
      <c r="A368" s="761"/>
      <c r="B368" s="769" t="s">
        <v>493</v>
      </c>
      <c r="C368" s="770" t="s">
        <v>606</v>
      </c>
      <c r="D368" s="770" t="s">
        <v>494</v>
      </c>
      <c r="E368" s="770" t="s">
        <v>495</v>
      </c>
      <c r="F368" s="770" t="s">
        <v>514</v>
      </c>
      <c r="G368" s="770" t="s">
        <v>103</v>
      </c>
      <c r="H368" s="770">
        <v>2019.0</v>
      </c>
      <c r="I368" s="771">
        <v>1370.839675</v>
      </c>
      <c r="J368" s="771">
        <v>1747.207118</v>
      </c>
      <c r="K368" s="772">
        <v>1086.45946</v>
      </c>
      <c r="M368" s="769" t="s">
        <v>493</v>
      </c>
      <c r="N368" s="770" t="s">
        <v>606</v>
      </c>
      <c r="O368" s="770" t="s">
        <v>494</v>
      </c>
      <c r="P368" s="770" t="s">
        <v>495</v>
      </c>
      <c r="Q368" s="770" t="s">
        <v>514</v>
      </c>
      <c r="R368" s="770" t="s">
        <v>497</v>
      </c>
      <c r="S368" s="770">
        <v>2019.0</v>
      </c>
      <c r="T368" s="771">
        <v>861.262254</v>
      </c>
      <c r="U368" s="771">
        <v>1097.723948</v>
      </c>
      <c r="V368" s="772">
        <v>682.5936978</v>
      </c>
      <c r="X368" s="769" t="s">
        <v>519</v>
      </c>
      <c r="Y368" s="770" t="s">
        <v>494</v>
      </c>
      <c r="Z368" s="770" t="s">
        <v>499</v>
      </c>
      <c r="AA368" s="770" t="s">
        <v>36</v>
      </c>
      <c r="AB368" s="770" t="s">
        <v>493</v>
      </c>
      <c r="AC368" s="770" t="s">
        <v>103</v>
      </c>
      <c r="AD368" s="770" t="s">
        <v>501</v>
      </c>
      <c r="AE368" s="784" t="s">
        <v>502</v>
      </c>
      <c r="AF368" s="771">
        <v>3883.983124</v>
      </c>
      <c r="AG368" s="771">
        <v>2917.372235</v>
      </c>
      <c r="AH368" s="771">
        <v>5087.690957</v>
      </c>
      <c r="AI368" s="772" t="s">
        <v>233</v>
      </c>
      <c r="AK368" s="769" t="s">
        <v>519</v>
      </c>
      <c r="AL368" s="770" t="s">
        <v>494</v>
      </c>
      <c r="AM368" s="770" t="s">
        <v>499</v>
      </c>
      <c r="AN368" s="770" t="s">
        <v>36</v>
      </c>
      <c r="AO368" s="770" t="s">
        <v>493</v>
      </c>
      <c r="AP368" s="770" t="s">
        <v>504</v>
      </c>
      <c r="AQ368" s="770" t="s">
        <v>501</v>
      </c>
      <c r="AR368" s="784" t="s">
        <v>502</v>
      </c>
      <c r="AS368" s="771">
        <v>87242.52438</v>
      </c>
      <c r="AT368" s="771">
        <v>65530.38729</v>
      </c>
      <c r="AU368" s="771">
        <v>114280.3633</v>
      </c>
      <c r="AV368" s="772" t="s">
        <v>233</v>
      </c>
      <c r="AW368" s="714"/>
    </row>
    <row r="369">
      <c r="A369" s="761"/>
      <c r="B369" s="769" t="s">
        <v>493</v>
      </c>
      <c r="C369" s="770" t="s">
        <v>606</v>
      </c>
      <c r="D369" s="770" t="s">
        <v>494</v>
      </c>
      <c r="E369" s="770" t="s">
        <v>505</v>
      </c>
      <c r="F369" s="770" t="s">
        <v>514</v>
      </c>
      <c r="G369" s="770" t="s">
        <v>103</v>
      </c>
      <c r="H369" s="770">
        <v>2019.0</v>
      </c>
      <c r="I369" s="771">
        <v>558.8263818</v>
      </c>
      <c r="J369" s="771">
        <v>706.7109805</v>
      </c>
      <c r="K369" s="772">
        <v>440.7397641</v>
      </c>
      <c r="M369" s="769" t="s">
        <v>493</v>
      </c>
      <c r="N369" s="770" t="s">
        <v>606</v>
      </c>
      <c r="O369" s="770" t="s">
        <v>494</v>
      </c>
      <c r="P369" s="770" t="s">
        <v>505</v>
      </c>
      <c r="Q369" s="770" t="s">
        <v>514</v>
      </c>
      <c r="R369" s="770" t="s">
        <v>497</v>
      </c>
      <c r="S369" s="770">
        <v>2019.0</v>
      </c>
      <c r="T369" s="771">
        <v>84985.05941</v>
      </c>
      <c r="U369" s="771">
        <v>107475.0166</v>
      </c>
      <c r="V369" s="772">
        <v>67026.71215</v>
      </c>
      <c r="X369" s="769" t="s">
        <v>519</v>
      </c>
      <c r="Y369" s="770" t="s">
        <v>494</v>
      </c>
      <c r="Z369" s="770" t="s">
        <v>507</v>
      </c>
      <c r="AA369" s="770" t="s">
        <v>36</v>
      </c>
      <c r="AB369" s="770" t="s">
        <v>493</v>
      </c>
      <c r="AC369" s="770" t="s">
        <v>103</v>
      </c>
      <c r="AD369" s="770" t="s">
        <v>501</v>
      </c>
      <c r="AE369" s="784" t="s">
        <v>502</v>
      </c>
      <c r="AF369" s="771">
        <v>14.27049462</v>
      </c>
      <c r="AG369" s="771">
        <v>6.203451094</v>
      </c>
      <c r="AH369" s="771">
        <v>27.13337291</v>
      </c>
      <c r="AI369" s="772" t="s">
        <v>233</v>
      </c>
      <c r="AK369" s="769" t="s">
        <v>519</v>
      </c>
      <c r="AL369" s="770" t="s">
        <v>494</v>
      </c>
      <c r="AM369" s="770" t="s">
        <v>507</v>
      </c>
      <c r="AN369" s="770" t="s">
        <v>36</v>
      </c>
      <c r="AO369" s="770" t="s">
        <v>493</v>
      </c>
      <c r="AP369" s="770" t="s">
        <v>504</v>
      </c>
      <c r="AQ369" s="770" t="s">
        <v>501</v>
      </c>
      <c r="AR369" s="784" t="s">
        <v>502</v>
      </c>
      <c r="AS369" s="771">
        <v>6.94279853</v>
      </c>
      <c r="AT369" s="771">
        <v>3.018067157</v>
      </c>
      <c r="AU369" s="771">
        <v>13.2007717</v>
      </c>
      <c r="AV369" s="772" t="s">
        <v>233</v>
      </c>
      <c r="AW369" s="714"/>
    </row>
    <row r="370">
      <c r="A370" s="761"/>
      <c r="B370" s="769" t="s">
        <v>493</v>
      </c>
      <c r="C370" s="770" t="s">
        <v>606</v>
      </c>
      <c r="D370" s="770" t="s">
        <v>494</v>
      </c>
      <c r="E370" s="770" t="s">
        <v>508</v>
      </c>
      <c r="F370" s="770" t="s">
        <v>514</v>
      </c>
      <c r="G370" s="770" t="s">
        <v>103</v>
      </c>
      <c r="H370" s="770">
        <v>2019.0</v>
      </c>
      <c r="I370" s="771">
        <v>359.7702163</v>
      </c>
      <c r="J370" s="771">
        <v>459.7175229</v>
      </c>
      <c r="K370" s="772">
        <v>277.7044253</v>
      </c>
      <c r="M370" s="769" t="s">
        <v>493</v>
      </c>
      <c r="N370" s="770" t="s">
        <v>606</v>
      </c>
      <c r="O370" s="770" t="s">
        <v>494</v>
      </c>
      <c r="P370" s="770" t="s">
        <v>508</v>
      </c>
      <c r="Q370" s="770" t="s">
        <v>514</v>
      </c>
      <c r="R370" s="770" t="s">
        <v>497</v>
      </c>
      <c r="S370" s="770">
        <v>2019.0</v>
      </c>
      <c r="T370" s="771">
        <v>1163.77406</v>
      </c>
      <c r="U370" s="771">
        <v>1487.080653</v>
      </c>
      <c r="V370" s="772">
        <v>898.3100657</v>
      </c>
      <c r="X370" s="769" t="s">
        <v>519</v>
      </c>
      <c r="Y370" s="770" t="s">
        <v>494</v>
      </c>
      <c r="Z370" s="770" t="s">
        <v>509</v>
      </c>
      <c r="AA370" s="770" t="s">
        <v>36</v>
      </c>
      <c r="AB370" s="770" t="s">
        <v>493</v>
      </c>
      <c r="AC370" s="770" t="s">
        <v>103</v>
      </c>
      <c r="AD370" s="770" t="s">
        <v>501</v>
      </c>
      <c r="AE370" s="784" t="s">
        <v>502</v>
      </c>
      <c r="AF370" s="771">
        <v>231.9343086</v>
      </c>
      <c r="AG370" s="771">
        <v>129.198631</v>
      </c>
      <c r="AH370" s="771">
        <v>367.4314407</v>
      </c>
      <c r="AI370" s="772" t="s">
        <v>233</v>
      </c>
      <c r="AK370" s="769" t="s">
        <v>519</v>
      </c>
      <c r="AL370" s="770" t="s">
        <v>494</v>
      </c>
      <c r="AM370" s="770" t="s">
        <v>509</v>
      </c>
      <c r="AN370" s="770" t="s">
        <v>36</v>
      </c>
      <c r="AO370" s="770" t="s">
        <v>493</v>
      </c>
      <c r="AP370" s="770" t="s">
        <v>504</v>
      </c>
      <c r="AQ370" s="770" t="s">
        <v>501</v>
      </c>
      <c r="AR370" s="784" t="s">
        <v>502</v>
      </c>
      <c r="AS370" s="771">
        <v>1762.963668</v>
      </c>
      <c r="AT370" s="771">
        <v>982.0560565</v>
      </c>
      <c r="AU370" s="771">
        <v>2792.895473</v>
      </c>
      <c r="AV370" s="772" t="s">
        <v>233</v>
      </c>
      <c r="AW370" s="714"/>
    </row>
    <row r="371">
      <c r="A371" s="761"/>
      <c r="B371" s="769" t="s">
        <v>493</v>
      </c>
      <c r="C371" s="770" t="s">
        <v>606</v>
      </c>
      <c r="D371" s="770" t="s">
        <v>494</v>
      </c>
      <c r="E371" s="770" t="s">
        <v>512</v>
      </c>
      <c r="F371" s="770" t="s">
        <v>514</v>
      </c>
      <c r="G371" s="770" t="s">
        <v>103</v>
      </c>
      <c r="H371" s="770">
        <v>2019.0</v>
      </c>
      <c r="I371" s="771">
        <v>122.3004695</v>
      </c>
      <c r="J371" s="771">
        <v>154.4656333</v>
      </c>
      <c r="K371" s="772">
        <v>95.63927182</v>
      </c>
      <c r="M371" s="769" t="s">
        <v>493</v>
      </c>
      <c r="N371" s="770" t="s">
        <v>606</v>
      </c>
      <c r="O371" s="770" t="s">
        <v>494</v>
      </c>
      <c r="P371" s="770" t="s">
        <v>512</v>
      </c>
      <c r="Q371" s="770" t="s">
        <v>514</v>
      </c>
      <c r="R371" s="770" t="s">
        <v>497</v>
      </c>
      <c r="S371" s="770">
        <v>2019.0</v>
      </c>
      <c r="T371" s="771">
        <v>6268.396887</v>
      </c>
      <c r="U371" s="771">
        <v>7916.992458</v>
      </c>
      <c r="V371" s="772">
        <v>4901.901982</v>
      </c>
      <c r="X371" s="769" t="s">
        <v>519</v>
      </c>
      <c r="Y371" s="770" t="s">
        <v>494</v>
      </c>
      <c r="Z371" s="770" t="s">
        <v>513</v>
      </c>
      <c r="AA371" s="770" t="s">
        <v>36</v>
      </c>
      <c r="AB371" s="770" t="s">
        <v>493</v>
      </c>
      <c r="AC371" s="770" t="s">
        <v>103</v>
      </c>
      <c r="AD371" s="770" t="s">
        <v>501</v>
      </c>
      <c r="AE371" s="784" t="s">
        <v>502</v>
      </c>
      <c r="AF371" s="771">
        <v>4131.503659</v>
      </c>
      <c r="AG371" s="771">
        <v>3123.407251</v>
      </c>
      <c r="AH371" s="771">
        <v>5465.857287</v>
      </c>
      <c r="AI371" s="772" t="s">
        <v>233</v>
      </c>
      <c r="AK371" s="769" t="s">
        <v>519</v>
      </c>
      <c r="AL371" s="770" t="s">
        <v>494</v>
      </c>
      <c r="AM371" s="770" t="s">
        <v>513</v>
      </c>
      <c r="AN371" s="770" t="s">
        <v>36</v>
      </c>
      <c r="AO371" s="770" t="s">
        <v>493</v>
      </c>
      <c r="AP371" s="770" t="s">
        <v>504</v>
      </c>
      <c r="AQ371" s="770" t="s">
        <v>501</v>
      </c>
      <c r="AR371" s="784" t="s">
        <v>502</v>
      </c>
      <c r="AS371" s="771">
        <v>365.5453285</v>
      </c>
      <c r="AT371" s="771">
        <v>276.3514265</v>
      </c>
      <c r="AU371" s="771">
        <v>483.6056706</v>
      </c>
      <c r="AV371" s="772" t="s">
        <v>233</v>
      </c>
      <c r="AW371" s="714"/>
    </row>
    <row r="372">
      <c r="A372" s="761"/>
      <c r="B372" s="769" t="s">
        <v>493</v>
      </c>
      <c r="C372" s="770" t="s">
        <v>606</v>
      </c>
      <c r="D372" s="770" t="s">
        <v>494</v>
      </c>
      <c r="E372" s="770" t="s">
        <v>495</v>
      </c>
      <c r="F372" s="770" t="s">
        <v>518</v>
      </c>
      <c r="G372" s="770" t="s">
        <v>103</v>
      </c>
      <c r="H372" s="770">
        <v>2019.0</v>
      </c>
      <c r="I372" s="771">
        <v>115.8976064</v>
      </c>
      <c r="J372" s="771">
        <v>232.8520237</v>
      </c>
      <c r="K372" s="772">
        <v>45.33959811</v>
      </c>
      <c r="M372" s="769" t="s">
        <v>493</v>
      </c>
      <c r="N372" s="770" t="s">
        <v>606</v>
      </c>
      <c r="O372" s="770" t="s">
        <v>494</v>
      </c>
      <c r="P372" s="770" t="s">
        <v>495</v>
      </c>
      <c r="Q372" s="770" t="s">
        <v>518</v>
      </c>
      <c r="R372" s="770" t="s">
        <v>497</v>
      </c>
      <c r="S372" s="770">
        <v>2019.0</v>
      </c>
      <c r="T372" s="771">
        <v>72.81539595</v>
      </c>
      <c r="U372" s="771">
        <v>146.2947582</v>
      </c>
      <c r="V372" s="772">
        <v>28.48566843</v>
      </c>
      <c r="X372" s="769" t="s">
        <v>521</v>
      </c>
      <c r="Y372" s="770" t="s">
        <v>494</v>
      </c>
      <c r="Z372" s="770" t="s">
        <v>499</v>
      </c>
      <c r="AA372" s="770" t="s">
        <v>36</v>
      </c>
      <c r="AB372" s="770" t="s">
        <v>493</v>
      </c>
      <c r="AC372" s="770" t="s">
        <v>103</v>
      </c>
      <c r="AD372" s="770" t="s">
        <v>501</v>
      </c>
      <c r="AE372" s="784" t="s">
        <v>502</v>
      </c>
      <c r="AF372" s="771">
        <v>0.0</v>
      </c>
      <c r="AG372" s="771">
        <v>0.0</v>
      </c>
      <c r="AH372" s="771">
        <v>0.0</v>
      </c>
      <c r="AI372" s="772" t="s">
        <v>233</v>
      </c>
      <c r="AK372" s="769" t="s">
        <v>521</v>
      </c>
      <c r="AL372" s="770" t="s">
        <v>494</v>
      </c>
      <c r="AM372" s="770" t="s">
        <v>499</v>
      </c>
      <c r="AN372" s="770" t="s">
        <v>36</v>
      </c>
      <c r="AO372" s="770" t="s">
        <v>493</v>
      </c>
      <c r="AP372" s="770" t="s">
        <v>504</v>
      </c>
      <c r="AQ372" s="770" t="s">
        <v>501</v>
      </c>
      <c r="AR372" s="784" t="s">
        <v>502</v>
      </c>
      <c r="AS372" s="771">
        <v>0.0</v>
      </c>
      <c r="AT372" s="771">
        <v>0.0</v>
      </c>
      <c r="AU372" s="771">
        <v>0.0</v>
      </c>
      <c r="AV372" s="772" t="s">
        <v>233</v>
      </c>
      <c r="AW372" s="714"/>
    </row>
    <row r="373">
      <c r="A373" s="761"/>
      <c r="B373" s="769" t="s">
        <v>493</v>
      </c>
      <c r="C373" s="770" t="s">
        <v>606</v>
      </c>
      <c r="D373" s="770" t="s">
        <v>494</v>
      </c>
      <c r="E373" s="770" t="s">
        <v>505</v>
      </c>
      <c r="F373" s="770" t="s">
        <v>518</v>
      </c>
      <c r="G373" s="770" t="s">
        <v>103</v>
      </c>
      <c r="H373" s="770">
        <v>2019.0</v>
      </c>
      <c r="I373" s="771">
        <v>2.335903558</v>
      </c>
      <c r="J373" s="771">
        <v>5.118744049</v>
      </c>
      <c r="K373" s="772">
        <v>0.847711857</v>
      </c>
      <c r="M373" s="769" t="s">
        <v>493</v>
      </c>
      <c r="N373" s="770" t="s">
        <v>606</v>
      </c>
      <c r="O373" s="770" t="s">
        <v>494</v>
      </c>
      <c r="P373" s="770" t="s">
        <v>505</v>
      </c>
      <c r="Q373" s="770" t="s">
        <v>518</v>
      </c>
      <c r="R373" s="770" t="s">
        <v>497</v>
      </c>
      <c r="S373" s="770">
        <v>2019.0</v>
      </c>
      <c r="T373" s="771">
        <v>355.2389599</v>
      </c>
      <c r="U373" s="771">
        <v>778.4470835</v>
      </c>
      <c r="V373" s="772">
        <v>128.9181128</v>
      </c>
      <c r="X373" s="769" t="s">
        <v>521</v>
      </c>
      <c r="Y373" s="770" t="s">
        <v>494</v>
      </c>
      <c r="Z373" s="770" t="s">
        <v>507</v>
      </c>
      <c r="AA373" s="770" t="s">
        <v>36</v>
      </c>
      <c r="AB373" s="770" t="s">
        <v>493</v>
      </c>
      <c r="AC373" s="770" t="s">
        <v>103</v>
      </c>
      <c r="AD373" s="770" t="s">
        <v>501</v>
      </c>
      <c r="AE373" s="784" t="s">
        <v>502</v>
      </c>
      <c r="AF373" s="771">
        <v>4.272886535</v>
      </c>
      <c r="AG373" s="771">
        <v>1.053790846</v>
      </c>
      <c r="AH373" s="771">
        <v>11.65891</v>
      </c>
      <c r="AI373" s="772" t="s">
        <v>233</v>
      </c>
      <c r="AK373" s="769" t="s">
        <v>521</v>
      </c>
      <c r="AL373" s="770" t="s">
        <v>494</v>
      </c>
      <c r="AM373" s="770" t="s">
        <v>507</v>
      </c>
      <c r="AN373" s="770" t="s">
        <v>36</v>
      </c>
      <c r="AO373" s="770" t="s">
        <v>493</v>
      </c>
      <c r="AP373" s="770" t="s">
        <v>504</v>
      </c>
      <c r="AQ373" s="770" t="s">
        <v>501</v>
      </c>
      <c r="AR373" s="784" t="s">
        <v>502</v>
      </c>
      <c r="AS373" s="771">
        <v>2.078820051</v>
      </c>
      <c r="AT373" s="771">
        <v>0.5126842291</v>
      </c>
      <c r="AU373" s="771">
        <v>5.672225481</v>
      </c>
      <c r="AV373" s="772" t="s">
        <v>233</v>
      </c>
      <c r="AW373" s="714"/>
    </row>
    <row r="374">
      <c r="A374" s="761"/>
      <c r="B374" s="769" t="s">
        <v>493</v>
      </c>
      <c r="C374" s="770" t="s">
        <v>606</v>
      </c>
      <c r="D374" s="770" t="s">
        <v>494</v>
      </c>
      <c r="E374" s="770" t="s">
        <v>508</v>
      </c>
      <c r="F374" s="770" t="s">
        <v>518</v>
      </c>
      <c r="G374" s="770" t="s">
        <v>103</v>
      </c>
      <c r="H374" s="770">
        <v>2019.0</v>
      </c>
      <c r="I374" s="771">
        <v>53.62334515</v>
      </c>
      <c r="J374" s="771">
        <v>120.8849905</v>
      </c>
      <c r="K374" s="772">
        <v>17.22827857</v>
      </c>
      <c r="M374" s="769" t="s">
        <v>493</v>
      </c>
      <c r="N374" s="770" t="s">
        <v>606</v>
      </c>
      <c r="O374" s="770" t="s">
        <v>494</v>
      </c>
      <c r="P374" s="770" t="s">
        <v>508</v>
      </c>
      <c r="Q374" s="770" t="s">
        <v>518</v>
      </c>
      <c r="R374" s="770" t="s">
        <v>497</v>
      </c>
      <c r="S374" s="770">
        <v>2019.0</v>
      </c>
      <c r="T374" s="771">
        <v>173.4592117</v>
      </c>
      <c r="U374" s="771">
        <v>391.0351939</v>
      </c>
      <c r="V374" s="772">
        <v>55.72952623</v>
      </c>
      <c r="X374" s="769" t="s">
        <v>521</v>
      </c>
      <c r="Y374" s="770" t="s">
        <v>494</v>
      </c>
      <c r="Z374" s="770" t="s">
        <v>509</v>
      </c>
      <c r="AA374" s="770" t="s">
        <v>36</v>
      </c>
      <c r="AB374" s="770" t="s">
        <v>493</v>
      </c>
      <c r="AC374" s="770" t="s">
        <v>103</v>
      </c>
      <c r="AD374" s="770" t="s">
        <v>501</v>
      </c>
      <c r="AE374" s="784" t="s">
        <v>502</v>
      </c>
      <c r="AF374" s="771">
        <v>0.0</v>
      </c>
      <c r="AG374" s="771">
        <v>0.0</v>
      </c>
      <c r="AH374" s="771">
        <v>0.0</v>
      </c>
      <c r="AI374" s="772" t="s">
        <v>233</v>
      </c>
      <c r="AK374" s="769" t="s">
        <v>521</v>
      </c>
      <c r="AL374" s="770" t="s">
        <v>494</v>
      </c>
      <c r="AM374" s="770" t="s">
        <v>509</v>
      </c>
      <c r="AN374" s="770" t="s">
        <v>36</v>
      </c>
      <c r="AO374" s="770" t="s">
        <v>493</v>
      </c>
      <c r="AP374" s="770" t="s">
        <v>504</v>
      </c>
      <c r="AQ374" s="770" t="s">
        <v>501</v>
      </c>
      <c r="AR374" s="784" t="s">
        <v>502</v>
      </c>
      <c r="AS374" s="771">
        <v>0.0</v>
      </c>
      <c r="AT374" s="771">
        <v>0.0</v>
      </c>
      <c r="AU374" s="771">
        <v>0.0</v>
      </c>
      <c r="AV374" s="772" t="s">
        <v>233</v>
      </c>
      <c r="AW374" s="714"/>
    </row>
    <row r="375">
      <c r="A375" s="761"/>
      <c r="B375" s="769" t="s">
        <v>493</v>
      </c>
      <c r="C375" s="770" t="s">
        <v>606</v>
      </c>
      <c r="D375" s="770" t="s">
        <v>494</v>
      </c>
      <c r="E375" s="770" t="s">
        <v>512</v>
      </c>
      <c r="F375" s="770" t="s">
        <v>518</v>
      </c>
      <c r="G375" s="770" t="s">
        <v>103</v>
      </c>
      <c r="H375" s="770">
        <v>2019.0</v>
      </c>
      <c r="I375" s="771">
        <v>5.777597508</v>
      </c>
      <c r="J375" s="771">
        <v>13.36450459</v>
      </c>
      <c r="K375" s="772">
        <v>1.799064609</v>
      </c>
      <c r="M375" s="769" t="s">
        <v>493</v>
      </c>
      <c r="N375" s="770" t="s">
        <v>606</v>
      </c>
      <c r="O375" s="770" t="s">
        <v>494</v>
      </c>
      <c r="P375" s="770" t="s">
        <v>512</v>
      </c>
      <c r="Q375" s="770" t="s">
        <v>518</v>
      </c>
      <c r="R375" s="770" t="s">
        <v>497</v>
      </c>
      <c r="S375" s="770">
        <v>2019.0</v>
      </c>
      <c r="T375" s="771">
        <v>296.1253901</v>
      </c>
      <c r="U375" s="771">
        <v>684.9852604</v>
      </c>
      <c r="V375" s="772">
        <v>92.20938434</v>
      </c>
      <c r="X375" s="769" t="s">
        <v>521</v>
      </c>
      <c r="Y375" s="770" t="s">
        <v>494</v>
      </c>
      <c r="Z375" s="770" t="s">
        <v>513</v>
      </c>
      <c r="AA375" s="770" t="s">
        <v>36</v>
      </c>
      <c r="AB375" s="770" t="s">
        <v>493</v>
      </c>
      <c r="AC375" s="770" t="s">
        <v>103</v>
      </c>
      <c r="AD375" s="770" t="s">
        <v>501</v>
      </c>
      <c r="AE375" s="784" t="s">
        <v>502</v>
      </c>
      <c r="AF375" s="771">
        <v>15.49645298</v>
      </c>
      <c r="AG375" s="771">
        <v>3.548812008</v>
      </c>
      <c r="AH375" s="771">
        <v>44.94041136</v>
      </c>
      <c r="AI375" s="772" t="s">
        <v>233</v>
      </c>
      <c r="AK375" s="769" t="s">
        <v>521</v>
      </c>
      <c r="AL375" s="770" t="s">
        <v>494</v>
      </c>
      <c r="AM375" s="770" t="s">
        <v>513</v>
      </c>
      <c r="AN375" s="770" t="s">
        <v>36</v>
      </c>
      <c r="AO375" s="770" t="s">
        <v>493</v>
      </c>
      <c r="AP375" s="770" t="s">
        <v>504</v>
      </c>
      <c r="AQ375" s="770" t="s">
        <v>501</v>
      </c>
      <c r="AR375" s="784" t="s">
        <v>502</v>
      </c>
      <c r="AS375" s="771">
        <v>1.371088219</v>
      </c>
      <c r="AT375" s="771">
        <v>0.3139901978</v>
      </c>
      <c r="AU375" s="771">
        <v>3.976217569</v>
      </c>
      <c r="AV375" s="772" t="s">
        <v>233</v>
      </c>
      <c r="AW375" s="714"/>
    </row>
    <row r="376">
      <c r="A376" s="761"/>
      <c r="B376" s="769" t="s">
        <v>493</v>
      </c>
      <c r="C376" s="770" t="s">
        <v>606</v>
      </c>
      <c r="D376" s="770" t="s">
        <v>494</v>
      </c>
      <c r="E376" s="770" t="s">
        <v>495</v>
      </c>
      <c r="F376" s="770" t="s">
        <v>519</v>
      </c>
      <c r="G376" s="770" t="s">
        <v>103</v>
      </c>
      <c r="H376" s="770">
        <v>2019.0</v>
      </c>
      <c r="I376" s="771">
        <v>633.1427112</v>
      </c>
      <c r="J376" s="771">
        <v>804.7401533</v>
      </c>
      <c r="K376" s="772">
        <v>496.5670884</v>
      </c>
      <c r="M376" s="769" t="s">
        <v>493</v>
      </c>
      <c r="N376" s="770" t="s">
        <v>606</v>
      </c>
      <c r="O376" s="770" t="s">
        <v>494</v>
      </c>
      <c r="P376" s="770" t="s">
        <v>495</v>
      </c>
      <c r="Q376" s="770" t="s">
        <v>519</v>
      </c>
      <c r="R376" s="770" t="s">
        <v>497</v>
      </c>
      <c r="S376" s="770">
        <v>2019.0</v>
      </c>
      <c r="T376" s="771">
        <v>397.7867933</v>
      </c>
      <c r="U376" s="771">
        <v>505.5969204</v>
      </c>
      <c r="V376" s="772">
        <v>311.9799474</v>
      </c>
      <c r="X376" s="769" t="s">
        <v>523</v>
      </c>
      <c r="Y376" s="770" t="s">
        <v>494</v>
      </c>
      <c r="Z376" s="770" t="s">
        <v>507</v>
      </c>
      <c r="AA376" s="770" t="s">
        <v>36</v>
      </c>
      <c r="AB376" s="770" t="s">
        <v>493</v>
      </c>
      <c r="AC376" s="770" t="s">
        <v>103</v>
      </c>
      <c r="AD376" s="770" t="s">
        <v>501</v>
      </c>
      <c r="AE376" s="784" t="s">
        <v>502</v>
      </c>
      <c r="AF376" s="771">
        <v>18.98935739</v>
      </c>
      <c r="AG376" s="771">
        <v>7.189845825</v>
      </c>
      <c r="AH376" s="771">
        <v>37.36009391</v>
      </c>
      <c r="AI376" s="772" t="s">
        <v>233</v>
      </c>
      <c r="AK376" s="769" t="s">
        <v>523</v>
      </c>
      <c r="AL376" s="770" t="s">
        <v>494</v>
      </c>
      <c r="AM376" s="770" t="s">
        <v>507</v>
      </c>
      <c r="AN376" s="770" t="s">
        <v>36</v>
      </c>
      <c r="AO376" s="770" t="s">
        <v>493</v>
      </c>
      <c r="AP376" s="770" t="s">
        <v>504</v>
      </c>
      <c r="AQ376" s="770" t="s">
        <v>501</v>
      </c>
      <c r="AR376" s="784" t="s">
        <v>502</v>
      </c>
      <c r="AS376" s="771">
        <v>9.23859236</v>
      </c>
      <c r="AT376" s="771">
        <v>3.497962218</v>
      </c>
      <c r="AU376" s="771">
        <v>18.17621687</v>
      </c>
      <c r="AV376" s="772" t="s">
        <v>233</v>
      </c>
      <c r="AW376" s="714"/>
    </row>
    <row r="377">
      <c r="A377" s="761"/>
      <c r="B377" s="769" t="s">
        <v>493</v>
      </c>
      <c r="C377" s="770" t="s">
        <v>606</v>
      </c>
      <c r="D377" s="770" t="s">
        <v>494</v>
      </c>
      <c r="E377" s="770" t="s">
        <v>505</v>
      </c>
      <c r="F377" s="770" t="s">
        <v>519</v>
      </c>
      <c r="G377" s="770" t="s">
        <v>103</v>
      </c>
      <c r="H377" s="770">
        <v>2019.0</v>
      </c>
      <c r="I377" s="771">
        <v>504.0148334</v>
      </c>
      <c r="J377" s="771">
        <v>634.8206335</v>
      </c>
      <c r="K377" s="772">
        <v>396.6314108</v>
      </c>
      <c r="M377" s="769" t="s">
        <v>493</v>
      </c>
      <c r="N377" s="770" t="s">
        <v>606</v>
      </c>
      <c r="O377" s="770" t="s">
        <v>494</v>
      </c>
      <c r="P377" s="770" t="s">
        <v>505</v>
      </c>
      <c r="Q377" s="770" t="s">
        <v>519</v>
      </c>
      <c r="R377" s="770" t="s">
        <v>497</v>
      </c>
      <c r="S377" s="770">
        <v>2019.0</v>
      </c>
      <c r="T377" s="771">
        <v>76649.44239</v>
      </c>
      <c r="U377" s="771">
        <v>96542.0943</v>
      </c>
      <c r="V377" s="772">
        <v>60318.81297</v>
      </c>
      <c r="X377" s="769" t="s">
        <v>523</v>
      </c>
      <c r="Y377" s="770" t="s">
        <v>494</v>
      </c>
      <c r="Z377" s="770" t="s">
        <v>513</v>
      </c>
      <c r="AA377" s="770" t="s">
        <v>36</v>
      </c>
      <c r="AB377" s="770" t="s">
        <v>493</v>
      </c>
      <c r="AC377" s="770" t="s">
        <v>103</v>
      </c>
      <c r="AD377" s="770" t="s">
        <v>501</v>
      </c>
      <c r="AE377" s="784" t="s">
        <v>502</v>
      </c>
      <c r="AF377" s="771">
        <v>26.03646214</v>
      </c>
      <c r="AG377" s="771">
        <v>9.990088954</v>
      </c>
      <c r="AH377" s="771">
        <v>48.96370791</v>
      </c>
      <c r="AI377" s="772" t="s">
        <v>233</v>
      </c>
      <c r="AK377" s="769" t="s">
        <v>523</v>
      </c>
      <c r="AL377" s="770" t="s">
        <v>494</v>
      </c>
      <c r="AM377" s="770" t="s">
        <v>513</v>
      </c>
      <c r="AN377" s="770" t="s">
        <v>36</v>
      </c>
      <c r="AO377" s="770" t="s">
        <v>493</v>
      </c>
      <c r="AP377" s="770" t="s">
        <v>504</v>
      </c>
      <c r="AQ377" s="770" t="s">
        <v>501</v>
      </c>
      <c r="AR377" s="784" t="s">
        <v>502</v>
      </c>
      <c r="AS377" s="771">
        <v>2.303642425</v>
      </c>
      <c r="AT377" s="771">
        <v>0.8838986118</v>
      </c>
      <c r="AU377" s="771">
        <v>4.332188997</v>
      </c>
      <c r="AV377" s="772" t="s">
        <v>233</v>
      </c>
      <c r="AW377" s="714"/>
    </row>
    <row r="378">
      <c r="A378" s="761"/>
      <c r="B378" s="769" t="s">
        <v>493</v>
      </c>
      <c r="C378" s="770" t="s">
        <v>606</v>
      </c>
      <c r="D378" s="770" t="s">
        <v>494</v>
      </c>
      <c r="E378" s="770" t="s">
        <v>508</v>
      </c>
      <c r="F378" s="770" t="s">
        <v>519</v>
      </c>
      <c r="G378" s="770" t="s">
        <v>103</v>
      </c>
      <c r="H378" s="770">
        <v>2019.0</v>
      </c>
      <c r="I378" s="771">
        <v>37.52761898</v>
      </c>
      <c r="J378" s="771">
        <v>65.53850439</v>
      </c>
      <c r="K378" s="772">
        <v>16.94808087</v>
      </c>
      <c r="M378" s="769" t="s">
        <v>493</v>
      </c>
      <c r="N378" s="770" t="s">
        <v>606</v>
      </c>
      <c r="O378" s="770" t="s">
        <v>494</v>
      </c>
      <c r="P378" s="770" t="s">
        <v>508</v>
      </c>
      <c r="Q378" s="770" t="s">
        <v>519</v>
      </c>
      <c r="R378" s="770" t="s">
        <v>497</v>
      </c>
      <c r="S378" s="770">
        <v>2019.0</v>
      </c>
      <c r="T378" s="771">
        <v>121.3932325</v>
      </c>
      <c r="U378" s="771">
        <v>212.0020166</v>
      </c>
      <c r="V378" s="772">
        <v>54.82315098</v>
      </c>
      <c r="X378" s="769" t="s">
        <v>496</v>
      </c>
      <c r="Y378" s="770" t="s">
        <v>494</v>
      </c>
      <c r="Z378" s="770" t="s">
        <v>499</v>
      </c>
      <c r="AA378" s="770" t="s">
        <v>607</v>
      </c>
      <c r="AB378" s="770" t="s">
        <v>493</v>
      </c>
      <c r="AC378" s="770" t="s">
        <v>103</v>
      </c>
      <c r="AD378" s="770" t="s">
        <v>501</v>
      </c>
      <c r="AE378" s="784" t="s">
        <v>502</v>
      </c>
      <c r="AF378" s="771">
        <v>9591.616886</v>
      </c>
      <c r="AG378" s="771">
        <v>8051.756873</v>
      </c>
      <c r="AH378" s="771">
        <v>11540.80508</v>
      </c>
      <c r="AI378" s="772" t="s">
        <v>233</v>
      </c>
      <c r="AK378" s="769" t="s">
        <v>496</v>
      </c>
      <c r="AL378" s="770" t="s">
        <v>494</v>
      </c>
      <c r="AM378" s="770" t="s">
        <v>499</v>
      </c>
      <c r="AN378" s="770" t="s">
        <v>607</v>
      </c>
      <c r="AO378" s="770" t="s">
        <v>493</v>
      </c>
      <c r="AP378" s="770" t="s">
        <v>504</v>
      </c>
      <c r="AQ378" s="770" t="s">
        <v>501</v>
      </c>
      <c r="AR378" s="784" t="s">
        <v>502</v>
      </c>
      <c r="AS378" s="771">
        <v>198505.7155</v>
      </c>
      <c r="AT378" s="771">
        <v>166637.156</v>
      </c>
      <c r="AU378" s="771">
        <v>238845.6292</v>
      </c>
      <c r="AV378" s="772" t="s">
        <v>233</v>
      </c>
      <c r="AW378" s="714"/>
    </row>
    <row r="379">
      <c r="A379" s="761"/>
      <c r="B379" s="769" t="s">
        <v>493</v>
      </c>
      <c r="C379" s="770" t="s">
        <v>606</v>
      </c>
      <c r="D379" s="770" t="s">
        <v>494</v>
      </c>
      <c r="E379" s="770" t="s">
        <v>512</v>
      </c>
      <c r="F379" s="770" t="s">
        <v>519</v>
      </c>
      <c r="G379" s="770" t="s">
        <v>103</v>
      </c>
      <c r="H379" s="770">
        <v>2019.0</v>
      </c>
      <c r="I379" s="771">
        <v>87.34586327</v>
      </c>
      <c r="J379" s="771">
        <v>112.4982603</v>
      </c>
      <c r="K379" s="772">
        <v>65.35270725</v>
      </c>
      <c r="M379" s="769" t="s">
        <v>493</v>
      </c>
      <c r="N379" s="770" t="s">
        <v>606</v>
      </c>
      <c r="O379" s="770" t="s">
        <v>494</v>
      </c>
      <c r="P379" s="770" t="s">
        <v>512</v>
      </c>
      <c r="Q379" s="770" t="s">
        <v>519</v>
      </c>
      <c r="R379" s="770" t="s">
        <v>497</v>
      </c>
      <c r="S379" s="770">
        <v>2019.0</v>
      </c>
      <c r="T379" s="771">
        <v>4476.831035</v>
      </c>
      <c r="U379" s="771">
        <v>5765.993767</v>
      </c>
      <c r="V379" s="772">
        <v>3349.592265</v>
      </c>
      <c r="X379" s="769" t="s">
        <v>496</v>
      </c>
      <c r="Y379" s="770" t="s">
        <v>494</v>
      </c>
      <c r="Z379" s="770" t="s">
        <v>507</v>
      </c>
      <c r="AA379" s="770" t="s">
        <v>607</v>
      </c>
      <c r="AB379" s="770" t="s">
        <v>493</v>
      </c>
      <c r="AC379" s="770" t="s">
        <v>103</v>
      </c>
      <c r="AD379" s="770" t="s">
        <v>501</v>
      </c>
      <c r="AE379" s="784" t="s">
        <v>502</v>
      </c>
      <c r="AF379" s="771">
        <v>11272.14572</v>
      </c>
      <c r="AG379" s="771">
        <v>9494.996948</v>
      </c>
      <c r="AH379" s="771">
        <v>13518.45586</v>
      </c>
      <c r="AI379" s="772" t="s">
        <v>233</v>
      </c>
      <c r="AK379" s="769" t="s">
        <v>496</v>
      </c>
      <c r="AL379" s="770" t="s">
        <v>494</v>
      </c>
      <c r="AM379" s="770" t="s">
        <v>507</v>
      </c>
      <c r="AN379" s="770" t="s">
        <v>607</v>
      </c>
      <c r="AO379" s="770" t="s">
        <v>493</v>
      </c>
      <c r="AP379" s="770" t="s">
        <v>504</v>
      </c>
      <c r="AQ379" s="770" t="s">
        <v>501</v>
      </c>
      <c r="AR379" s="784" t="s">
        <v>502</v>
      </c>
      <c r="AS379" s="771">
        <v>5178.54259</v>
      </c>
      <c r="AT379" s="771">
        <v>4362.101709</v>
      </c>
      <c r="AU379" s="771">
        <v>6210.521155</v>
      </c>
      <c r="AV379" s="772" t="s">
        <v>233</v>
      </c>
      <c r="AW379" s="714"/>
    </row>
    <row r="380">
      <c r="A380" s="761"/>
      <c r="B380" s="769" t="s">
        <v>493</v>
      </c>
      <c r="C380" s="770" t="s">
        <v>606</v>
      </c>
      <c r="D380" s="770" t="s">
        <v>494</v>
      </c>
      <c r="E380" s="770" t="s">
        <v>495</v>
      </c>
      <c r="F380" s="770" t="s">
        <v>521</v>
      </c>
      <c r="G380" s="770" t="s">
        <v>103</v>
      </c>
      <c r="H380" s="770">
        <v>2019.0</v>
      </c>
      <c r="I380" s="771">
        <v>12.34759077</v>
      </c>
      <c r="J380" s="771">
        <v>28.03917256</v>
      </c>
      <c r="K380" s="772">
        <v>3.784779559</v>
      </c>
      <c r="M380" s="769" t="s">
        <v>493</v>
      </c>
      <c r="N380" s="770" t="s">
        <v>606</v>
      </c>
      <c r="O380" s="770" t="s">
        <v>494</v>
      </c>
      <c r="P380" s="770" t="s">
        <v>495</v>
      </c>
      <c r="Q380" s="770" t="s">
        <v>521</v>
      </c>
      <c r="R380" s="770" t="s">
        <v>497</v>
      </c>
      <c r="S380" s="770">
        <v>2019.0</v>
      </c>
      <c r="T380" s="771">
        <v>7.75766419</v>
      </c>
      <c r="U380" s="771">
        <v>17.61626935</v>
      </c>
      <c r="V380" s="772">
        <v>2.377876737</v>
      </c>
      <c r="X380" s="769" t="s">
        <v>496</v>
      </c>
      <c r="Y380" s="770" t="s">
        <v>494</v>
      </c>
      <c r="Z380" s="770" t="s">
        <v>509</v>
      </c>
      <c r="AA380" s="770" t="s">
        <v>607</v>
      </c>
      <c r="AB380" s="770" t="s">
        <v>493</v>
      </c>
      <c r="AC380" s="770" t="s">
        <v>103</v>
      </c>
      <c r="AD380" s="770" t="s">
        <v>501</v>
      </c>
      <c r="AE380" s="784" t="s">
        <v>502</v>
      </c>
      <c r="AF380" s="771">
        <v>2975.123481</v>
      </c>
      <c r="AG380" s="771">
        <v>2490.72471</v>
      </c>
      <c r="AH380" s="771">
        <v>3594.351888</v>
      </c>
      <c r="AI380" s="772" t="s">
        <v>233</v>
      </c>
      <c r="AK380" s="769" t="s">
        <v>496</v>
      </c>
      <c r="AL380" s="770" t="s">
        <v>494</v>
      </c>
      <c r="AM380" s="770" t="s">
        <v>509</v>
      </c>
      <c r="AN380" s="770" t="s">
        <v>607</v>
      </c>
      <c r="AO380" s="770" t="s">
        <v>493</v>
      </c>
      <c r="AP380" s="770" t="s">
        <v>504</v>
      </c>
      <c r="AQ380" s="770" t="s">
        <v>501</v>
      </c>
      <c r="AR380" s="784" t="s">
        <v>502</v>
      </c>
      <c r="AS380" s="771">
        <v>21052.71618</v>
      </c>
      <c r="AT380" s="771">
        <v>17624.9896</v>
      </c>
      <c r="AU380" s="771">
        <v>25434.53092</v>
      </c>
      <c r="AV380" s="772" t="s">
        <v>233</v>
      </c>
      <c r="AW380" s="714"/>
    </row>
    <row r="381">
      <c r="A381" s="761"/>
      <c r="B381" s="769" t="s">
        <v>493</v>
      </c>
      <c r="C381" s="770" t="s">
        <v>606</v>
      </c>
      <c r="D381" s="770" t="s">
        <v>494</v>
      </c>
      <c r="E381" s="770" t="s">
        <v>505</v>
      </c>
      <c r="F381" s="770" t="s">
        <v>521</v>
      </c>
      <c r="G381" s="770" t="s">
        <v>103</v>
      </c>
      <c r="H381" s="770">
        <v>2019.0</v>
      </c>
      <c r="I381" s="771">
        <v>0.0</v>
      </c>
      <c r="J381" s="771">
        <v>0.0</v>
      </c>
      <c r="K381" s="772">
        <v>0.0</v>
      </c>
      <c r="M381" s="769" t="s">
        <v>493</v>
      </c>
      <c r="N381" s="770" t="s">
        <v>606</v>
      </c>
      <c r="O381" s="770" t="s">
        <v>494</v>
      </c>
      <c r="P381" s="770" t="s">
        <v>505</v>
      </c>
      <c r="Q381" s="770" t="s">
        <v>521</v>
      </c>
      <c r="R381" s="770" t="s">
        <v>497</v>
      </c>
      <c r="S381" s="770">
        <v>2019.0</v>
      </c>
      <c r="T381" s="771">
        <v>0.0</v>
      </c>
      <c r="U381" s="771">
        <v>0.0</v>
      </c>
      <c r="V381" s="772">
        <v>0.0</v>
      </c>
      <c r="X381" s="769" t="s">
        <v>496</v>
      </c>
      <c r="Y381" s="770" t="s">
        <v>494</v>
      </c>
      <c r="Z381" s="770" t="s">
        <v>513</v>
      </c>
      <c r="AA381" s="770" t="s">
        <v>607</v>
      </c>
      <c r="AB381" s="770" t="s">
        <v>493</v>
      </c>
      <c r="AC381" s="770" t="s">
        <v>103</v>
      </c>
      <c r="AD381" s="770" t="s">
        <v>501</v>
      </c>
      <c r="AE381" s="784" t="s">
        <v>502</v>
      </c>
      <c r="AF381" s="771">
        <v>43278.62978</v>
      </c>
      <c r="AG381" s="771">
        <v>36556.42094</v>
      </c>
      <c r="AH381" s="771">
        <v>51748.38184</v>
      </c>
      <c r="AI381" s="772" t="s">
        <v>233</v>
      </c>
      <c r="AK381" s="769" t="s">
        <v>496</v>
      </c>
      <c r="AL381" s="770" t="s">
        <v>494</v>
      </c>
      <c r="AM381" s="770" t="s">
        <v>513</v>
      </c>
      <c r="AN381" s="770" t="s">
        <v>607</v>
      </c>
      <c r="AO381" s="770" t="s">
        <v>493</v>
      </c>
      <c r="AP381" s="770" t="s">
        <v>504</v>
      </c>
      <c r="AQ381" s="770" t="s">
        <v>501</v>
      </c>
      <c r="AR381" s="784" t="s">
        <v>502</v>
      </c>
      <c r="AS381" s="771">
        <v>3985.71256</v>
      </c>
      <c r="AT381" s="771">
        <v>3366.635839</v>
      </c>
      <c r="AU381" s="771">
        <v>4765.727947</v>
      </c>
      <c r="AV381" s="772" t="s">
        <v>233</v>
      </c>
      <c r="AW381" s="714"/>
    </row>
    <row r="382">
      <c r="A382" s="761"/>
      <c r="B382" s="769" t="s">
        <v>493</v>
      </c>
      <c r="C382" s="770" t="s">
        <v>606</v>
      </c>
      <c r="D382" s="770" t="s">
        <v>494</v>
      </c>
      <c r="E382" s="770" t="s">
        <v>508</v>
      </c>
      <c r="F382" s="770" t="s">
        <v>521</v>
      </c>
      <c r="G382" s="770" t="s">
        <v>103</v>
      </c>
      <c r="H382" s="770">
        <v>2019.0</v>
      </c>
      <c r="I382" s="771">
        <v>3.24495174</v>
      </c>
      <c r="J382" s="771">
        <v>7.730761009</v>
      </c>
      <c r="K382" s="772">
        <v>0.9945077168</v>
      </c>
      <c r="M382" s="769" t="s">
        <v>493</v>
      </c>
      <c r="N382" s="770" t="s">
        <v>606</v>
      </c>
      <c r="O382" s="770" t="s">
        <v>494</v>
      </c>
      <c r="P382" s="770" t="s">
        <v>508</v>
      </c>
      <c r="Q382" s="770" t="s">
        <v>521</v>
      </c>
      <c r="R382" s="770" t="s">
        <v>497</v>
      </c>
      <c r="S382" s="770">
        <v>2019.0</v>
      </c>
      <c r="T382" s="771">
        <v>10.49667396</v>
      </c>
      <c r="U382" s="771">
        <v>25.00723718</v>
      </c>
      <c r="V382" s="772">
        <v>3.217004163</v>
      </c>
      <c r="X382" s="769" t="s">
        <v>514</v>
      </c>
      <c r="Y382" s="770" t="s">
        <v>494</v>
      </c>
      <c r="Z382" s="770" t="s">
        <v>499</v>
      </c>
      <c r="AA382" s="770" t="s">
        <v>607</v>
      </c>
      <c r="AB382" s="770" t="s">
        <v>493</v>
      </c>
      <c r="AC382" s="770" t="s">
        <v>103</v>
      </c>
      <c r="AD382" s="770" t="s">
        <v>501</v>
      </c>
      <c r="AE382" s="784" t="s">
        <v>502</v>
      </c>
      <c r="AF382" s="771">
        <v>8902.169964</v>
      </c>
      <c r="AG382" s="771">
        <v>7377.772653</v>
      </c>
      <c r="AH382" s="771">
        <v>10768.19298</v>
      </c>
      <c r="AI382" s="772" t="s">
        <v>233</v>
      </c>
      <c r="AK382" s="769" t="s">
        <v>514</v>
      </c>
      <c r="AL382" s="770" t="s">
        <v>494</v>
      </c>
      <c r="AM382" s="770" t="s">
        <v>499</v>
      </c>
      <c r="AN382" s="770" t="s">
        <v>607</v>
      </c>
      <c r="AO382" s="770" t="s">
        <v>493</v>
      </c>
      <c r="AP382" s="770" t="s">
        <v>504</v>
      </c>
      <c r="AQ382" s="770" t="s">
        <v>501</v>
      </c>
      <c r="AR382" s="784" t="s">
        <v>502</v>
      </c>
      <c r="AS382" s="771">
        <v>184237.0937</v>
      </c>
      <c r="AT382" s="771">
        <v>152688.5464</v>
      </c>
      <c r="AU382" s="771">
        <v>222855.8415</v>
      </c>
      <c r="AV382" s="772" t="s">
        <v>233</v>
      </c>
      <c r="AW382" s="714"/>
    </row>
    <row r="383">
      <c r="A383" s="761"/>
      <c r="B383" s="769" t="s">
        <v>493</v>
      </c>
      <c r="C383" s="770" t="s">
        <v>606</v>
      </c>
      <c r="D383" s="770" t="s">
        <v>494</v>
      </c>
      <c r="E383" s="770" t="s">
        <v>512</v>
      </c>
      <c r="F383" s="770" t="s">
        <v>521</v>
      </c>
      <c r="G383" s="770" t="s">
        <v>103</v>
      </c>
      <c r="H383" s="770">
        <v>2019.0</v>
      </c>
      <c r="I383" s="771">
        <v>0.0</v>
      </c>
      <c r="J383" s="771">
        <v>0.0</v>
      </c>
      <c r="K383" s="772">
        <v>0.0</v>
      </c>
      <c r="M383" s="769" t="s">
        <v>493</v>
      </c>
      <c r="N383" s="770" t="s">
        <v>606</v>
      </c>
      <c r="O383" s="770" t="s">
        <v>494</v>
      </c>
      <c r="P383" s="770" t="s">
        <v>512</v>
      </c>
      <c r="Q383" s="770" t="s">
        <v>521</v>
      </c>
      <c r="R383" s="770" t="s">
        <v>497</v>
      </c>
      <c r="S383" s="770">
        <v>2019.0</v>
      </c>
      <c r="T383" s="771">
        <v>0.0</v>
      </c>
      <c r="U383" s="771">
        <v>0.0</v>
      </c>
      <c r="V383" s="772">
        <v>0.0</v>
      </c>
      <c r="X383" s="769" t="s">
        <v>514</v>
      </c>
      <c r="Y383" s="770" t="s">
        <v>494</v>
      </c>
      <c r="Z383" s="770" t="s">
        <v>507</v>
      </c>
      <c r="AA383" s="770" t="s">
        <v>607</v>
      </c>
      <c r="AB383" s="770" t="s">
        <v>493</v>
      </c>
      <c r="AC383" s="770" t="s">
        <v>103</v>
      </c>
      <c r="AD383" s="770" t="s">
        <v>501</v>
      </c>
      <c r="AE383" s="784" t="s">
        <v>502</v>
      </c>
      <c r="AF383" s="771">
        <v>9661.172854</v>
      </c>
      <c r="AG383" s="771">
        <v>7888.915089</v>
      </c>
      <c r="AH383" s="771">
        <v>11992.52963</v>
      </c>
      <c r="AI383" s="772" t="s">
        <v>233</v>
      </c>
      <c r="AK383" s="769" t="s">
        <v>514</v>
      </c>
      <c r="AL383" s="770" t="s">
        <v>494</v>
      </c>
      <c r="AM383" s="770" t="s">
        <v>507</v>
      </c>
      <c r="AN383" s="770" t="s">
        <v>607</v>
      </c>
      <c r="AO383" s="770" t="s">
        <v>493</v>
      </c>
      <c r="AP383" s="770" t="s">
        <v>504</v>
      </c>
      <c r="AQ383" s="770" t="s">
        <v>501</v>
      </c>
      <c r="AR383" s="784" t="s">
        <v>502</v>
      </c>
      <c r="AS383" s="771">
        <v>4438.444672</v>
      </c>
      <c r="AT383" s="771">
        <v>3624.250769</v>
      </c>
      <c r="AU383" s="771">
        <v>5509.494555</v>
      </c>
      <c r="AV383" s="772" t="s">
        <v>233</v>
      </c>
      <c r="AW383" s="714"/>
    </row>
    <row r="384">
      <c r="A384" s="761"/>
      <c r="B384" s="769" t="s">
        <v>493</v>
      </c>
      <c r="C384" s="770" t="s">
        <v>606</v>
      </c>
      <c r="D384" s="770" t="s">
        <v>494</v>
      </c>
      <c r="E384" s="770" t="s">
        <v>495</v>
      </c>
      <c r="F384" s="770" t="s">
        <v>523</v>
      </c>
      <c r="G384" s="770" t="s">
        <v>103</v>
      </c>
      <c r="H384" s="770">
        <v>2019.0</v>
      </c>
      <c r="I384" s="771">
        <v>107.7790789</v>
      </c>
      <c r="J384" s="771">
        <v>182.4564695</v>
      </c>
      <c r="K384" s="772">
        <v>55.376589</v>
      </c>
      <c r="M384" s="769" t="s">
        <v>493</v>
      </c>
      <c r="N384" s="770" t="s">
        <v>606</v>
      </c>
      <c r="O384" s="770" t="s">
        <v>494</v>
      </c>
      <c r="P384" s="770" t="s">
        <v>495</v>
      </c>
      <c r="Q384" s="770" t="s">
        <v>523</v>
      </c>
      <c r="R384" s="770" t="s">
        <v>497</v>
      </c>
      <c r="S384" s="770">
        <v>2019.0</v>
      </c>
      <c r="T384" s="771">
        <v>67.71474019</v>
      </c>
      <c r="U384" s="771">
        <v>114.6325665</v>
      </c>
      <c r="V384" s="772">
        <v>34.79164392</v>
      </c>
      <c r="X384" s="769" t="s">
        <v>514</v>
      </c>
      <c r="Y384" s="770" t="s">
        <v>494</v>
      </c>
      <c r="Z384" s="770" t="s">
        <v>509</v>
      </c>
      <c r="AA384" s="770" t="s">
        <v>607</v>
      </c>
      <c r="AB384" s="770" t="s">
        <v>493</v>
      </c>
      <c r="AC384" s="770" t="s">
        <v>103</v>
      </c>
      <c r="AD384" s="770" t="s">
        <v>501</v>
      </c>
      <c r="AE384" s="784" t="s">
        <v>502</v>
      </c>
      <c r="AF384" s="771">
        <v>2641.072807</v>
      </c>
      <c r="AG384" s="771">
        <v>2169.660378</v>
      </c>
      <c r="AH384" s="771">
        <v>3238.425313</v>
      </c>
      <c r="AI384" s="772" t="s">
        <v>233</v>
      </c>
      <c r="AK384" s="769" t="s">
        <v>514</v>
      </c>
      <c r="AL384" s="770" t="s">
        <v>494</v>
      </c>
      <c r="AM384" s="770" t="s">
        <v>509</v>
      </c>
      <c r="AN384" s="770" t="s">
        <v>607</v>
      </c>
      <c r="AO384" s="770" t="s">
        <v>493</v>
      </c>
      <c r="AP384" s="770" t="s">
        <v>504</v>
      </c>
      <c r="AQ384" s="770" t="s">
        <v>501</v>
      </c>
      <c r="AR384" s="784" t="s">
        <v>502</v>
      </c>
      <c r="AS384" s="771">
        <v>18688.89025</v>
      </c>
      <c r="AT384" s="771">
        <v>15353.05827</v>
      </c>
      <c r="AU384" s="771">
        <v>22915.90565</v>
      </c>
      <c r="AV384" s="772" t="s">
        <v>233</v>
      </c>
      <c r="AW384" s="714"/>
    </row>
    <row r="385">
      <c r="A385" s="761"/>
      <c r="B385" s="769" t="s">
        <v>493</v>
      </c>
      <c r="C385" s="770" t="s">
        <v>606</v>
      </c>
      <c r="D385" s="770" t="s">
        <v>494</v>
      </c>
      <c r="E385" s="770" t="s">
        <v>505</v>
      </c>
      <c r="F385" s="770" t="s">
        <v>523</v>
      </c>
      <c r="G385" s="770" t="s">
        <v>103</v>
      </c>
      <c r="H385" s="770">
        <v>2019.0</v>
      </c>
      <c r="I385" s="771">
        <v>0.0</v>
      </c>
      <c r="J385" s="771">
        <v>0.0</v>
      </c>
      <c r="K385" s="772">
        <v>0.0</v>
      </c>
      <c r="M385" s="769" t="s">
        <v>493</v>
      </c>
      <c r="N385" s="770" t="s">
        <v>606</v>
      </c>
      <c r="O385" s="770" t="s">
        <v>494</v>
      </c>
      <c r="P385" s="770" t="s">
        <v>505</v>
      </c>
      <c r="Q385" s="770" t="s">
        <v>523</v>
      </c>
      <c r="R385" s="770" t="s">
        <v>497</v>
      </c>
      <c r="S385" s="770">
        <v>2019.0</v>
      </c>
      <c r="T385" s="771">
        <v>0.0</v>
      </c>
      <c r="U385" s="771">
        <v>0.0</v>
      </c>
      <c r="V385" s="772">
        <v>0.0</v>
      </c>
      <c r="X385" s="769" t="s">
        <v>514</v>
      </c>
      <c r="Y385" s="770" t="s">
        <v>494</v>
      </c>
      <c r="Z385" s="770" t="s">
        <v>513</v>
      </c>
      <c r="AA385" s="770" t="s">
        <v>607</v>
      </c>
      <c r="AB385" s="770" t="s">
        <v>493</v>
      </c>
      <c r="AC385" s="770" t="s">
        <v>103</v>
      </c>
      <c r="AD385" s="770" t="s">
        <v>501</v>
      </c>
      <c r="AE385" s="784" t="s">
        <v>502</v>
      </c>
      <c r="AF385" s="771">
        <v>37447.9678</v>
      </c>
      <c r="AG385" s="771">
        <v>30800.28803</v>
      </c>
      <c r="AH385" s="771">
        <v>45712.58779</v>
      </c>
      <c r="AI385" s="772" t="s">
        <v>233</v>
      </c>
      <c r="AK385" s="769" t="s">
        <v>514</v>
      </c>
      <c r="AL385" s="770" t="s">
        <v>494</v>
      </c>
      <c r="AM385" s="770" t="s">
        <v>513</v>
      </c>
      <c r="AN385" s="770" t="s">
        <v>607</v>
      </c>
      <c r="AO385" s="770" t="s">
        <v>493</v>
      </c>
      <c r="AP385" s="770" t="s">
        <v>504</v>
      </c>
      <c r="AQ385" s="770" t="s">
        <v>501</v>
      </c>
      <c r="AR385" s="784" t="s">
        <v>502</v>
      </c>
      <c r="AS385" s="771">
        <v>3448.74217</v>
      </c>
      <c r="AT385" s="771">
        <v>2836.529148</v>
      </c>
      <c r="AU385" s="771">
        <v>4209.866075</v>
      </c>
      <c r="AV385" s="772" t="s">
        <v>233</v>
      </c>
      <c r="AW385" s="714"/>
    </row>
    <row r="386">
      <c r="A386" s="761"/>
      <c r="B386" s="769" t="s">
        <v>493</v>
      </c>
      <c r="C386" s="770" t="s">
        <v>606</v>
      </c>
      <c r="D386" s="770" t="s">
        <v>494</v>
      </c>
      <c r="E386" s="770" t="s">
        <v>508</v>
      </c>
      <c r="F386" s="770" t="s">
        <v>523</v>
      </c>
      <c r="G386" s="770" t="s">
        <v>103</v>
      </c>
      <c r="H386" s="770">
        <v>2019.0</v>
      </c>
      <c r="I386" s="771">
        <v>45.80639265</v>
      </c>
      <c r="J386" s="771">
        <v>84.55898007</v>
      </c>
      <c r="K386" s="772">
        <v>20.53756034</v>
      </c>
      <c r="M386" s="769" t="s">
        <v>493</v>
      </c>
      <c r="N386" s="770" t="s">
        <v>606</v>
      </c>
      <c r="O386" s="770" t="s">
        <v>494</v>
      </c>
      <c r="P386" s="770" t="s">
        <v>508</v>
      </c>
      <c r="Q386" s="770" t="s">
        <v>523</v>
      </c>
      <c r="R386" s="770" t="s">
        <v>497</v>
      </c>
      <c r="S386" s="770">
        <v>2019.0</v>
      </c>
      <c r="T386" s="771">
        <v>148.1731649</v>
      </c>
      <c r="U386" s="771">
        <v>273.528889</v>
      </c>
      <c r="V386" s="772">
        <v>66.43429307</v>
      </c>
      <c r="X386" s="769" t="s">
        <v>518</v>
      </c>
      <c r="Y386" s="770" t="s">
        <v>494</v>
      </c>
      <c r="Z386" s="770" t="s">
        <v>499</v>
      </c>
      <c r="AA386" s="770" t="s">
        <v>607</v>
      </c>
      <c r="AB386" s="770" t="s">
        <v>493</v>
      </c>
      <c r="AC386" s="770" t="s">
        <v>103</v>
      </c>
      <c r="AD386" s="770" t="s">
        <v>501</v>
      </c>
      <c r="AE386" s="784" t="s">
        <v>502</v>
      </c>
      <c r="AF386" s="771">
        <v>110.1431725</v>
      </c>
      <c r="AG386" s="771">
        <v>47.29456967</v>
      </c>
      <c r="AH386" s="771">
        <v>214.9674517</v>
      </c>
      <c r="AI386" s="772" t="s">
        <v>233</v>
      </c>
      <c r="AK386" s="769" t="s">
        <v>518</v>
      </c>
      <c r="AL386" s="770" t="s">
        <v>494</v>
      </c>
      <c r="AM386" s="770" t="s">
        <v>499</v>
      </c>
      <c r="AN386" s="770" t="s">
        <v>607</v>
      </c>
      <c r="AO386" s="770" t="s">
        <v>493</v>
      </c>
      <c r="AP386" s="770" t="s">
        <v>504</v>
      </c>
      <c r="AQ386" s="770" t="s">
        <v>501</v>
      </c>
      <c r="AR386" s="784" t="s">
        <v>502</v>
      </c>
      <c r="AS386" s="771">
        <v>2279.495682</v>
      </c>
      <c r="AT386" s="771">
        <v>978.7966413</v>
      </c>
      <c r="AU386" s="771">
        <v>4448.91287</v>
      </c>
      <c r="AV386" s="772" t="s">
        <v>233</v>
      </c>
      <c r="AW386" s="714"/>
    </row>
    <row r="387">
      <c r="A387" s="761"/>
      <c r="B387" s="769" t="s">
        <v>493</v>
      </c>
      <c r="C387" s="770" t="s">
        <v>606</v>
      </c>
      <c r="D387" s="770" t="s">
        <v>494</v>
      </c>
      <c r="E387" s="770" t="s">
        <v>512</v>
      </c>
      <c r="F387" s="770" t="s">
        <v>523</v>
      </c>
      <c r="G387" s="770" t="s">
        <v>103</v>
      </c>
      <c r="H387" s="770">
        <v>2019.0</v>
      </c>
      <c r="I387" s="771">
        <v>0.0</v>
      </c>
      <c r="J387" s="771">
        <v>0.0</v>
      </c>
      <c r="K387" s="772">
        <v>0.0</v>
      </c>
      <c r="M387" s="769" t="s">
        <v>493</v>
      </c>
      <c r="N387" s="770" t="s">
        <v>606</v>
      </c>
      <c r="O387" s="770" t="s">
        <v>494</v>
      </c>
      <c r="P387" s="770" t="s">
        <v>512</v>
      </c>
      <c r="Q387" s="770" t="s">
        <v>523</v>
      </c>
      <c r="R387" s="770" t="s">
        <v>497</v>
      </c>
      <c r="S387" s="770">
        <v>2019.0</v>
      </c>
      <c r="T387" s="771">
        <v>0.0</v>
      </c>
      <c r="U387" s="771">
        <v>0.0</v>
      </c>
      <c r="V387" s="772">
        <v>0.0</v>
      </c>
      <c r="X387" s="769" t="s">
        <v>518</v>
      </c>
      <c r="Y387" s="770" t="s">
        <v>494</v>
      </c>
      <c r="Z387" s="770" t="s">
        <v>507</v>
      </c>
      <c r="AA387" s="770" t="s">
        <v>607</v>
      </c>
      <c r="AB387" s="770" t="s">
        <v>493</v>
      </c>
      <c r="AC387" s="770" t="s">
        <v>103</v>
      </c>
      <c r="AD387" s="770" t="s">
        <v>501</v>
      </c>
      <c r="AE387" s="784" t="s">
        <v>502</v>
      </c>
      <c r="AF387" s="771">
        <v>4211.531484</v>
      </c>
      <c r="AG387" s="771">
        <v>2523.843952</v>
      </c>
      <c r="AH387" s="771">
        <v>6236.684</v>
      </c>
      <c r="AI387" s="772" t="s">
        <v>233</v>
      </c>
      <c r="AK387" s="769" t="s">
        <v>518</v>
      </c>
      <c r="AL387" s="770" t="s">
        <v>494</v>
      </c>
      <c r="AM387" s="770" t="s">
        <v>507</v>
      </c>
      <c r="AN387" s="770" t="s">
        <v>607</v>
      </c>
      <c r="AO387" s="770" t="s">
        <v>493</v>
      </c>
      <c r="AP387" s="770" t="s">
        <v>504</v>
      </c>
      <c r="AQ387" s="770" t="s">
        <v>501</v>
      </c>
      <c r="AR387" s="784" t="s">
        <v>502</v>
      </c>
      <c r="AS387" s="771">
        <v>1934.821968</v>
      </c>
      <c r="AT387" s="771">
        <v>1159.480522</v>
      </c>
      <c r="AU387" s="771">
        <v>2865.198386</v>
      </c>
      <c r="AV387" s="772" t="s">
        <v>233</v>
      </c>
      <c r="AW387" s="714"/>
    </row>
    <row r="388">
      <c r="A388" s="761"/>
      <c r="B388" s="769" t="s">
        <v>493</v>
      </c>
      <c r="C388" s="770" t="s">
        <v>608</v>
      </c>
      <c r="D388" s="770" t="s">
        <v>494</v>
      </c>
      <c r="E388" s="770" t="s">
        <v>495</v>
      </c>
      <c r="F388" s="770" t="s">
        <v>496</v>
      </c>
      <c r="G388" s="770" t="s">
        <v>103</v>
      </c>
      <c r="H388" s="770">
        <v>2019.0</v>
      </c>
      <c r="I388" s="771">
        <v>1454.571717</v>
      </c>
      <c r="J388" s="771">
        <v>2011.262406</v>
      </c>
      <c r="K388" s="772">
        <v>1052.306788</v>
      </c>
      <c r="M388" s="769" t="s">
        <v>493</v>
      </c>
      <c r="N388" s="770" t="s">
        <v>608</v>
      </c>
      <c r="O388" s="770" t="s">
        <v>494</v>
      </c>
      <c r="P388" s="770" t="s">
        <v>495</v>
      </c>
      <c r="Q388" s="770" t="s">
        <v>496</v>
      </c>
      <c r="R388" s="770" t="s">
        <v>497</v>
      </c>
      <c r="S388" s="770">
        <v>2019.0</v>
      </c>
      <c r="T388" s="771">
        <v>786.1141335</v>
      </c>
      <c r="U388" s="771">
        <v>1086.974114</v>
      </c>
      <c r="V388" s="772">
        <v>568.7125833</v>
      </c>
      <c r="X388" s="769" t="s">
        <v>518</v>
      </c>
      <c r="Y388" s="770" t="s">
        <v>494</v>
      </c>
      <c r="Z388" s="770" t="s">
        <v>509</v>
      </c>
      <c r="AA388" s="770" t="s">
        <v>607</v>
      </c>
      <c r="AB388" s="770" t="s">
        <v>493</v>
      </c>
      <c r="AC388" s="770" t="s">
        <v>103</v>
      </c>
      <c r="AD388" s="770" t="s">
        <v>501</v>
      </c>
      <c r="AE388" s="784" t="s">
        <v>502</v>
      </c>
      <c r="AF388" s="771">
        <v>310.8621079</v>
      </c>
      <c r="AG388" s="771">
        <v>163.0036119</v>
      </c>
      <c r="AH388" s="771">
        <v>514.640641</v>
      </c>
      <c r="AI388" s="772" t="s">
        <v>233</v>
      </c>
      <c r="AK388" s="769" t="s">
        <v>518</v>
      </c>
      <c r="AL388" s="770" t="s">
        <v>494</v>
      </c>
      <c r="AM388" s="770" t="s">
        <v>509</v>
      </c>
      <c r="AN388" s="770" t="s">
        <v>607</v>
      </c>
      <c r="AO388" s="770" t="s">
        <v>493</v>
      </c>
      <c r="AP388" s="770" t="s">
        <v>504</v>
      </c>
      <c r="AQ388" s="770" t="s">
        <v>501</v>
      </c>
      <c r="AR388" s="784" t="s">
        <v>502</v>
      </c>
      <c r="AS388" s="771">
        <v>2199.73785</v>
      </c>
      <c r="AT388" s="771">
        <v>1153.454235</v>
      </c>
      <c r="AU388" s="771">
        <v>3641.725603</v>
      </c>
      <c r="AV388" s="772" t="s">
        <v>233</v>
      </c>
      <c r="AW388" s="714"/>
    </row>
    <row r="389">
      <c r="A389" s="761"/>
      <c r="B389" s="769" t="s">
        <v>493</v>
      </c>
      <c r="C389" s="770" t="s">
        <v>608</v>
      </c>
      <c r="D389" s="770" t="s">
        <v>494</v>
      </c>
      <c r="E389" s="770" t="s">
        <v>505</v>
      </c>
      <c r="F389" s="770" t="s">
        <v>496</v>
      </c>
      <c r="G389" s="770" t="s">
        <v>103</v>
      </c>
      <c r="H389" s="770">
        <v>2019.0</v>
      </c>
      <c r="I389" s="771">
        <v>580.6545785</v>
      </c>
      <c r="J389" s="771">
        <v>809.9229354</v>
      </c>
      <c r="K389" s="772">
        <v>417.6916896</v>
      </c>
      <c r="M389" s="769" t="s">
        <v>493</v>
      </c>
      <c r="N389" s="770" t="s">
        <v>608</v>
      </c>
      <c r="O389" s="770" t="s">
        <v>494</v>
      </c>
      <c r="P389" s="770" t="s">
        <v>505</v>
      </c>
      <c r="Q389" s="770" t="s">
        <v>496</v>
      </c>
      <c r="R389" s="770" t="s">
        <v>497</v>
      </c>
      <c r="S389" s="770">
        <v>2019.0</v>
      </c>
      <c r="T389" s="771">
        <v>78931.88091</v>
      </c>
      <c r="U389" s="771">
        <v>110097.7122</v>
      </c>
      <c r="V389" s="772">
        <v>56779.35201</v>
      </c>
      <c r="X389" s="769" t="s">
        <v>518</v>
      </c>
      <c r="Y389" s="770" t="s">
        <v>494</v>
      </c>
      <c r="Z389" s="770" t="s">
        <v>513</v>
      </c>
      <c r="AA389" s="770" t="s">
        <v>607</v>
      </c>
      <c r="AB389" s="770" t="s">
        <v>493</v>
      </c>
      <c r="AC389" s="770" t="s">
        <v>103</v>
      </c>
      <c r="AD389" s="770" t="s">
        <v>501</v>
      </c>
      <c r="AE389" s="784" t="s">
        <v>502</v>
      </c>
      <c r="AF389" s="771">
        <v>10111.64371</v>
      </c>
      <c r="AG389" s="771">
        <v>6852.147167</v>
      </c>
      <c r="AH389" s="771">
        <v>13880.73017</v>
      </c>
      <c r="AI389" s="772" t="s">
        <v>233</v>
      </c>
      <c r="AK389" s="769" t="s">
        <v>518</v>
      </c>
      <c r="AL389" s="770" t="s">
        <v>494</v>
      </c>
      <c r="AM389" s="770" t="s">
        <v>513</v>
      </c>
      <c r="AN389" s="770" t="s">
        <v>607</v>
      </c>
      <c r="AO389" s="770" t="s">
        <v>493</v>
      </c>
      <c r="AP389" s="770" t="s">
        <v>504</v>
      </c>
      <c r="AQ389" s="770" t="s">
        <v>501</v>
      </c>
      <c r="AR389" s="784" t="s">
        <v>502</v>
      </c>
      <c r="AS389" s="771">
        <v>931.224152</v>
      </c>
      <c r="AT389" s="771">
        <v>631.0432923</v>
      </c>
      <c r="AU389" s="771">
        <v>1278.335309</v>
      </c>
      <c r="AV389" s="772" t="s">
        <v>233</v>
      </c>
      <c r="AW389" s="714"/>
    </row>
    <row r="390">
      <c r="A390" s="761"/>
      <c r="B390" s="769" t="s">
        <v>493</v>
      </c>
      <c r="C390" s="770" t="s">
        <v>608</v>
      </c>
      <c r="D390" s="770" t="s">
        <v>494</v>
      </c>
      <c r="E390" s="770" t="s">
        <v>508</v>
      </c>
      <c r="F390" s="770" t="s">
        <v>496</v>
      </c>
      <c r="G390" s="770" t="s">
        <v>103</v>
      </c>
      <c r="H390" s="770">
        <v>2019.0</v>
      </c>
      <c r="I390" s="771">
        <v>399.1571019</v>
      </c>
      <c r="J390" s="771">
        <v>553.0046278</v>
      </c>
      <c r="K390" s="772">
        <v>288.1619988</v>
      </c>
      <c r="M390" s="769" t="s">
        <v>493</v>
      </c>
      <c r="N390" s="770" t="s">
        <v>608</v>
      </c>
      <c r="O390" s="770" t="s">
        <v>494</v>
      </c>
      <c r="P390" s="770" t="s">
        <v>508</v>
      </c>
      <c r="Q390" s="770" t="s">
        <v>496</v>
      </c>
      <c r="R390" s="770" t="s">
        <v>497</v>
      </c>
      <c r="S390" s="770">
        <v>2019.0</v>
      </c>
      <c r="T390" s="771">
        <v>1160.192054</v>
      </c>
      <c r="U390" s="771">
        <v>1607.366051</v>
      </c>
      <c r="V390" s="772">
        <v>837.5731247</v>
      </c>
      <c r="X390" s="769" t="s">
        <v>519</v>
      </c>
      <c r="Y390" s="770" t="s">
        <v>494</v>
      </c>
      <c r="Z390" s="770" t="s">
        <v>499</v>
      </c>
      <c r="AA390" s="770" t="s">
        <v>607</v>
      </c>
      <c r="AB390" s="770" t="s">
        <v>493</v>
      </c>
      <c r="AC390" s="770" t="s">
        <v>103</v>
      </c>
      <c r="AD390" s="770" t="s">
        <v>501</v>
      </c>
      <c r="AE390" s="784" t="s">
        <v>502</v>
      </c>
      <c r="AF390" s="771">
        <v>7387.643989</v>
      </c>
      <c r="AG390" s="771">
        <v>6128.923211</v>
      </c>
      <c r="AH390" s="771">
        <v>9094.868743</v>
      </c>
      <c r="AI390" s="772" t="s">
        <v>233</v>
      </c>
      <c r="AK390" s="769" t="s">
        <v>519</v>
      </c>
      <c r="AL390" s="770" t="s">
        <v>494</v>
      </c>
      <c r="AM390" s="770" t="s">
        <v>499</v>
      </c>
      <c r="AN390" s="770" t="s">
        <v>607</v>
      </c>
      <c r="AO390" s="770" t="s">
        <v>493</v>
      </c>
      <c r="AP390" s="770" t="s">
        <v>504</v>
      </c>
      <c r="AQ390" s="770" t="s">
        <v>501</v>
      </c>
      <c r="AR390" s="784" t="s">
        <v>502</v>
      </c>
      <c r="AS390" s="771">
        <v>152892.8411</v>
      </c>
      <c r="AT390" s="771">
        <v>126842.6692</v>
      </c>
      <c r="AU390" s="771">
        <v>188225.1396</v>
      </c>
      <c r="AV390" s="989" t="s">
        <v>233</v>
      </c>
      <c r="AW390" s="714"/>
    </row>
    <row r="391">
      <c r="A391" s="761"/>
      <c r="B391" s="769" t="s">
        <v>493</v>
      </c>
      <c r="C391" s="770" t="s">
        <v>608</v>
      </c>
      <c r="D391" s="770" t="s">
        <v>494</v>
      </c>
      <c r="E391" s="770" t="s">
        <v>512</v>
      </c>
      <c r="F391" s="770" t="s">
        <v>496</v>
      </c>
      <c r="G391" s="770" t="s">
        <v>103</v>
      </c>
      <c r="H391" s="770">
        <v>2019.0</v>
      </c>
      <c r="I391" s="771">
        <v>102.752485</v>
      </c>
      <c r="J391" s="771">
        <v>142.5382776</v>
      </c>
      <c r="K391" s="772">
        <v>74.26233381</v>
      </c>
      <c r="M391" s="769" t="s">
        <v>493</v>
      </c>
      <c r="N391" s="770" t="s">
        <v>608</v>
      </c>
      <c r="O391" s="770" t="s">
        <v>494</v>
      </c>
      <c r="P391" s="770" t="s">
        <v>512</v>
      </c>
      <c r="Q391" s="770" t="s">
        <v>496</v>
      </c>
      <c r="R391" s="770" t="s">
        <v>497</v>
      </c>
      <c r="S391" s="770">
        <v>2019.0</v>
      </c>
      <c r="T391" s="771">
        <v>4702.522156</v>
      </c>
      <c r="U391" s="771">
        <v>6523.340128</v>
      </c>
      <c r="V391" s="772">
        <v>3398.655227</v>
      </c>
      <c r="X391" s="769" t="s">
        <v>519</v>
      </c>
      <c r="Y391" s="770" t="s">
        <v>494</v>
      </c>
      <c r="Z391" s="770" t="s">
        <v>507</v>
      </c>
      <c r="AA391" s="770" t="s">
        <v>607</v>
      </c>
      <c r="AB391" s="770" t="s">
        <v>493</v>
      </c>
      <c r="AC391" s="770" t="s">
        <v>103</v>
      </c>
      <c r="AD391" s="770" t="s">
        <v>501</v>
      </c>
      <c r="AE391" s="784" t="s">
        <v>502</v>
      </c>
      <c r="AF391" s="771">
        <v>61.26772746</v>
      </c>
      <c r="AG391" s="771">
        <v>35.47719869</v>
      </c>
      <c r="AH391" s="771">
        <v>98.94361786</v>
      </c>
      <c r="AI391" s="772" t="s">
        <v>233</v>
      </c>
      <c r="AK391" s="769" t="s">
        <v>519</v>
      </c>
      <c r="AL391" s="770" t="s">
        <v>494</v>
      </c>
      <c r="AM391" s="770" t="s">
        <v>507</v>
      </c>
      <c r="AN391" s="770" t="s">
        <v>607</v>
      </c>
      <c r="AO391" s="770" t="s">
        <v>493</v>
      </c>
      <c r="AP391" s="770" t="s">
        <v>504</v>
      </c>
      <c r="AQ391" s="770" t="s">
        <v>501</v>
      </c>
      <c r="AR391" s="784" t="s">
        <v>502</v>
      </c>
      <c r="AS391" s="771">
        <v>28.14703997</v>
      </c>
      <c r="AT391" s="771">
        <v>16.29859913</v>
      </c>
      <c r="AU391" s="771">
        <v>45.45574126</v>
      </c>
      <c r="AV391" s="989" t="s">
        <v>233</v>
      </c>
      <c r="AW391" s="714"/>
    </row>
    <row r="392">
      <c r="A392" s="761"/>
      <c r="B392" s="769" t="s">
        <v>493</v>
      </c>
      <c r="C392" s="770" t="s">
        <v>608</v>
      </c>
      <c r="D392" s="770" t="s">
        <v>494</v>
      </c>
      <c r="E392" s="770" t="s">
        <v>495</v>
      </c>
      <c r="F392" s="770" t="s">
        <v>514</v>
      </c>
      <c r="G392" s="770" t="s">
        <v>103</v>
      </c>
      <c r="H392" s="770">
        <v>2019.0</v>
      </c>
      <c r="I392" s="771">
        <v>1299.249802</v>
      </c>
      <c r="J392" s="771">
        <v>1778.394912</v>
      </c>
      <c r="K392" s="772">
        <v>944.1153928</v>
      </c>
      <c r="M392" s="769" t="s">
        <v>493</v>
      </c>
      <c r="N392" s="770" t="s">
        <v>608</v>
      </c>
      <c r="O392" s="770" t="s">
        <v>494</v>
      </c>
      <c r="P392" s="770" t="s">
        <v>495</v>
      </c>
      <c r="Q392" s="770" t="s">
        <v>514</v>
      </c>
      <c r="R392" s="770" t="s">
        <v>497</v>
      </c>
      <c r="S392" s="770">
        <v>2019.0</v>
      </c>
      <c r="T392" s="771">
        <v>702.1713818</v>
      </c>
      <c r="U392" s="771">
        <v>961.1223422</v>
      </c>
      <c r="V392" s="772">
        <v>510.2412244</v>
      </c>
      <c r="X392" s="769" t="s">
        <v>519</v>
      </c>
      <c r="Y392" s="770" t="s">
        <v>494</v>
      </c>
      <c r="Z392" s="770" t="s">
        <v>509</v>
      </c>
      <c r="AA392" s="770" t="s">
        <v>607</v>
      </c>
      <c r="AB392" s="770" t="s">
        <v>493</v>
      </c>
      <c r="AC392" s="770" t="s">
        <v>103</v>
      </c>
      <c r="AD392" s="770" t="s">
        <v>501</v>
      </c>
      <c r="AE392" s="784" t="s">
        <v>502</v>
      </c>
      <c r="AF392" s="771">
        <v>1252.466538</v>
      </c>
      <c r="AG392" s="771">
        <v>932.6991541</v>
      </c>
      <c r="AH392" s="771">
        <v>1613.304554</v>
      </c>
      <c r="AI392" s="772" t="s">
        <v>233</v>
      </c>
      <c r="AK392" s="769" t="s">
        <v>519</v>
      </c>
      <c r="AL392" s="770" t="s">
        <v>494</v>
      </c>
      <c r="AM392" s="770" t="s">
        <v>509</v>
      </c>
      <c r="AN392" s="770" t="s">
        <v>607</v>
      </c>
      <c r="AO392" s="770" t="s">
        <v>493</v>
      </c>
      <c r="AP392" s="770" t="s">
        <v>504</v>
      </c>
      <c r="AQ392" s="770" t="s">
        <v>501</v>
      </c>
      <c r="AR392" s="784" t="s">
        <v>502</v>
      </c>
      <c r="AS392" s="771">
        <v>8862.765773</v>
      </c>
      <c r="AT392" s="771">
        <v>6600.011966</v>
      </c>
      <c r="AU392" s="771">
        <v>11416.14562</v>
      </c>
      <c r="AV392" s="989" t="s">
        <v>233</v>
      </c>
      <c r="AW392" s="714"/>
    </row>
    <row r="393">
      <c r="A393" s="761"/>
      <c r="B393" s="769" t="s">
        <v>493</v>
      </c>
      <c r="C393" s="770" t="s">
        <v>608</v>
      </c>
      <c r="D393" s="770" t="s">
        <v>494</v>
      </c>
      <c r="E393" s="770" t="s">
        <v>505</v>
      </c>
      <c r="F393" s="770" t="s">
        <v>514</v>
      </c>
      <c r="G393" s="770" t="s">
        <v>103</v>
      </c>
      <c r="H393" s="770">
        <v>2019.0</v>
      </c>
      <c r="I393" s="771">
        <v>531.9156981</v>
      </c>
      <c r="J393" s="771">
        <v>740.6638448</v>
      </c>
      <c r="K393" s="772">
        <v>385.0040031</v>
      </c>
      <c r="M393" s="769" t="s">
        <v>493</v>
      </c>
      <c r="N393" s="770" t="s">
        <v>608</v>
      </c>
      <c r="O393" s="770" t="s">
        <v>494</v>
      </c>
      <c r="P393" s="770" t="s">
        <v>505</v>
      </c>
      <c r="Q393" s="770" t="s">
        <v>514</v>
      </c>
      <c r="R393" s="770" t="s">
        <v>497</v>
      </c>
      <c r="S393" s="770">
        <v>2019.0</v>
      </c>
      <c r="T393" s="771">
        <v>72306.51079</v>
      </c>
      <c r="U393" s="771">
        <v>100682.9061</v>
      </c>
      <c r="V393" s="772">
        <v>52335.91751</v>
      </c>
      <c r="X393" s="769" t="s">
        <v>519</v>
      </c>
      <c r="Y393" s="770" t="s">
        <v>494</v>
      </c>
      <c r="Z393" s="770" t="s">
        <v>513</v>
      </c>
      <c r="AA393" s="770" t="s">
        <v>607</v>
      </c>
      <c r="AB393" s="770" t="s">
        <v>493</v>
      </c>
      <c r="AC393" s="770" t="s">
        <v>103</v>
      </c>
      <c r="AD393" s="770" t="s">
        <v>501</v>
      </c>
      <c r="AE393" s="784" t="s">
        <v>502</v>
      </c>
      <c r="AF393" s="771">
        <v>8732.954057</v>
      </c>
      <c r="AG393" s="771">
        <v>7274.584758</v>
      </c>
      <c r="AH393" s="771">
        <v>10557.61172</v>
      </c>
      <c r="AI393" s="772" t="s">
        <v>233</v>
      </c>
      <c r="AK393" s="769" t="s">
        <v>519</v>
      </c>
      <c r="AL393" s="770" t="s">
        <v>494</v>
      </c>
      <c r="AM393" s="770" t="s">
        <v>513</v>
      </c>
      <c r="AN393" s="770" t="s">
        <v>607</v>
      </c>
      <c r="AO393" s="770" t="s">
        <v>493</v>
      </c>
      <c r="AP393" s="770" t="s">
        <v>504</v>
      </c>
      <c r="AQ393" s="770" t="s">
        <v>501</v>
      </c>
      <c r="AR393" s="784" t="s">
        <v>502</v>
      </c>
      <c r="AS393" s="771">
        <v>804.2547752</v>
      </c>
      <c r="AT393" s="771">
        <v>669.9473616</v>
      </c>
      <c r="AU393" s="771">
        <v>972.2952373</v>
      </c>
      <c r="AV393" s="989" t="s">
        <v>233</v>
      </c>
      <c r="AW393" s="714"/>
    </row>
    <row r="394">
      <c r="A394" s="761"/>
      <c r="B394" s="769" t="s">
        <v>493</v>
      </c>
      <c r="C394" s="770" t="s">
        <v>608</v>
      </c>
      <c r="D394" s="770" t="s">
        <v>494</v>
      </c>
      <c r="E394" s="770" t="s">
        <v>508</v>
      </c>
      <c r="F394" s="770" t="s">
        <v>514</v>
      </c>
      <c r="G394" s="770" t="s">
        <v>103</v>
      </c>
      <c r="H394" s="770">
        <v>2019.0</v>
      </c>
      <c r="I394" s="771">
        <v>345.2509638</v>
      </c>
      <c r="J394" s="771">
        <v>480.5943611</v>
      </c>
      <c r="K394" s="772">
        <v>249.705374</v>
      </c>
      <c r="M394" s="769" t="s">
        <v>493</v>
      </c>
      <c r="N394" s="770" t="s">
        <v>608</v>
      </c>
      <c r="O394" s="770" t="s">
        <v>494</v>
      </c>
      <c r="P394" s="770" t="s">
        <v>508</v>
      </c>
      <c r="Q394" s="770" t="s">
        <v>514</v>
      </c>
      <c r="R394" s="770" t="s">
        <v>497</v>
      </c>
      <c r="S394" s="770">
        <v>2019.0</v>
      </c>
      <c r="T394" s="771">
        <v>1003.508199</v>
      </c>
      <c r="U394" s="771">
        <v>1396.898003</v>
      </c>
      <c r="V394" s="772">
        <v>725.7949044</v>
      </c>
      <c r="X394" s="769" t="s">
        <v>521</v>
      </c>
      <c r="Y394" s="770" t="s">
        <v>494</v>
      </c>
      <c r="Z394" s="770" t="s">
        <v>499</v>
      </c>
      <c r="AA394" s="770" t="s">
        <v>607</v>
      </c>
      <c r="AB394" s="770" t="s">
        <v>493</v>
      </c>
      <c r="AC394" s="770" t="s">
        <v>103</v>
      </c>
      <c r="AD394" s="770" t="s">
        <v>501</v>
      </c>
      <c r="AE394" s="784" t="s">
        <v>502</v>
      </c>
      <c r="AF394" s="771">
        <v>0.0</v>
      </c>
      <c r="AG394" s="771">
        <v>0.0</v>
      </c>
      <c r="AH394" s="771">
        <v>0.0</v>
      </c>
      <c r="AI394" s="772" t="s">
        <v>233</v>
      </c>
      <c r="AK394" s="769" t="s">
        <v>521</v>
      </c>
      <c r="AL394" s="770" t="s">
        <v>494</v>
      </c>
      <c r="AM394" s="770" t="s">
        <v>499</v>
      </c>
      <c r="AN394" s="770" t="s">
        <v>607</v>
      </c>
      <c r="AO394" s="770" t="s">
        <v>493</v>
      </c>
      <c r="AP394" s="770" t="s">
        <v>504</v>
      </c>
      <c r="AQ394" s="770" t="s">
        <v>501</v>
      </c>
      <c r="AR394" s="784" t="s">
        <v>502</v>
      </c>
      <c r="AS394" s="771">
        <v>0.0</v>
      </c>
      <c r="AT394" s="771">
        <v>0.0</v>
      </c>
      <c r="AU394" s="771">
        <v>0.0</v>
      </c>
      <c r="AV394" s="989" t="s">
        <v>233</v>
      </c>
      <c r="AW394" s="714"/>
    </row>
    <row r="395">
      <c r="A395" s="761"/>
      <c r="B395" s="769" t="s">
        <v>493</v>
      </c>
      <c r="C395" s="770" t="s">
        <v>608</v>
      </c>
      <c r="D395" s="770" t="s">
        <v>494</v>
      </c>
      <c r="E395" s="770" t="s">
        <v>512</v>
      </c>
      <c r="F395" s="770" t="s">
        <v>514</v>
      </c>
      <c r="G395" s="770" t="s">
        <v>103</v>
      </c>
      <c r="H395" s="770">
        <v>2019.0</v>
      </c>
      <c r="I395" s="771">
        <v>91.13867898</v>
      </c>
      <c r="J395" s="771">
        <v>127.5658924</v>
      </c>
      <c r="K395" s="772">
        <v>66.80037365</v>
      </c>
      <c r="M395" s="769" t="s">
        <v>493</v>
      </c>
      <c r="N395" s="770" t="s">
        <v>608</v>
      </c>
      <c r="O395" s="770" t="s">
        <v>494</v>
      </c>
      <c r="P395" s="770" t="s">
        <v>512</v>
      </c>
      <c r="Q395" s="770" t="s">
        <v>514</v>
      </c>
      <c r="R395" s="770" t="s">
        <v>497</v>
      </c>
      <c r="S395" s="770">
        <v>2019.0</v>
      </c>
      <c r="T395" s="771">
        <v>4171.010145</v>
      </c>
      <c r="U395" s="771">
        <v>5838.120955</v>
      </c>
      <c r="V395" s="772">
        <v>3057.154649</v>
      </c>
      <c r="X395" s="769" t="s">
        <v>521</v>
      </c>
      <c r="Y395" s="770" t="s">
        <v>494</v>
      </c>
      <c r="Z395" s="770" t="s">
        <v>507</v>
      </c>
      <c r="AA395" s="770" t="s">
        <v>607</v>
      </c>
      <c r="AB395" s="770" t="s">
        <v>493</v>
      </c>
      <c r="AC395" s="770" t="s">
        <v>103</v>
      </c>
      <c r="AD395" s="770" t="s">
        <v>501</v>
      </c>
      <c r="AE395" s="784" t="s">
        <v>502</v>
      </c>
      <c r="AF395" s="771">
        <v>76.43008061</v>
      </c>
      <c r="AG395" s="771">
        <v>24.22681192</v>
      </c>
      <c r="AH395" s="771">
        <v>198.3730078</v>
      </c>
      <c r="AI395" s="772" t="s">
        <v>233</v>
      </c>
      <c r="AK395" s="769" t="s">
        <v>521</v>
      </c>
      <c r="AL395" s="770" t="s">
        <v>494</v>
      </c>
      <c r="AM395" s="770" t="s">
        <v>507</v>
      </c>
      <c r="AN395" s="770" t="s">
        <v>607</v>
      </c>
      <c r="AO395" s="770" t="s">
        <v>493</v>
      </c>
      <c r="AP395" s="770" t="s">
        <v>504</v>
      </c>
      <c r="AQ395" s="770" t="s">
        <v>501</v>
      </c>
      <c r="AR395" s="784" t="s">
        <v>502</v>
      </c>
      <c r="AS395" s="771">
        <v>35.11278488</v>
      </c>
      <c r="AT395" s="771">
        <v>11.13005283</v>
      </c>
      <c r="AU395" s="771">
        <v>91.13465133</v>
      </c>
      <c r="AV395" s="989" t="s">
        <v>233</v>
      </c>
      <c r="AW395" s="714"/>
    </row>
    <row r="396">
      <c r="A396" s="761"/>
      <c r="B396" s="769" t="s">
        <v>493</v>
      </c>
      <c r="C396" s="770" t="s">
        <v>608</v>
      </c>
      <c r="D396" s="770" t="s">
        <v>494</v>
      </c>
      <c r="E396" s="770" t="s">
        <v>495</v>
      </c>
      <c r="F396" s="770" t="s">
        <v>518</v>
      </c>
      <c r="G396" s="770" t="s">
        <v>103</v>
      </c>
      <c r="H396" s="770">
        <v>2019.0</v>
      </c>
      <c r="I396" s="771">
        <v>36.79072316</v>
      </c>
      <c r="J396" s="771">
        <v>77.30611006</v>
      </c>
      <c r="K396" s="772">
        <v>14.05282561</v>
      </c>
      <c r="M396" s="769" t="s">
        <v>493</v>
      </c>
      <c r="N396" s="770" t="s">
        <v>608</v>
      </c>
      <c r="O396" s="770" t="s">
        <v>494</v>
      </c>
      <c r="P396" s="770" t="s">
        <v>495</v>
      </c>
      <c r="Q396" s="770" t="s">
        <v>518</v>
      </c>
      <c r="R396" s="770" t="s">
        <v>497</v>
      </c>
      <c r="S396" s="770">
        <v>2019.0</v>
      </c>
      <c r="T396" s="771">
        <v>19.88331487</v>
      </c>
      <c r="U396" s="771">
        <v>41.77960083</v>
      </c>
      <c r="V396" s="772">
        <v>7.594761194</v>
      </c>
      <c r="X396" s="769" t="s">
        <v>521</v>
      </c>
      <c r="Y396" s="770" t="s">
        <v>494</v>
      </c>
      <c r="Z396" s="770" t="s">
        <v>509</v>
      </c>
      <c r="AA396" s="770" t="s">
        <v>607</v>
      </c>
      <c r="AB396" s="770" t="s">
        <v>493</v>
      </c>
      <c r="AC396" s="770" t="s">
        <v>103</v>
      </c>
      <c r="AD396" s="770" t="s">
        <v>501</v>
      </c>
      <c r="AE396" s="784" t="s">
        <v>502</v>
      </c>
      <c r="AF396" s="771">
        <v>0.0</v>
      </c>
      <c r="AG396" s="771">
        <v>0.0</v>
      </c>
      <c r="AH396" s="771">
        <v>0.0</v>
      </c>
      <c r="AI396" s="772" t="s">
        <v>233</v>
      </c>
      <c r="AK396" s="769" t="s">
        <v>521</v>
      </c>
      <c r="AL396" s="770" t="s">
        <v>494</v>
      </c>
      <c r="AM396" s="770" t="s">
        <v>509</v>
      </c>
      <c r="AN396" s="770" t="s">
        <v>607</v>
      </c>
      <c r="AO396" s="770" t="s">
        <v>493</v>
      </c>
      <c r="AP396" s="770" t="s">
        <v>504</v>
      </c>
      <c r="AQ396" s="770" t="s">
        <v>501</v>
      </c>
      <c r="AR396" s="784" t="s">
        <v>502</v>
      </c>
      <c r="AS396" s="771">
        <v>0.0</v>
      </c>
      <c r="AT396" s="771">
        <v>0.0</v>
      </c>
      <c r="AU396" s="771">
        <v>0.0</v>
      </c>
      <c r="AV396" s="989" t="s">
        <v>233</v>
      </c>
      <c r="AW396" s="714"/>
    </row>
    <row r="397">
      <c r="A397" s="761"/>
      <c r="B397" s="769" t="s">
        <v>493</v>
      </c>
      <c r="C397" s="770" t="s">
        <v>608</v>
      </c>
      <c r="D397" s="770" t="s">
        <v>494</v>
      </c>
      <c r="E397" s="770" t="s">
        <v>505</v>
      </c>
      <c r="F397" s="770" t="s">
        <v>518</v>
      </c>
      <c r="G397" s="770" t="s">
        <v>103</v>
      </c>
      <c r="H397" s="770">
        <v>2019.0</v>
      </c>
      <c r="I397" s="771">
        <v>1.10674919</v>
      </c>
      <c r="J397" s="771">
        <v>2.850149101</v>
      </c>
      <c r="K397" s="772">
        <v>0.3885935214</v>
      </c>
      <c r="M397" s="769" t="s">
        <v>493</v>
      </c>
      <c r="N397" s="770" t="s">
        <v>608</v>
      </c>
      <c r="O397" s="770" t="s">
        <v>494</v>
      </c>
      <c r="P397" s="770" t="s">
        <v>505</v>
      </c>
      <c r="Q397" s="770" t="s">
        <v>518</v>
      </c>
      <c r="R397" s="770" t="s">
        <v>497</v>
      </c>
      <c r="S397" s="770">
        <v>2019.0</v>
      </c>
      <c r="T397" s="771">
        <v>150.4470963</v>
      </c>
      <c r="U397" s="771">
        <v>387.437967</v>
      </c>
      <c r="V397" s="772">
        <v>52.8238624</v>
      </c>
      <c r="X397" s="769" t="s">
        <v>521</v>
      </c>
      <c r="Y397" s="770" t="s">
        <v>494</v>
      </c>
      <c r="Z397" s="770" t="s">
        <v>513</v>
      </c>
      <c r="AA397" s="770" t="s">
        <v>607</v>
      </c>
      <c r="AB397" s="770" t="s">
        <v>493</v>
      </c>
      <c r="AC397" s="770" t="s">
        <v>103</v>
      </c>
      <c r="AD397" s="770" t="s">
        <v>501</v>
      </c>
      <c r="AE397" s="784" t="s">
        <v>502</v>
      </c>
      <c r="AF397" s="771">
        <v>485.0961699</v>
      </c>
      <c r="AG397" s="771">
        <v>150.1329469</v>
      </c>
      <c r="AH397" s="771">
        <v>1213.884432</v>
      </c>
      <c r="AI397" s="772" t="s">
        <v>233</v>
      </c>
      <c r="AK397" s="769" t="s">
        <v>521</v>
      </c>
      <c r="AL397" s="770" t="s">
        <v>494</v>
      </c>
      <c r="AM397" s="770" t="s">
        <v>513</v>
      </c>
      <c r="AN397" s="770" t="s">
        <v>607</v>
      </c>
      <c r="AO397" s="770" t="s">
        <v>493</v>
      </c>
      <c r="AP397" s="770" t="s">
        <v>504</v>
      </c>
      <c r="AQ397" s="770" t="s">
        <v>501</v>
      </c>
      <c r="AR397" s="784" t="s">
        <v>502</v>
      </c>
      <c r="AS397" s="771">
        <v>44.67456356</v>
      </c>
      <c r="AT397" s="771">
        <v>13.82637979</v>
      </c>
      <c r="AU397" s="771">
        <v>111.7917653</v>
      </c>
      <c r="AV397" s="772" t="s">
        <v>233</v>
      </c>
      <c r="AW397" s="714"/>
    </row>
    <row r="398">
      <c r="A398" s="761"/>
      <c r="B398" s="769" t="s">
        <v>493</v>
      </c>
      <c r="C398" s="770" t="s">
        <v>608</v>
      </c>
      <c r="D398" s="770" t="s">
        <v>494</v>
      </c>
      <c r="E398" s="770" t="s">
        <v>508</v>
      </c>
      <c r="F398" s="770" t="s">
        <v>518</v>
      </c>
      <c r="G398" s="770" t="s">
        <v>103</v>
      </c>
      <c r="H398" s="770">
        <v>2019.0</v>
      </c>
      <c r="I398" s="771">
        <v>22.674862</v>
      </c>
      <c r="J398" s="771">
        <v>51.71915974</v>
      </c>
      <c r="K398" s="772">
        <v>7.255941801</v>
      </c>
      <c r="M398" s="769" t="s">
        <v>493</v>
      </c>
      <c r="N398" s="770" t="s">
        <v>608</v>
      </c>
      <c r="O398" s="770" t="s">
        <v>494</v>
      </c>
      <c r="P398" s="770" t="s">
        <v>508</v>
      </c>
      <c r="Q398" s="770" t="s">
        <v>518</v>
      </c>
      <c r="R398" s="770" t="s">
        <v>497</v>
      </c>
      <c r="S398" s="770">
        <v>2019.0</v>
      </c>
      <c r="T398" s="771">
        <v>65.9068687</v>
      </c>
      <c r="U398" s="771">
        <v>150.3271716</v>
      </c>
      <c r="V398" s="772">
        <v>21.09015718</v>
      </c>
      <c r="X398" s="769" t="s">
        <v>523</v>
      </c>
      <c r="Y398" s="770" t="s">
        <v>494</v>
      </c>
      <c r="Z398" s="770" t="s">
        <v>507</v>
      </c>
      <c r="AA398" s="770" t="s">
        <v>607</v>
      </c>
      <c r="AB398" s="770" t="s">
        <v>493</v>
      </c>
      <c r="AC398" s="770" t="s">
        <v>103</v>
      </c>
      <c r="AD398" s="770" t="s">
        <v>501</v>
      </c>
      <c r="AE398" s="784" t="s">
        <v>502</v>
      </c>
      <c r="AF398" s="771">
        <v>106.2661656</v>
      </c>
      <c r="AG398" s="771">
        <v>51.42212915</v>
      </c>
      <c r="AH398" s="771">
        <v>192.1883547</v>
      </c>
      <c r="AI398" s="772" t="s">
        <v>233</v>
      </c>
      <c r="AK398" s="769" t="s">
        <v>523</v>
      </c>
      <c r="AL398" s="770" t="s">
        <v>494</v>
      </c>
      <c r="AM398" s="770" t="s">
        <v>507</v>
      </c>
      <c r="AN398" s="770" t="s">
        <v>607</v>
      </c>
      <c r="AO398" s="770" t="s">
        <v>493</v>
      </c>
      <c r="AP398" s="770" t="s">
        <v>504</v>
      </c>
      <c r="AQ398" s="770" t="s">
        <v>501</v>
      </c>
      <c r="AR398" s="784" t="s">
        <v>502</v>
      </c>
      <c r="AS398" s="771">
        <v>48.8197969</v>
      </c>
      <c r="AT398" s="771">
        <v>23.6238683</v>
      </c>
      <c r="AU398" s="771">
        <v>88.29335649</v>
      </c>
      <c r="AV398" s="989" t="s">
        <v>233</v>
      </c>
      <c r="AW398" s="714"/>
    </row>
    <row r="399">
      <c r="A399" s="761"/>
      <c r="B399" s="769" t="s">
        <v>493</v>
      </c>
      <c r="C399" s="770" t="s">
        <v>608</v>
      </c>
      <c r="D399" s="770" t="s">
        <v>494</v>
      </c>
      <c r="E399" s="770" t="s">
        <v>512</v>
      </c>
      <c r="F399" s="770" t="s">
        <v>518</v>
      </c>
      <c r="G399" s="770" t="s">
        <v>103</v>
      </c>
      <c r="H399" s="770">
        <v>2019.0</v>
      </c>
      <c r="I399" s="771">
        <v>1.837989204</v>
      </c>
      <c r="J399" s="771">
        <v>3.933644102</v>
      </c>
      <c r="K399" s="772">
        <v>0.6447286273</v>
      </c>
      <c r="M399" s="769" t="s">
        <v>493</v>
      </c>
      <c r="N399" s="770" t="s">
        <v>608</v>
      </c>
      <c r="O399" s="770" t="s">
        <v>494</v>
      </c>
      <c r="P399" s="770" t="s">
        <v>512</v>
      </c>
      <c r="Q399" s="770" t="s">
        <v>518</v>
      </c>
      <c r="R399" s="770" t="s">
        <v>497</v>
      </c>
      <c r="S399" s="770">
        <v>2019.0</v>
      </c>
      <c r="T399" s="771">
        <v>84.11655404</v>
      </c>
      <c r="U399" s="771">
        <v>180.0253157</v>
      </c>
      <c r="V399" s="772">
        <v>29.50634873</v>
      </c>
      <c r="X399" s="769" t="s">
        <v>523</v>
      </c>
      <c r="Y399" s="770" t="s">
        <v>494</v>
      </c>
      <c r="Z399" s="770" t="s">
        <v>513</v>
      </c>
      <c r="AA399" s="770" t="s">
        <v>607</v>
      </c>
      <c r="AB399" s="770" t="s">
        <v>493</v>
      </c>
      <c r="AC399" s="770" t="s">
        <v>103</v>
      </c>
      <c r="AD399" s="770" t="s">
        <v>501</v>
      </c>
      <c r="AE399" s="784" t="s">
        <v>502</v>
      </c>
      <c r="AF399" s="771">
        <v>296.5496381</v>
      </c>
      <c r="AG399" s="771">
        <v>170.1819836</v>
      </c>
      <c r="AH399" s="771">
        <v>496.2693647</v>
      </c>
      <c r="AI399" s="772" t="s">
        <v>233</v>
      </c>
      <c r="AK399" s="769" t="s">
        <v>523</v>
      </c>
      <c r="AL399" s="770" t="s">
        <v>494</v>
      </c>
      <c r="AM399" s="770" t="s">
        <v>513</v>
      </c>
      <c r="AN399" s="770" t="s">
        <v>607</v>
      </c>
      <c r="AO399" s="770" t="s">
        <v>493</v>
      </c>
      <c r="AP399" s="770" t="s">
        <v>504</v>
      </c>
      <c r="AQ399" s="770" t="s">
        <v>501</v>
      </c>
      <c r="AR399" s="784" t="s">
        <v>502</v>
      </c>
      <c r="AS399" s="771">
        <v>27.31051383</v>
      </c>
      <c r="AT399" s="771">
        <v>15.67278061</v>
      </c>
      <c r="AU399" s="771">
        <v>45.70355045</v>
      </c>
      <c r="AV399" s="989" t="s">
        <v>233</v>
      </c>
      <c r="AW399" s="714"/>
    </row>
    <row r="400">
      <c r="A400" s="761"/>
      <c r="B400" s="769" t="s">
        <v>493</v>
      </c>
      <c r="C400" s="770" t="s">
        <v>608</v>
      </c>
      <c r="D400" s="770" t="s">
        <v>494</v>
      </c>
      <c r="E400" s="770" t="s">
        <v>495</v>
      </c>
      <c r="F400" s="770" t="s">
        <v>519</v>
      </c>
      <c r="G400" s="770" t="s">
        <v>103</v>
      </c>
      <c r="H400" s="770">
        <v>2019.0</v>
      </c>
      <c r="I400" s="771">
        <v>453.3283332</v>
      </c>
      <c r="J400" s="771">
        <v>653.1064617</v>
      </c>
      <c r="K400" s="772">
        <v>288.9660603</v>
      </c>
      <c r="M400" s="769" t="s">
        <v>493</v>
      </c>
      <c r="N400" s="770" t="s">
        <v>608</v>
      </c>
      <c r="O400" s="770" t="s">
        <v>494</v>
      </c>
      <c r="P400" s="770" t="s">
        <v>495</v>
      </c>
      <c r="Q400" s="770" t="s">
        <v>519</v>
      </c>
      <c r="R400" s="770" t="s">
        <v>497</v>
      </c>
      <c r="S400" s="770">
        <v>2019.0</v>
      </c>
      <c r="T400" s="771">
        <v>244.9984457</v>
      </c>
      <c r="U400" s="771">
        <v>352.9672784</v>
      </c>
      <c r="V400" s="772">
        <v>156.1698893</v>
      </c>
      <c r="X400" s="769" t="s">
        <v>496</v>
      </c>
      <c r="Y400" s="770" t="s">
        <v>494</v>
      </c>
      <c r="Z400" s="770" t="s">
        <v>499</v>
      </c>
      <c r="AA400" s="770" t="s">
        <v>609</v>
      </c>
      <c r="AB400" s="770" t="s">
        <v>493</v>
      </c>
      <c r="AC400" s="770" t="s">
        <v>103</v>
      </c>
      <c r="AD400" s="770" t="s">
        <v>501</v>
      </c>
      <c r="AE400" s="784" t="s">
        <v>502</v>
      </c>
      <c r="AF400" s="771">
        <v>9841.647633</v>
      </c>
      <c r="AG400" s="771">
        <v>7438.895415</v>
      </c>
      <c r="AH400" s="771">
        <v>13073.59237</v>
      </c>
      <c r="AI400" s="772" t="s">
        <v>233</v>
      </c>
      <c r="AK400" s="769" t="s">
        <v>496</v>
      </c>
      <c r="AL400" s="770" t="s">
        <v>494</v>
      </c>
      <c r="AM400" s="770" t="s">
        <v>499</v>
      </c>
      <c r="AN400" s="770" t="s">
        <v>609</v>
      </c>
      <c r="AO400" s="770" t="s">
        <v>493</v>
      </c>
      <c r="AP400" s="770" t="s">
        <v>504</v>
      </c>
      <c r="AQ400" s="770" t="s">
        <v>501</v>
      </c>
      <c r="AR400" s="784" t="s">
        <v>502</v>
      </c>
      <c r="AS400" s="771">
        <v>153179.7195</v>
      </c>
      <c r="AT400" s="771">
        <v>115782.2303</v>
      </c>
      <c r="AU400" s="771">
        <v>203483.1246</v>
      </c>
      <c r="AV400" s="989" t="s">
        <v>233</v>
      </c>
      <c r="AW400" s="714"/>
    </row>
    <row r="401">
      <c r="A401" s="761"/>
      <c r="B401" s="769" t="s">
        <v>493</v>
      </c>
      <c r="C401" s="770" t="s">
        <v>608</v>
      </c>
      <c r="D401" s="770" t="s">
        <v>494</v>
      </c>
      <c r="E401" s="770" t="s">
        <v>505</v>
      </c>
      <c r="F401" s="770" t="s">
        <v>519</v>
      </c>
      <c r="G401" s="770" t="s">
        <v>103</v>
      </c>
      <c r="H401" s="770">
        <v>2019.0</v>
      </c>
      <c r="I401" s="771">
        <v>411.3262528</v>
      </c>
      <c r="J401" s="771">
        <v>589.8308961</v>
      </c>
      <c r="K401" s="772">
        <v>262.4438518</v>
      </c>
      <c r="M401" s="769" t="s">
        <v>493</v>
      </c>
      <c r="N401" s="770" t="s">
        <v>608</v>
      </c>
      <c r="O401" s="770" t="s">
        <v>494</v>
      </c>
      <c r="P401" s="770" t="s">
        <v>505</v>
      </c>
      <c r="Q401" s="770" t="s">
        <v>519</v>
      </c>
      <c r="R401" s="770" t="s">
        <v>497</v>
      </c>
      <c r="S401" s="770">
        <v>2019.0</v>
      </c>
      <c r="T401" s="771">
        <v>55914.05976</v>
      </c>
      <c r="U401" s="771">
        <v>80179.27314</v>
      </c>
      <c r="V401" s="772">
        <v>35675.57655</v>
      </c>
      <c r="X401" s="769" t="s">
        <v>496</v>
      </c>
      <c r="Y401" s="770" t="s">
        <v>494</v>
      </c>
      <c r="Z401" s="770" t="s">
        <v>507</v>
      </c>
      <c r="AA401" s="770" t="s">
        <v>609</v>
      </c>
      <c r="AB401" s="770" t="s">
        <v>493</v>
      </c>
      <c r="AC401" s="770" t="s">
        <v>103</v>
      </c>
      <c r="AD401" s="770" t="s">
        <v>501</v>
      </c>
      <c r="AE401" s="784" t="s">
        <v>502</v>
      </c>
      <c r="AF401" s="771">
        <v>8850.340604</v>
      </c>
      <c r="AG401" s="771">
        <v>6702.472217</v>
      </c>
      <c r="AH401" s="771">
        <v>11782.5782</v>
      </c>
      <c r="AI401" s="772" t="s">
        <v>233</v>
      </c>
      <c r="AK401" s="769" t="s">
        <v>496</v>
      </c>
      <c r="AL401" s="770" t="s">
        <v>494</v>
      </c>
      <c r="AM401" s="770" t="s">
        <v>507</v>
      </c>
      <c r="AN401" s="770" t="s">
        <v>609</v>
      </c>
      <c r="AO401" s="770" t="s">
        <v>493</v>
      </c>
      <c r="AP401" s="770" t="s">
        <v>504</v>
      </c>
      <c r="AQ401" s="770" t="s">
        <v>501</v>
      </c>
      <c r="AR401" s="784" t="s">
        <v>502</v>
      </c>
      <c r="AS401" s="771">
        <v>2992.978224</v>
      </c>
      <c r="AT401" s="771">
        <v>2266.619364</v>
      </c>
      <c r="AU401" s="771">
        <v>3984.592408</v>
      </c>
      <c r="AV401" s="989" t="s">
        <v>233</v>
      </c>
      <c r="AW401" s="714"/>
    </row>
    <row r="402">
      <c r="A402" s="761"/>
      <c r="B402" s="769" t="s">
        <v>493</v>
      </c>
      <c r="C402" s="770" t="s">
        <v>608</v>
      </c>
      <c r="D402" s="770" t="s">
        <v>494</v>
      </c>
      <c r="E402" s="770" t="s">
        <v>508</v>
      </c>
      <c r="F402" s="770" t="s">
        <v>519</v>
      </c>
      <c r="G402" s="770" t="s">
        <v>103</v>
      </c>
      <c r="H402" s="770">
        <v>2019.0</v>
      </c>
      <c r="I402" s="771">
        <v>9.079117648</v>
      </c>
      <c r="J402" s="771">
        <v>16.86886061</v>
      </c>
      <c r="K402" s="772">
        <v>3.770744567</v>
      </c>
      <c r="M402" s="769" t="s">
        <v>493</v>
      </c>
      <c r="N402" s="770" t="s">
        <v>608</v>
      </c>
      <c r="O402" s="770" t="s">
        <v>494</v>
      </c>
      <c r="P402" s="770" t="s">
        <v>508</v>
      </c>
      <c r="Q402" s="770" t="s">
        <v>519</v>
      </c>
      <c r="R402" s="770" t="s">
        <v>497</v>
      </c>
      <c r="S402" s="770">
        <v>2019.0</v>
      </c>
      <c r="T402" s="771">
        <v>26.38940933</v>
      </c>
      <c r="U402" s="771">
        <v>49.03111565</v>
      </c>
      <c r="V402" s="772">
        <v>10.96006525</v>
      </c>
      <c r="X402" s="769" t="s">
        <v>496</v>
      </c>
      <c r="Y402" s="770" t="s">
        <v>494</v>
      </c>
      <c r="Z402" s="770" t="s">
        <v>509</v>
      </c>
      <c r="AA402" s="770" t="s">
        <v>609</v>
      </c>
      <c r="AB402" s="770" t="s">
        <v>493</v>
      </c>
      <c r="AC402" s="770" t="s">
        <v>103</v>
      </c>
      <c r="AD402" s="770" t="s">
        <v>501</v>
      </c>
      <c r="AE402" s="784" t="s">
        <v>502</v>
      </c>
      <c r="AF402" s="771">
        <v>2278.435811</v>
      </c>
      <c r="AG402" s="771">
        <v>1716.987123</v>
      </c>
      <c r="AH402" s="771">
        <v>3024.617381</v>
      </c>
      <c r="AI402" s="772" t="s">
        <v>233</v>
      </c>
      <c r="AK402" s="769" t="s">
        <v>496</v>
      </c>
      <c r="AL402" s="770" t="s">
        <v>494</v>
      </c>
      <c r="AM402" s="770" t="s">
        <v>509</v>
      </c>
      <c r="AN402" s="770" t="s">
        <v>609</v>
      </c>
      <c r="AO402" s="770" t="s">
        <v>493</v>
      </c>
      <c r="AP402" s="770" t="s">
        <v>504</v>
      </c>
      <c r="AQ402" s="770" t="s">
        <v>501</v>
      </c>
      <c r="AR402" s="784" t="s">
        <v>502</v>
      </c>
      <c r="AS402" s="771">
        <v>12045.20338</v>
      </c>
      <c r="AT402" s="771">
        <v>9077.042678</v>
      </c>
      <c r="AU402" s="771">
        <v>15989.97493</v>
      </c>
      <c r="AV402" s="989" t="s">
        <v>233</v>
      </c>
      <c r="AW402" s="714"/>
    </row>
    <row r="403">
      <c r="A403" s="761"/>
      <c r="B403" s="769" t="s">
        <v>493</v>
      </c>
      <c r="C403" s="770" t="s">
        <v>608</v>
      </c>
      <c r="D403" s="770" t="s">
        <v>494</v>
      </c>
      <c r="E403" s="770" t="s">
        <v>512</v>
      </c>
      <c r="F403" s="770" t="s">
        <v>519</v>
      </c>
      <c r="G403" s="770" t="s">
        <v>103</v>
      </c>
      <c r="H403" s="770">
        <v>2019.0</v>
      </c>
      <c r="I403" s="771">
        <v>32.33600799</v>
      </c>
      <c r="J403" s="771">
        <v>51.66076932</v>
      </c>
      <c r="K403" s="772">
        <v>17.83529329</v>
      </c>
      <c r="M403" s="769" t="s">
        <v>493</v>
      </c>
      <c r="N403" s="770" t="s">
        <v>608</v>
      </c>
      <c r="O403" s="770" t="s">
        <v>494</v>
      </c>
      <c r="P403" s="770" t="s">
        <v>512</v>
      </c>
      <c r="Q403" s="770" t="s">
        <v>519</v>
      </c>
      <c r="R403" s="770" t="s">
        <v>497</v>
      </c>
      <c r="S403" s="770">
        <v>2019.0</v>
      </c>
      <c r="T403" s="771">
        <v>1479.874614</v>
      </c>
      <c r="U403" s="771">
        <v>2364.2826</v>
      </c>
      <c r="V403" s="772">
        <v>816.241689</v>
      </c>
      <c r="X403" s="769" t="s">
        <v>496</v>
      </c>
      <c r="Y403" s="770" t="s">
        <v>494</v>
      </c>
      <c r="Z403" s="770" t="s">
        <v>513</v>
      </c>
      <c r="AA403" s="770" t="s">
        <v>609</v>
      </c>
      <c r="AB403" s="770" t="s">
        <v>493</v>
      </c>
      <c r="AC403" s="770" t="s">
        <v>103</v>
      </c>
      <c r="AD403" s="770" t="s">
        <v>501</v>
      </c>
      <c r="AE403" s="784" t="s">
        <v>502</v>
      </c>
      <c r="AF403" s="771">
        <v>32146.25426</v>
      </c>
      <c r="AG403" s="771">
        <v>24444.70871</v>
      </c>
      <c r="AH403" s="771">
        <v>42579.60034</v>
      </c>
      <c r="AI403" s="772" t="s">
        <v>233</v>
      </c>
      <c r="AK403" s="769" t="s">
        <v>496</v>
      </c>
      <c r="AL403" s="770" t="s">
        <v>494</v>
      </c>
      <c r="AM403" s="770" t="s">
        <v>513</v>
      </c>
      <c r="AN403" s="770" t="s">
        <v>609</v>
      </c>
      <c r="AO403" s="770" t="s">
        <v>493</v>
      </c>
      <c r="AP403" s="770" t="s">
        <v>504</v>
      </c>
      <c r="AQ403" s="770" t="s">
        <v>501</v>
      </c>
      <c r="AR403" s="784" t="s">
        <v>502</v>
      </c>
      <c r="AS403" s="771">
        <v>2090.257456</v>
      </c>
      <c r="AT403" s="771">
        <v>1589.477089</v>
      </c>
      <c r="AU403" s="771">
        <v>2768.668671</v>
      </c>
      <c r="AV403" s="989" t="s">
        <v>233</v>
      </c>
      <c r="AW403" s="714"/>
    </row>
    <row r="404">
      <c r="A404" s="761"/>
      <c r="B404" s="769" t="s">
        <v>493</v>
      </c>
      <c r="C404" s="770" t="s">
        <v>608</v>
      </c>
      <c r="D404" s="770" t="s">
        <v>494</v>
      </c>
      <c r="E404" s="770" t="s">
        <v>495</v>
      </c>
      <c r="F404" s="770" t="s">
        <v>521</v>
      </c>
      <c r="G404" s="770" t="s">
        <v>103</v>
      </c>
      <c r="H404" s="770">
        <v>2019.0</v>
      </c>
      <c r="I404" s="771">
        <v>16.63942163</v>
      </c>
      <c r="J404" s="771">
        <v>43.74376129</v>
      </c>
      <c r="K404" s="772">
        <v>4.131453641</v>
      </c>
      <c r="M404" s="769" t="s">
        <v>493</v>
      </c>
      <c r="N404" s="770" t="s">
        <v>608</v>
      </c>
      <c r="O404" s="770" t="s">
        <v>494</v>
      </c>
      <c r="P404" s="770" t="s">
        <v>495</v>
      </c>
      <c r="Q404" s="770" t="s">
        <v>521</v>
      </c>
      <c r="R404" s="770" t="s">
        <v>497</v>
      </c>
      <c r="S404" s="770">
        <v>2019.0</v>
      </c>
      <c r="T404" s="771">
        <v>8.99267074</v>
      </c>
      <c r="U404" s="771">
        <v>23.64104059</v>
      </c>
      <c r="V404" s="772">
        <v>2.232818129</v>
      </c>
      <c r="X404" s="769" t="s">
        <v>514</v>
      </c>
      <c r="Y404" s="770" t="s">
        <v>494</v>
      </c>
      <c r="Z404" s="770" t="s">
        <v>499</v>
      </c>
      <c r="AA404" s="770" t="s">
        <v>609</v>
      </c>
      <c r="AB404" s="770" t="s">
        <v>493</v>
      </c>
      <c r="AC404" s="770" t="s">
        <v>103</v>
      </c>
      <c r="AD404" s="770" t="s">
        <v>501</v>
      </c>
      <c r="AE404" s="784" t="s">
        <v>502</v>
      </c>
      <c r="AF404" s="771">
        <v>9094.253381</v>
      </c>
      <c r="AG404" s="771">
        <v>6776.660283</v>
      </c>
      <c r="AH404" s="771">
        <v>12020.94815</v>
      </c>
      <c r="AI404" s="772" t="s">
        <v>233</v>
      </c>
      <c r="AK404" s="769" t="s">
        <v>514</v>
      </c>
      <c r="AL404" s="770" t="s">
        <v>494</v>
      </c>
      <c r="AM404" s="770" t="s">
        <v>499</v>
      </c>
      <c r="AN404" s="770" t="s">
        <v>609</v>
      </c>
      <c r="AO404" s="770" t="s">
        <v>493</v>
      </c>
      <c r="AP404" s="770" t="s">
        <v>504</v>
      </c>
      <c r="AQ404" s="770" t="s">
        <v>501</v>
      </c>
      <c r="AR404" s="784" t="s">
        <v>502</v>
      </c>
      <c r="AS404" s="771">
        <v>141546.9476</v>
      </c>
      <c r="AT404" s="771">
        <v>105474.9123</v>
      </c>
      <c r="AU404" s="771">
        <v>187099.3084</v>
      </c>
      <c r="AV404" s="989" t="s">
        <v>233</v>
      </c>
      <c r="AW404" s="714"/>
    </row>
    <row r="405">
      <c r="A405" s="761"/>
      <c r="B405" s="769" t="s">
        <v>493</v>
      </c>
      <c r="C405" s="770" t="s">
        <v>608</v>
      </c>
      <c r="D405" s="770" t="s">
        <v>494</v>
      </c>
      <c r="E405" s="770" t="s">
        <v>505</v>
      </c>
      <c r="F405" s="770" t="s">
        <v>521</v>
      </c>
      <c r="G405" s="770" t="s">
        <v>103</v>
      </c>
      <c r="H405" s="770">
        <v>2019.0</v>
      </c>
      <c r="I405" s="771">
        <v>0.0</v>
      </c>
      <c r="J405" s="771">
        <v>0.0</v>
      </c>
      <c r="K405" s="772">
        <v>0.0</v>
      </c>
      <c r="M405" s="769" t="s">
        <v>493</v>
      </c>
      <c r="N405" s="770" t="s">
        <v>608</v>
      </c>
      <c r="O405" s="770" t="s">
        <v>494</v>
      </c>
      <c r="P405" s="770" t="s">
        <v>505</v>
      </c>
      <c r="Q405" s="770" t="s">
        <v>521</v>
      </c>
      <c r="R405" s="770" t="s">
        <v>497</v>
      </c>
      <c r="S405" s="770">
        <v>2019.0</v>
      </c>
      <c r="T405" s="771">
        <v>0.0</v>
      </c>
      <c r="U405" s="771">
        <v>0.0</v>
      </c>
      <c r="V405" s="772">
        <v>0.0</v>
      </c>
      <c r="X405" s="769" t="s">
        <v>514</v>
      </c>
      <c r="Y405" s="770" t="s">
        <v>494</v>
      </c>
      <c r="Z405" s="770" t="s">
        <v>507</v>
      </c>
      <c r="AA405" s="770" t="s">
        <v>609</v>
      </c>
      <c r="AB405" s="770" t="s">
        <v>493</v>
      </c>
      <c r="AC405" s="770" t="s">
        <v>103</v>
      </c>
      <c r="AD405" s="770" t="s">
        <v>501</v>
      </c>
      <c r="AE405" s="784" t="s">
        <v>502</v>
      </c>
      <c r="AF405" s="771">
        <v>7403.713901</v>
      </c>
      <c r="AG405" s="771">
        <v>5361.098425</v>
      </c>
      <c r="AH405" s="771">
        <v>9943.857004</v>
      </c>
      <c r="AI405" s="772" t="s">
        <v>233</v>
      </c>
      <c r="AK405" s="769" t="s">
        <v>514</v>
      </c>
      <c r="AL405" s="770" t="s">
        <v>494</v>
      </c>
      <c r="AM405" s="770" t="s">
        <v>507</v>
      </c>
      <c r="AN405" s="770" t="s">
        <v>609</v>
      </c>
      <c r="AO405" s="770" t="s">
        <v>493</v>
      </c>
      <c r="AP405" s="770" t="s">
        <v>504</v>
      </c>
      <c r="AQ405" s="770" t="s">
        <v>501</v>
      </c>
      <c r="AR405" s="784" t="s">
        <v>502</v>
      </c>
      <c r="AS405" s="771">
        <v>2503.762903</v>
      </c>
      <c r="AT405" s="771">
        <v>1812.998116</v>
      </c>
      <c r="AU405" s="771">
        <v>3362.779898</v>
      </c>
      <c r="AV405" s="989" t="s">
        <v>233</v>
      </c>
      <c r="AW405" s="714"/>
    </row>
    <row r="406">
      <c r="A406" s="761"/>
      <c r="B406" s="769" t="s">
        <v>493</v>
      </c>
      <c r="C406" s="770" t="s">
        <v>608</v>
      </c>
      <c r="D406" s="770" t="s">
        <v>494</v>
      </c>
      <c r="E406" s="770" t="s">
        <v>508</v>
      </c>
      <c r="F406" s="770" t="s">
        <v>521</v>
      </c>
      <c r="G406" s="770" t="s">
        <v>103</v>
      </c>
      <c r="H406" s="770">
        <v>2019.0</v>
      </c>
      <c r="I406" s="771">
        <v>5.919284539</v>
      </c>
      <c r="J406" s="771">
        <v>15.76492103</v>
      </c>
      <c r="K406" s="772">
        <v>1.517920457</v>
      </c>
      <c r="M406" s="769" t="s">
        <v>493</v>
      </c>
      <c r="N406" s="770" t="s">
        <v>608</v>
      </c>
      <c r="O406" s="770" t="s">
        <v>494</v>
      </c>
      <c r="P406" s="770" t="s">
        <v>508</v>
      </c>
      <c r="Q406" s="770" t="s">
        <v>521</v>
      </c>
      <c r="R406" s="770" t="s">
        <v>497</v>
      </c>
      <c r="S406" s="770">
        <v>2019.0</v>
      </c>
      <c r="T406" s="771">
        <v>17.20502241</v>
      </c>
      <c r="U406" s="771">
        <v>45.8223993</v>
      </c>
      <c r="V406" s="772">
        <v>4.411995285</v>
      </c>
      <c r="X406" s="769" t="s">
        <v>514</v>
      </c>
      <c r="Y406" s="770" t="s">
        <v>494</v>
      </c>
      <c r="Z406" s="770" t="s">
        <v>509</v>
      </c>
      <c r="AA406" s="770" t="s">
        <v>609</v>
      </c>
      <c r="AB406" s="770" t="s">
        <v>493</v>
      </c>
      <c r="AC406" s="770" t="s">
        <v>103</v>
      </c>
      <c r="AD406" s="770" t="s">
        <v>501</v>
      </c>
      <c r="AE406" s="784" t="s">
        <v>502</v>
      </c>
      <c r="AF406" s="771">
        <v>2006.280263</v>
      </c>
      <c r="AG406" s="771">
        <v>1496.736648</v>
      </c>
      <c r="AH406" s="771">
        <v>2670.12952</v>
      </c>
      <c r="AI406" s="772" t="s">
        <v>233</v>
      </c>
      <c r="AK406" s="769" t="s">
        <v>514</v>
      </c>
      <c r="AL406" s="770" t="s">
        <v>494</v>
      </c>
      <c r="AM406" s="770" t="s">
        <v>509</v>
      </c>
      <c r="AN406" s="770" t="s">
        <v>609</v>
      </c>
      <c r="AO406" s="770" t="s">
        <v>493</v>
      </c>
      <c r="AP406" s="770" t="s">
        <v>504</v>
      </c>
      <c r="AQ406" s="770" t="s">
        <v>501</v>
      </c>
      <c r="AR406" s="784" t="s">
        <v>502</v>
      </c>
      <c r="AS406" s="771">
        <v>10606.42292</v>
      </c>
      <c r="AT406" s="771">
        <v>7912.664138</v>
      </c>
      <c r="AU406" s="771">
        <v>14115.93558</v>
      </c>
      <c r="AV406" s="989" t="s">
        <v>233</v>
      </c>
      <c r="AW406" s="714"/>
    </row>
    <row r="407">
      <c r="A407" s="761"/>
      <c r="B407" s="769" t="s">
        <v>493</v>
      </c>
      <c r="C407" s="770" t="s">
        <v>608</v>
      </c>
      <c r="D407" s="770" t="s">
        <v>494</v>
      </c>
      <c r="E407" s="770" t="s">
        <v>512</v>
      </c>
      <c r="F407" s="770" t="s">
        <v>521</v>
      </c>
      <c r="G407" s="770" t="s">
        <v>103</v>
      </c>
      <c r="H407" s="770">
        <v>2019.0</v>
      </c>
      <c r="I407" s="771">
        <v>0.0</v>
      </c>
      <c r="J407" s="771">
        <v>0.0</v>
      </c>
      <c r="K407" s="772">
        <v>0.0</v>
      </c>
      <c r="M407" s="769" t="s">
        <v>493</v>
      </c>
      <c r="N407" s="770" t="s">
        <v>608</v>
      </c>
      <c r="O407" s="770" t="s">
        <v>494</v>
      </c>
      <c r="P407" s="770" t="s">
        <v>512</v>
      </c>
      <c r="Q407" s="770" t="s">
        <v>521</v>
      </c>
      <c r="R407" s="770" t="s">
        <v>497</v>
      </c>
      <c r="S407" s="770">
        <v>2019.0</v>
      </c>
      <c r="T407" s="771">
        <v>0.0</v>
      </c>
      <c r="U407" s="771">
        <v>0.0</v>
      </c>
      <c r="V407" s="772">
        <v>0.0</v>
      </c>
      <c r="X407" s="769" t="s">
        <v>514</v>
      </c>
      <c r="Y407" s="770" t="s">
        <v>494</v>
      </c>
      <c r="Z407" s="770" t="s">
        <v>513</v>
      </c>
      <c r="AA407" s="770" t="s">
        <v>609</v>
      </c>
      <c r="AB407" s="770" t="s">
        <v>493</v>
      </c>
      <c r="AC407" s="770" t="s">
        <v>103</v>
      </c>
      <c r="AD407" s="770" t="s">
        <v>501</v>
      </c>
      <c r="AE407" s="784" t="s">
        <v>502</v>
      </c>
      <c r="AF407" s="771">
        <v>27966.72765</v>
      </c>
      <c r="AG407" s="771">
        <v>20642.39189</v>
      </c>
      <c r="AH407" s="771">
        <v>37171.99244</v>
      </c>
      <c r="AI407" s="772" t="s">
        <v>233</v>
      </c>
      <c r="AK407" s="769" t="s">
        <v>514</v>
      </c>
      <c r="AL407" s="770" t="s">
        <v>494</v>
      </c>
      <c r="AM407" s="770" t="s">
        <v>513</v>
      </c>
      <c r="AN407" s="770" t="s">
        <v>609</v>
      </c>
      <c r="AO407" s="770" t="s">
        <v>493</v>
      </c>
      <c r="AP407" s="770" t="s">
        <v>504</v>
      </c>
      <c r="AQ407" s="770" t="s">
        <v>501</v>
      </c>
      <c r="AR407" s="784" t="s">
        <v>502</v>
      </c>
      <c r="AS407" s="771">
        <v>1818.490594</v>
      </c>
      <c r="AT407" s="771">
        <v>1342.237674</v>
      </c>
      <c r="AU407" s="771">
        <v>2417.047838</v>
      </c>
      <c r="AV407" s="989" t="s">
        <v>233</v>
      </c>
      <c r="AW407" s="714"/>
    </row>
    <row r="408">
      <c r="A408" s="761"/>
      <c r="B408" s="769" t="s">
        <v>493</v>
      </c>
      <c r="C408" s="770" t="s">
        <v>608</v>
      </c>
      <c r="D408" s="770" t="s">
        <v>494</v>
      </c>
      <c r="E408" s="770" t="s">
        <v>495</v>
      </c>
      <c r="F408" s="770" t="s">
        <v>523</v>
      </c>
      <c r="G408" s="770" t="s">
        <v>103</v>
      </c>
      <c r="H408" s="770">
        <v>2019.0</v>
      </c>
      <c r="I408" s="771">
        <v>10.54758167</v>
      </c>
      <c r="J408" s="771">
        <v>21.61145634</v>
      </c>
      <c r="K408" s="772">
        <v>4.070462863</v>
      </c>
      <c r="M408" s="769" t="s">
        <v>493</v>
      </c>
      <c r="N408" s="770" t="s">
        <v>608</v>
      </c>
      <c r="O408" s="770" t="s">
        <v>494</v>
      </c>
      <c r="P408" s="770" t="s">
        <v>495</v>
      </c>
      <c r="Q408" s="770" t="s">
        <v>523</v>
      </c>
      <c r="R408" s="770" t="s">
        <v>497</v>
      </c>
      <c r="S408" s="770">
        <v>2019.0</v>
      </c>
      <c r="T408" s="771">
        <v>5.700374156</v>
      </c>
      <c r="U408" s="771">
        <v>11.67977562</v>
      </c>
      <c r="V408" s="772">
        <v>2.199856046</v>
      </c>
      <c r="X408" s="769" t="s">
        <v>518</v>
      </c>
      <c r="Y408" s="770" t="s">
        <v>494</v>
      </c>
      <c r="Z408" s="770" t="s">
        <v>499</v>
      </c>
      <c r="AA408" s="770" t="s">
        <v>609</v>
      </c>
      <c r="AB408" s="770" t="s">
        <v>493</v>
      </c>
      <c r="AC408" s="770" t="s">
        <v>103</v>
      </c>
      <c r="AD408" s="770" t="s">
        <v>501</v>
      </c>
      <c r="AE408" s="784" t="s">
        <v>502</v>
      </c>
      <c r="AF408" s="771">
        <v>70.47472552</v>
      </c>
      <c r="AG408" s="771">
        <v>27.9274796</v>
      </c>
      <c r="AH408" s="771">
        <v>146.6097568</v>
      </c>
      <c r="AI408" s="772" t="s">
        <v>233</v>
      </c>
      <c r="AK408" s="769" t="s">
        <v>518</v>
      </c>
      <c r="AL408" s="770" t="s">
        <v>494</v>
      </c>
      <c r="AM408" s="770" t="s">
        <v>499</v>
      </c>
      <c r="AN408" s="770" t="s">
        <v>609</v>
      </c>
      <c r="AO408" s="770" t="s">
        <v>493</v>
      </c>
      <c r="AP408" s="770" t="s">
        <v>504</v>
      </c>
      <c r="AQ408" s="770" t="s">
        <v>501</v>
      </c>
      <c r="AR408" s="784" t="s">
        <v>502</v>
      </c>
      <c r="AS408" s="771">
        <v>1096.899532</v>
      </c>
      <c r="AT408" s="771">
        <v>434.6755392</v>
      </c>
      <c r="AU408" s="771">
        <v>2281.898546</v>
      </c>
      <c r="AV408" s="989" t="s">
        <v>233</v>
      </c>
      <c r="AW408" s="714"/>
    </row>
    <row r="409">
      <c r="A409" s="761"/>
      <c r="B409" s="769" t="s">
        <v>493</v>
      </c>
      <c r="C409" s="770" t="s">
        <v>608</v>
      </c>
      <c r="D409" s="770" t="s">
        <v>494</v>
      </c>
      <c r="E409" s="770" t="s">
        <v>505</v>
      </c>
      <c r="F409" s="770" t="s">
        <v>523</v>
      </c>
      <c r="G409" s="770" t="s">
        <v>103</v>
      </c>
      <c r="H409" s="770">
        <v>2019.0</v>
      </c>
      <c r="I409" s="771">
        <v>0.0</v>
      </c>
      <c r="J409" s="771">
        <v>0.0</v>
      </c>
      <c r="K409" s="772">
        <v>0.0</v>
      </c>
      <c r="M409" s="769" t="s">
        <v>493</v>
      </c>
      <c r="N409" s="770" t="s">
        <v>608</v>
      </c>
      <c r="O409" s="770" t="s">
        <v>494</v>
      </c>
      <c r="P409" s="770" t="s">
        <v>505</v>
      </c>
      <c r="Q409" s="770" t="s">
        <v>523</v>
      </c>
      <c r="R409" s="770" t="s">
        <v>497</v>
      </c>
      <c r="S409" s="770">
        <v>2019.0</v>
      </c>
      <c r="T409" s="771">
        <v>0.0</v>
      </c>
      <c r="U409" s="771">
        <v>0.0</v>
      </c>
      <c r="V409" s="772">
        <v>0.0</v>
      </c>
      <c r="X409" s="769" t="s">
        <v>518</v>
      </c>
      <c r="Y409" s="770" t="s">
        <v>494</v>
      </c>
      <c r="Z409" s="770" t="s">
        <v>507</v>
      </c>
      <c r="AA409" s="770" t="s">
        <v>609</v>
      </c>
      <c r="AB409" s="770" t="s">
        <v>493</v>
      </c>
      <c r="AC409" s="770" t="s">
        <v>103</v>
      </c>
      <c r="AD409" s="770" t="s">
        <v>501</v>
      </c>
      <c r="AE409" s="784" t="s">
        <v>502</v>
      </c>
      <c r="AF409" s="771">
        <v>2453.804642</v>
      </c>
      <c r="AG409" s="771">
        <v>1316.027666</v>
      </c>
      <c r="AH409" s="771">
        <v>4024.138769</v>
      </c>
      <c r="AI409" s="772" t="s">
        <v>233</v>
      </c>
      <c r="AK409" s="769" t="s">
        <v>518</v>
      </c>
      <c r="AL409" s="770" t="s">
        <v>494</v>
      </c>
      <c r="AM409" s="770" t="s">
        <v>507</v>
      </c>
      <c r="AN409" s="770" t="s">
        <v>609</v>
      </c>
      <c r="AO409" s="770" t="s">
        <v>493</v>
      </c>
      <c r="AP409" s="770" t="s">
        <v>504</v>
      </c>
      <c r="AQ409" s="770" t="s">
        <v>501</v>
      </c>
      <c r="AR409" s="784" t="s">
        <v>502</v>
      </c>
      <c r="AS409" s="771">
        <v>829.8193467</v>
      </c>
      <c r="AT409" s="771">
        <v>445.0497807</v>
      </c>
      <c r="AU409" s="771">
        <v>1360.869625</v>
      </c>
      <c r="AV409" s="989" t="s">
        <v>233</v>
      </c>
      <c r="AW409" s="714"/>
    </row>
    <row r="410">
      <c r="A410" s="761"/>
      <c r="B410" s="769" t="s">
        <v>493</v>
      </c>
      <c r="C410" s="770" t="s">
        <v>608</v>
      </c>
      <c r="D410" s="770" t="s">
        <v>494</v>
      </c>
      <c r="E410" s="770" t="s">
        <v>508</v>
      </c>
      <c r="F410" s="770" t="s">
        <v>523</v>
      </c>
      <c r="G410" s="770" t="s">
        <v>103</v>
      </c>
      <c r="H410" s="770">
        <v>2019.0</v>
      </c>
      <c r="I410" s="771">
        <v>7.167940667</v>
      </c>
      <c r="J410" s="771">
        <v>16.22028178</v>
      </c>
      <c r="K410" s="772">
        <v>2.741387294</v>
      </c>
      <c r="M410" s="769" t="s">
        <v>493</v>
      </c>
      <c r="N410" s="770" t="s">
        <v>608</v>
      </c>
      <c r="O410" s="770" t="s">
        <v>494</v>
      </c>
      <c r="P410" s="770" t="s">
        <v>508</v>
      </c>
      <c r="Q410" s="770" t="s">
        <v>523</v>
      </c>
      <c r="R410" s="770" t="s">
        <v>497</v>
      </c>
      <c r="S410" s="770">
        <v>2019.0</v>
      </c>
      <c r="T410" s="771">
        <v>20.83437264</v>
      </c>
      <c r="U410" s="771">
        <v>47.14595315</v>
      </c>
      <c r="V410" s="772">
        <v>7.96813019</v>
      </c>
      <c r="X410" s="769" t="s">
        <v>518</v>
      </c>
      <c r="Y410" s="770" t="s">
        <v>494</v>
      </c>
      <c r="Z410" s="770" t="s">
        <v>509</v>
      </c>
      <c r="AA410" s="770" t="s">
        <v>609</v>
      </c>
      <c r="AB410" s="770" t="s">
        <v>493</v>
      </c>
      <c r="AC410" s="770" t="s">
        <v>103</v>
      </c>
      <c r="AD410" s="770" t="s">
        <v>501</v>
      </c>
      <c r="AE410" s="784" t="s">
        <v>502</v>
      </c>
      <c r="AF410" s="771">
        <v>165.4257004</v>
      </c>
      <c r="AG410" s="771">
        <v>82.59174632</v>
      </c>
      <c r="AH410" s="771">
        <v>299.9111207</v>
      </c>
      <c r="AI410" s="772" t="s">
        <v>233</v>
      </c>
      <c r="AK410" s="769" t="s">
        <v>518</v>
      </c>
      <c r="AL410" s="770" t="s">
        <v>494</v>
      </c>
      <c r="AM410" s="770" t="s">
        <v>509</v>
      </c>
      <c r="AN410" s="770" t="s">
        <v>609</v>
      </c>
      <c r="AO410" s="770" t="s">
        <v>493</v>
      </c>
      <c r="AP410" s="770" t="s">
        <v>504</v>
      </c>
      <c r="AQ410" s="770" t="s">
        <v>501</v>
      </c>
      <c r="AR410" s="784" t="s">
        <v>502</v>
      </c>
      <c r="AS410" s="771">
        <v>874.5412954</v>
      </c>
      <c r="AT410" s="771">
        <v>436.6304185</v>
      </c>
      <c r="AU410" s="771">
        <v>1585.513371</v>
      </c>
      <c r="AV410" s="989" t="s">
        <v>233</v>
      </c>
      <c r="AW410" s="714"/>
    </row>
    <row r="411">
      <c r="A411" s="761"/>
      <c r="B411" s="769" t="s">
        <v>493</v>
      </c>
      <c r="C411" s="770" t="s">
        <v>608</v>
      </c>
      <c r="D411" s="770" t="s">
        <v>494</v>
      </c>
      <c r="E411" s="770" t="s">
        <v>512</v>
      </c>
      <c r="F411" s="770" t="s">
        <v>523</v>
      </c>
      <c r="G411" s="770" t="s">
        <v>103</v>
      </c>
      <c r="H411" s="770">
        <v>2019.0</v>
      </c>
      <c r="I411" s="771">
        <v>0.0</v>
      </c>
      <c r="J411" s="771">
        <v>0.0</v>
      </c>
      <c r="K411" s="772">
        <v>0.0</v>
      </c>
      <c r="M411" s="769" t="s">
        <v>493</v>
      </c>
      <c r="N411" s="770" t="s">
        <v>608</v>
      </c>
      <c r="O411" s="770" t="s">
        <v>494</v>
      </c>
      <c r="P411" s="770" t="s">
        <v>512</v>
      </c>
      <c r="Q411" s="770" t="s">
        <v>523</v>
      </c>
      <c r="R411" s="770" t="s">
        <v>497</v>
      </c>
      <c r="S411" s="770">
        <v>2019.0</v>
      </c>
      <c r="T411" s="771">
        <v>0.0</v>
      </c>
      <c r="U411" s="771">
        <v>0.0</v>
      </c>
      <c r="V411" s="772">
        <v>0.0</v>
      </c>
      <c r="X411" s="769" t="s">
        <v>518</v>
      </c>
      <c r="Y411" s="770" t="s">
        <v>494</v>
      </c>
      <c r="Z411" s="770" t="s">
        <v>513</v>
      </c>
      <c r="AA411" s="770" t="s">
        <v>609</v>
      </c>
      <c r="AB411" s="770" t="s">
        <v>493</v>
      </c>
      <c r="AC411" s="770" t="s">
        <v>103</v>
      </c>
      <c r="AD411" s="770" t="s">
        <v>501</v>
      </c>
      <c r="AE411" s="784" t="s">
        <v>502</v>
      </c>
      <c r="AF411" s="771">
        <v>4668.894586</v>
      </c>
      <c r="AG411" s="771">
        <v>2714.873777</v>
      </c>
      <c r="AH411" s="771">
        <v>7095.670065</v>
      </c>
      <c r="AI411" s="772" t="s">
        <v>233</v>
      </c>
      <c r="AK411" s="769" t="s">
        <v>518</v>
      </c>
      <c r="AL411" s="770" t="s">
        <v>494</v>
      </c>
      <c r="AM411" s="770" t="s">
        <v>513</v>
      </c>
      <c r="AN411" s="770" t="s">
        <v>609</v>
      </c>
      <c r="AO411" s="770" t="s">
        <v>493</v>
      </c>
      <c r="AP411" s="770" t="s">
        <v>504</v>
      </c>
      <c r="AQ411" s="770" t="s">
        <v>501</v>
      </c>
      <c r="AR411" s="784" t="s">
        <v>502</v>
      </c>
      <c r="AS411" s="771">
        <v>303.5872124</v>
      </c>
      <c r="AT411" s="771">
        <v>176.5302143</v>
      </c>
      <c r="AU411" s="771">
        <v>461.3843074</v>
      </c>
      <c r="AV411" s="989" t="s">
        <v>233</v>
      </c>
      <c r="AW411" s="714"/>
    </row>
    <row r="412">
      <c r="A412" s="761"/>
      <c r="B412" s="769" t="s">
        <v>493</v>
      </c>
      <c r="C412" s="770" t="s">
        <v>611</v>
      </c>
      <c r="D412" s="770" t="s">
        <v>494</v>
      </c>
      <c r="E412" s="770" t="s">
        <v>495</v>
      </c>
      <c r="F412" s="770" t="s">
        <v>496</v>
      </c>
      <c r="G412" s="770" t="s">
        <v>103</v>
      </c>
      <c r="H412" s="770">
        <v>2019.0</v>
      </c>
      <c r="I412" s="771">
        <v>9403.978347</v>
      </c>
      <c r="J412" s="771">
        <v>12943.59758</v>
      </c>
      <c r="K412" s="772">
        <v>6864.615892</v>
      </c>
      <c r="M412" s="769" t="s">
        <v>493</v>
      </c>
      <c r="N412" s="770" t="s">
        <v>611</v>
      </c>
      <c r="O412" s="770" t="s">
        <v>494</v>
      </c>
      <c r="P412" s="770" t="s">
        <v>495</v>
      </c>
      <c r="Q412" s="770" t="s">
        <v>496</v>
      </c>
      <c r="R412" s="770" t="s">
        <v>497</v>
      </c>
      <c r="S412" s="770">
        <v>2019.0</v>
      </c>
      <c r="T412" s="771">
        <v>1011.365002</v>
      </c>
      <c r="U412" s="771">
        <v>1392.038678</v>
      </c>
      <c r="V412" s="772">
        <v>738.2654456</v>
      </c>
      <c r="X412" s="769" t="s">
        <v>519</v>
      </c>
      <c r="Y412" s="770" t="s">
        <v>494</v>
      </c>
      <c r="Z412" s="770" t="s">
        <v>499</v>
      </c>
      <c r="AA412" s="770" t="s">
        <v>609</v>
      </c>
      <c r="AB412" s="770" t="s">
        <v>493</v>
      </c>
      <c r="AC412" s="770" t="s">
        <v>103</v>
      </c>
      <c r="AD412" s="770" t="s">
        <v>501</v>
      </c>
      <c r="AE412" s="784" t="s">
        <v>502</v>
      </c>
      <c r="AF412" s="771">
        <v>7659.016969</v>
      </c>
      <c r="AG412" s="771">
        <v>5722.160417</v>
      </c>
      <c r="AH412" s="771">
        <v>10122.93301</v>
      </c>
      <c r="AI412" s="772" t="s">
        <v>233</v>
      </c>
      <c r="AK412" s="769" t="s">
        <v>519</v>
      </c>
      <c r="AL412" s="770" t="s">
        <v>494</v>
      </c>
      <c r="AM412" s="770" t="s">
        <v>499</v>
      </c>
      <c r="AN412" s="770" t="s">
        <v>609</v>
      </c>
      <c r="AO412" s="770" t="s">
        <v>493</v>
      </c>
      <c r="AP412" s="770" t="s">
        <v>504</v>
      </c>
      <c r="AQ412" s="770" t="s">
        <v>501</v>
      </c>
      <c r="AR412" s="784" t="s">
        <v>502</v>
      </c>
      <c r="AS412" s="771">
        <v>119208.2987</v>
      </c>
      <c r="AT412" s="771">
        <v>89062.21399</v>
      </c>
      <c r="AU412" s="771">
        <v>157557.7684</v>
      </c>
      <c r="AV412" s="989" t="s">
        <v>233</v>
      </c>
      <c r="AW412" s="714"/>
    </row>
    <row r="413">
      <c r="A413" s="761"/>
      <c r="B413" s="769" t="s">
        <v>493</v>
      </c>
      <c r="C413" s="770" t="s">
        <v>611</v>
      </c>
      <c r="D413" s="770" t="s">
        <v>494</v>
      </c>
      <c r="E413" s="770" t="s">
        <v>505</v>
      </c>
      <c r="F413" s="770" t="s">
        <v>496</v>
      </c>
      <c r="G413" s="770" t="s">
        <v>103</v>
      </c>
      <c r="H413" s="770">
        <v>2019.0</v>
      </c>
      <c r="I413" s="771">
        <v>3125.668298</v>
      </c>
      <c r="J413" s="771">
        <v>4335.249651</v>
      </c>
      <c r="K413" s="772">
        <v>2262.337626</v>
      </c>
      <c r="M413" s="769" t="s">
        <v>493</v>
      </c>
      <c r="N413" s="770" t="s">
        <v>611</v>
      </c>
      <c r="O413" s="770" t="s">
        <v>494</v>
      </c>
      <c r="P413" s="770" t="s">
        <v>505</v>
      </c>
      <c r="Q413" s="770" t="s">
        <v>496</v>
      </c>
      <c r="R413" s="770" t="s">
        <v>497</v>
      </c>
      <c r="S413" s="770">
        <v>2019.0</v>
      </c>
      <c r="T413" s="771">
        <v>82609.56634</v>
      </c>
      <c r="U413" s="771">
        <v>114578.0868</v>
      </c>
      <c r="V413" s="772">
        <v>59792.24678</v>
      </c>
      <c r="X413" s="769" t="s">
        <v>519</v>
      </c>
      <c r="Y413" s="770" t="s">
        <v>494</v>
      </c>
      <c r="Z413" s="770" t="s">
        <v>507</v>
      </c>
      <c r="AA413" s="770" t="s">
        <v>609</v>
      </c>
      <c r="AB413" s="770" t="s">
        <v>493</v>
      </c>
      <c r="AC413" s="770" t="s">
        <v>103</v>
      </c>
      <c r="AD413" s="770" t="s">
        <v>501</v>
      </c>
      <c r="AE413" s="784" t="s">
        <v>502</v>
      </c>
      <c r="AF413" s="771">
        <v>57.3160454</v>
      </c>
      <c r="AG413" s="771">
        <v>32.33002829</v>
      </c>
      <c r="AH413" s="771">
        <v>94.91889091</v>
      </c>
      <c r="AI413" s="772" t="s">
        <v>233</v>
      </c>
      <c r="AK413" s="769" t="s">
        <v>519</v>
      </c>
      <c r="AL413" s="770" t="s">
        <v>494</v>
      </c>
      <c r="AM413" s="770" t="s">
        <v>507</v>
      </c>
      <c r="AN413" s="770" t="s">
        <v>609</v>
      </c>
      <c r="AO413" s="770" t="s">
        <v>493</v>
      </c>
      <c r="AP413" s="770" t="s">
        <v>504</v>
      </c>
      <c r="AQ413" s="770" t="s">
        <v>501</v>
      </c>
      <c r="AR413" s="784" t="s">
        <v>502</v>
      </c>
      <c r="AS413" s="771">
        <v>19.3829462</v>
      </c>
      <c r="AT413" s="771">
        <v>10.93325952</v>
      </c>
      <c r="AU413" s="771">
        <v>32.09934919</v>
      </c>
      <c r="AV413" s="989" t="s">
        <v>233</v>
      </c>
      <c r="AW413" s="714"/>
    </row>
    <row r="414">
      <c r="A414" s="761"/>
      <c r="B414" s="769" t="s">
        <v>493</v>
      </c>
      <c r="C414" s="770" t="s">
        <v>611</v>
      </c>
      <c r="D414" s="770" t="s">
        <v>494</v>
      </c>
      <c r="E414" s="770" t="s">
        <v>508</v>
      </c>
      <c r="F414" s="770" t="s">
        <v>496</v>
      </c>
      <c r="G414" s="770" t="s">
        <v>103</v>
      </c>
      <c r="H414" s="770">
        <v>2019.0</v>
      </c>
      <c r="I414" s="771">
        <v>2461.273208</v>
      </c>
      <c r="J414" s="771">
        <v>3387.917304</v>
      </c>
      <c r="K414" s="772">
        <v>1790.1987</v>
      </c>
      <c r="M414" s="769" t="s">
        <v>493</v>
      </c>
      <c r="N414" s="770" t="s">
        <v>611</v>
      </c>
      <c r="O414" s="770" t="s">
        <v>494</v>
      </c>
      <c r="P414" s="770" t="s">
        <v>508</v>
      </c>
      <c r="Q414" s="770" t="s">
        <v>496</v>
      </c>
      <c r="R414" s="770" t="s">
        <v>497</v>
      </c>
      <c r="S414" s="770">
        <v>2019.0</v>
      </c>
      <c r="T414" s="771">
        <v>1392.123126</v>
      </c>
      <c r="U414" s="771">
        <v>1916.243192</v>
      </c>
      <c r="V414" s="772">
        <v>1012.556022</v>
      </c>
      <c r="X414" s="769" t="s">
        <v>519</v>
      </c>
      <c r="Y414" s="770" t="s">
        <v>494</v>
      </c>
      <c r="Z414" s="770" t="s">
        <v>509</v>
      </c>
      <c r="AA414" s="770" t="s">
        <v>609</v>
      </c>
      <c r="AB414" s="770" t="s">
        <v>493</v>
      </c>
      <c r="AC414" s="770" t="s">
        <v>103</v>
      </c>
      <c r="AD414" s="770" t="s">
        <v>501</v>
      </c>
      <c r="AE414" s="784" t="s">
        <v>502</v>
      </c>
      <c r="AF414" s="771">
        <v>955.3725939</v>
      </c>
      <c r="AG414" s="771">
        <v>643.3437391</v>
      </c>
      <c r="AH414" s="771">
        <v>1329.604539</v>
      </c>
      <c r="AI414" s="772" t="s">
        <v>233</v>
      </c>
      <c r="AK414" s="769" t="s">
        <v>519</v>
      </c>
      <c r="AL414" s="770" t="s">
        <v>494</v>
      </c>
      <c r="AM414" s="770" t="s">
        <v>509</v>
      </c>
      <c r="AN414" s="770" t="s">
        <v>609</v>
      </c>
      <c r="AO414" s="770" t="s">
        <v>493</v>
      </c>
      <c r="AP414" s="770" t="s">
        <v>504</v>
      </c>
      <c r="AQ414" s="770" t="s">
        <v>501</v>
      </c>
      <c r="AR414" s="784" t="s">
        <v>502</v>
      </c>
      <c r="AS414" s="771">
        <v>5050.683078</v>
      </c>
      <c r="AT414" s="771">
        <v>3401.107963</v>
      </c>
      <c r="AU414" s="771">
        <v>7029.101725</v>
      </c>
      <c r="AV414" s="989" t="s">
        <v>233</v>
      </c>
      <c r="AW414" s="714"/>
    </row>
    <row r="415">
      <c r="A415" s="761"/>
      <c r="B415" s="769" t="s">
        <v>493</v>
      </c>
      <c r="C415" s="770" t="s">
        <v>611</v>
      </c>
      <c r="D415" s="770" t="s">
        <v>494</v>
      </c>
      <c r="E415" s="770" t="s">
        <v>512</v>
      </c>
      <c r="F415" s="770" t="s">
        <v>496</v>
      </c>
      <c r="G415" s="770" t="s">
        <v>103</v>
      </c>
      <c r="H415" s="770">
        <v>2019.0</v>
      </c>
      <c r="I415" s="771">
        <v>741.1397707</v>
      </c>
      <c r="J415" s="771">
        <v>1022.32808</v>
      </c>
      <c r="K415" s="772">
        <v>538.7456605</v>
      </c>
      <c r="M415" s="769" t="s">
        <v>493</v>
      </c>
      <c r="N415" s="770" t="s">
        <v>611</v>
      </c>
      <c r="O415" s="770" t="s">
        <v>494</v>
      </c>
      <c r="P415" s="770" t="s">
        <v>512</v>
      </c>
      <c r="Q415" s="770" t="s">
        <v>496</v>
      </c>
      <c r="R415" s="770" t="s">
        <v>497</v>
      </c>
      <c r="S415" s="770">
        <v>2019.0</v>
      </c>
      <c r="T415" s="771">
        <v>6599.458621</v>
      </c>
      <c r="U415" s="771">
        <v>9103.292152</v>
      </c>
      <c r="V415" s="772">
        <v>4797.245855</v>
      </c>
      <c r="X415" s="769" t="s">
        <v>519</v>
      </c>
      <c r="Y415" s="770" t="s">
        <v>494</v>
      </c>
      <c r="Z415" s="770" t="s">
        <v>513</v>
      </c>
      <c r="AA415" s="770" t="s">
        <v>609</v>
      </c>
      <c r="AB415" s="770" t="s">
        <v>493</v>
      </c>
      <c r="AC415" s="770" t="s">
        <v>103</v>
      </c>
      <c r="AD415" s="770" t="s">
        <v>501</v>
      </c>
      <c r="AE415" s="784" t="s">
        <v>502</v>
      </c>
      <c r="AF415" s="771">
        <v>8687.011006</v>
      </c>
      <c r="AG415" s="771">
        <v>6467.455433</v>
      </c>
      <c r="AH415" s="771">
        <v>11446.70074</v>
      </c>
      <c r="AI415" s="772" t="s">
        <v>233</v>
      </c>
      <c r="AK415" s="769" t="s">
        <v>519</v>
      </c>
      <c r="AL415" s="770" t="s">
        <v>494</v>
      </c>
      <c r="AM415" s="770" t="s">
        <v>513</v>
      </c>
      <c r="AN415" s="770" t="s">
        <v>609</v>
      </c>
      <c r="AO415" s="770" t="s">
        <v>493</v>
      </c>
      <c r="AP415" s="770" t="s">
        <v>504</v>
      </c>
      <c r="AQ415" s="770" t="s">
        <v>501</v>
      </c>
      <c r="AR415" s="784" t="s">
        <v>502</v>
      </c>
      <c r="AS415" s="771">
        <v>564.8586419</v>
      </c>
      <c r="AT415" s="771">
        <v>420.5356814</v>
      </c>
      <c r="AU415" s="771">
        <v>744.3029402</v>
      </c>
      <c r="AV415" s="989" t="s">
        <v>233</v>
      </c>
      <c r="AW415" s="714"/>
    </row>
    <row r="416">
      <c r="A416" s="761"/>
      <c r="B416" s="769" t="s">
        <v>493</v>
      </c>
      <c r="C416" s="770" t="s">
        <v>611</v>
      </c>
      <c r="D416" s="770" t="s">
        <v>494</v>
      </c>
      <c r="E416" s="770" t="s">
        <v>495</v>
      </c>
      <c r="F416" s="770" t="s">
        <v>514</v>
      </c>
      <c r="G416" s="770" t="s">
        <v>103</v>
      </c>
      <c r="H416" s="770">
        <v>2019.0</v>
      </c>
      <c r="I416" s="771">
        <v>7872.818558</v>
      </c>
      <c r="J416" s="771">
        <v>10866.27512</v>
      </c>
      <c r="K416" s="772">
        <v>5745.429623</v>
      </c>
      <c r="M416" s="769" t="s">
        <v>493</v>
      </c>
      <c r="N416" s="770" t="s">
        <v>611</v>
      </c>
      <c r="O416" s="770" t="s">
        <v>494</v>
      </c>
      <c r="P416" s="770" t="s">
        <v>495</v>
      </c>
      <c r="Q416" s="770" t="s">
        <v>514</v>
      </c>
      <c r="R416" s="770" t="s">
        <v>497</v>
      </c>
      <c r="S416" s="770">
        <v>2019.0</v>
      </c>
      <c r="T416" s="771">
        <v>846.6941184</v>
      </c>
      <c r="U416" s="771">
        <v>1168.629909</v>
      </c>
      <c r="V416" s="772">
        <v>617.9008743</v>
      </c>
      <c r="X416" s="769" t="s">
        <v>521</v>
      </c>
      <c r="Y416" s="770" t="s">
        <v>494</v>
      </c>
      <c r="Z416" s="770" t="s">
        <v>499</v>
      </c>
      <c r="AA416" s="770" t="s">
        <v>609</v>
      </c>
      <c r="AB416" s="770" t="s">
        <v>493</v>
      </c>
      <c r="AC416" s="770" t="s">
        <v>103</v>
      </c>
      <c r="AD416" s="770" t="s">
        <v>501</v>
      </c>
      <c r="AE416" s="784" t="s">
        <v>502</v>
      </c>
      <c r="AF416" s="771">
        <v>0.0</v>
      </c>
      <c r="AG416" s="771">
        <v>0.0</v>
      </c>
      <c r="AH416" s="771">
        <v>0.0</v>
      </c>
      <c r="AI416" s="772" t="s">
        <v>233</v>
      </c>
      <c r="AK416" s="769" t="s">
        <v>521</v>
      </c>
      <c r="AL416" s="770" t="s">
        <v>494</v>
      </c>
      <c r="AM416" s="770" t="s">
        <v>499</v>
      </c>
      <c r="AN416" s="770" t="s">
        <v>609</v>
      </c>
      <c r="AO416" s="770" t="s">
        <v>493</v>
      </c>
      <c r="AP416" s="770" t="s">
        <v>504</v>
      </c>
      <c r="AQ416" s="770" t="s">
        <v>501</v>
      </c>
      <c r="AR416" s="784" t="s">
        <v>502</v>
      </c>
      <c r="AS416" s="771">
        <v>0.0</v>
      </c>
      <c r="AT416" s="771">
        <v>0.0</v>
      </c>
      <c r="AU416" s="771">
        <v>0.0</v>
      </c>
      <c r="AV416" s="989" t="s">
        <v>233</v>
      </c>
      <c r="AW416" s="714"/>
    </row>
    <row r="417">
      <c r="A417" s="761"/>
      <c r="B417" s="769" t="s">
        <v>493</v>
      </c>
      <c r="C417" s="770" t="s">
        <v>611</v>
      </c>
      <c r="D417" s="770" t="s">
        <v>494</v>
      </c>
      <c r="E417" s="770" t="s">
        <v>505</v>
      </c>
      <c r="F417" s="770" t="s">
        <v>514</v>
      </c>
      <c r="G417" s="770" t="s">
        <v>103</v>
      </c>
      <c r="H417" s="770">
        <v>2019.0</v>
      </c>
      <c r="I417" s="771">
        <v>2856.853099</v>
      </c>
      <c r="J417" s="771">
        <v>3927.013399</v>
      </c>
      <c r="K417" s="772">
        <v>2063.616928</v>
      </c>
      <c r="M417" s="769" t="s">
        <v>493</v>
      </c>
      <c r="N417" s="770" t="s">
        <v>611</v>
      </c>
      <c r="O417" s="770" t="s">
        <v>494</v>
      </c>
      <c r="P417" s="770" t="s">
        <v>505</v>
      </c>
      <c r="Q417" s="770" t="s">
        <v>514</v>
      </c>
      <c r="R417" s="770" t="s">
        <v>497</v>
      </c>
      <c r="S417" s="770">
        <v>2019.0</v>
      </c>
      <c r="T417" s="771">
        <v>75504.93944</v>
      </c>
      <c r="U417" s="771">
        <v>103788.6439</v>
      </c>
      <c r="V417" s="772">
        <v>54540.17613</v>
      </c>
      <c r="X417" s="769" t="s">
        <v>521</v>
      </c>
      <c r="Y417" s="770" t="s">
        <v>494</v>
      </c>
      <c r="Z417" s="770" t="s">
        <v>507</v>
      </c>
      <c r="AA417" s="770" t="s">
        <v>609</v>
      </c>
      <c r="AB417" s="770" t="s">
        <v>493</v>
      </c>
      <c r="AC417" s="770" t="s">
        <v>103</v>
      </c>
      <c r="AD417" s="770" t="s">
        <v>501</v>
      </c>
      <c r="AE417" s="784" t="s">
        <v>502</v>
      </c>
      <c r="AF417" s="771">
        <v>31.85696374</v>
      </c>
      <c r="AG417" s="771">
        <v>9.30007429</v>
      </c>
      <c r="AH417" s="771">
        <v>78.23707655</v>
      </c>
      <c r="AI417" s="772" t="s">
        <v>233</v>
      </c>
      <c r="AK417" s="769" t="s">
        <v>521</v>
      </c>
      <c r="AL417" s="770" t="s">
        <v>494</v>
      </c>
      <c r="AM417" s="770" t="s">
        <v>507</v>
      </c>
      <c r="AN417" s="770" t="s">
        <v>609</v>
      </c>
      <c r="AO417" s="770" t="s">
        <v>493</v>
      </c>
      <c r="AP417" s="770" t="s">
        <v>504</v>
      </c>
      <c r="AQ417" s="770" t="s">
        <v>501</v>
      </c>
      <c r="AR417" s="784" t="s">
        <v>502</v>
      </c>
      <c r="AS417" s="771">
        <v>10.77328015</v>
      </c>
      <c r="AT417" s="771">
        <v>3.145067639</v>
      </c>
      <c r="AU417" s="771">
        <v>26.45794969</v>
      </c>
      <c r="AV417" s="989" t="s">
        <v>233</v>
      </c>
      <c r="AW417" s="714"/>
    </row>
    <row r="418">
      <c r="A418" s="761"/>
      <c r="B418" s="769" t="s">
        <v>493</v>
      </c>
      <c r="C418" s="770" t="s">
        <v>611</v>
      </c>
      <c r="D418" s="770" t="s">
        <v>494</v>
      </c>
      <c r="E418" s="770" t="s">
        <v>508</v>
      </c>
      <c r="F418" s="770" t="s">
        <v>514</v>
      </c>
      <c r="G418" s="770" t="s">
        <v>103</v>
      </c>
      <c r="H418" s="770">
        <v>2019.0</v>
      </c>
      <c r="I418" s="771">
        <v>1981.671413</v>
      </c>
      <c r="J418" s="771">
        <v>2759.253281</v>
      </c>
      <c r="K418" s="772">
        <v>1431.107115</v>
      </c>
      <c r="M418" s="769" t="s">
        <v>493</v>
      </c>
      <c r="N418" s="770" t="s">
        <v>611</v>
      </c>
      <c r="O418" s="770" t="s">
        <v>494</v>
      </c>
      <c r="P418" s="770" t="s">
        <v>508</v>
      </c>
      <c r="Q418" s="770" t="s">
        <v>514</v>
      </c>
      <c r="R418" s="770" t="s">
        <v>497</v>
      </c>
      <c r="S418" s="770">
        <v>2019.0</v>
      </c>
      <c r="T418" s="771">
        <v>1120.855089</v>
      </c>
      <c r="U418" s="771">
        <v>1560.663924</v>
      </c>
      <c r="V418" s="772">
        <v>809.4498832</v>
      </c>
      <c r="X418" s="769" t="s">
        <v>521</v>
      </c>
      <c r="Y418" s="770" t="s">
        <v>494</v>
      </c>
      <c r="Z418" s="770" t="s">
        <v>509</v>
      </c>
      <c r="AA418" s="770" t="s">
        <v>609</v>
      </c>
      <c r="AB418" s="770" t="s">
        <v>493</v>
      </c>
      <c r="AC418" s="770" t="s">
        <v>103</v>
      </c>
      <c r="AD418" s="770" t="s">
        <v>501</v>
      </c>
      <c r="AE418" s="784" t="s">
        <v>502</v>
      </c>
      <c r="AF418" s="771">
        <v>0.0</v>
      </c>
      <c r="AG418" s="771">
        <v>0.0</v>
      </c>
      <c r="AH418" s="771">
        <v>0.0</v>
      </c>
      <c r="AI418" s="772" t="s">
        <v>233</v>
      </c>
      <c r="AK418" s="769" t="s">
        <v>521</v>
      </c>
      <c r="AL418" s="770" t="s">
        <v>494</v>
      </c>
      <c r="AM418" s="770" t="s">
        <v>509</v>
      </c>
      <c r="AN418" s="770" t="s">
        <v>609</v>
      </c>
      <c r="AO418" s="770" t="s">
        <v>493</v>
      </c>
      <c r="AP418" s="770" t="s">
        <v>504</v>
      </c>
      <c r="AQ418" s="770" t="s">
        <v>501</v>
      </c>
      <c r="AR418" s="784" t="s">
        <v>502</v>
      </c>
      <c r="AS418" s="771">
        <v>0.0</v>
      </c>
      <c r="AT418" s="771">
        <v>0.0</v>
      </c>
      <c r="AU418" s="771">
        <v>0.0</v>
      </c>
      <c r="AV418" s="989" t="s">
        <v>233</v>
      </c>
      <c r="AW418" s="714"/>
    </row>
    <row r="419">
      <c r="A419" s="761"/>
      <c r="B419" s="769" t="s">
        <v>493</v>
      </c>
      <c r="C419" s="770" t="s">
        <v>611</v>
      </c>
      <c r="D419" s="770" t="s">
        <v>494</v>
      </c>
      <c r="E419" s="770" t="s">
        <v>512</v>
      </c>
      <c r="F419" s="770" t="s">
        <v>514</v>
      </c>
      <c r="G419" s="770" t="s">
        <v>103</v>
      </c>
      <c r="H419" s="770">
        <v>2019.0</v>
      </c>
      <c r="I419" s="771">
        <v>648.4323595</v>
      </c>
      <c r="J419" s="771">
        <v>891.8009793</v>
      </c>
      <c r="K419" s="772">
        <v>471.3241863</v>
      </c>
      <c r="M419" s="769" t="s">
        <v>493</v>
      </c>
      <c r="N419" s="770" t="s">
        <v>611</v>
      </c>
      <c r="O419" s="770" t="s">
        <v>494</v>
      </c>
      <c r="P419" s="770" t="s">
        <v>512</v>
      </c>
      <c r="Q419" s="770" t="s">
        <v>514</v>
      </c>
      <c r="R419" s="770" t="s">
        <v>497</v>
      </c>
      <c r="S419" s="770">
        <v>2019.0</v>
      </c>
      <c r="T419" s="771">
        <v>5773.948038</v>
      </c>
      <c r="U419" s="771">
        <v>7941.017191</v>
      </c>
      <c r="V419" s="772">
        <v>4196.893201</v>
      </c>
      <c r="X419" s="769" t="s">
        <v>521</v>
      </c>
      <c r="Y419" s="770" t="s">
        <v>494</v>
      </c>
      <c r="Z419" s="770" t="s">
        <v>513</v>
      </c>
      <c r="AA419" s="770" t="s">
        <v>609</v>
      </c>
      <c r="AB419" s="770" t="s">
        <v>493</v>
      </c>
      <c r="AC419" s="770" t="s">
        <v>103</v>
      </c>
      <c r="AD419" s="770" t="s">
        <v>501</v>
      </c>
      <c r="AE419" s="784" t="s">
        <v>502</v>
      </c>
      <c r="AF419" s="771">
        <v>164.2639571</v>
      </c>
      <c r="AG419" s="771">
        <v>47.8085198</v>
      </c>
      <c r="AH419" s="771">
        <v>415.2981098</v>
      </c>
      <c r="AI419" s="772" t="s">
        <v>233</v>
      </c>
      <c r="AK419" s="769" t="s">
        <v>521</v>
      </c>
      <c r="AL419" s="770" t="s">
        <v>494</v>
      </c>
      <c r="AM419" s="770" t="s">
        <v>513</v>
      </c>
      <c r="AN419" s="770" t="s">
        <v>609</v>
      </c>
      <c r="AO419" s="770" t="s">
        <v>493</v>
      </c>
      <c r="AP419" s="770" t="s">
        <v>504</v>
      </c>
      <c r="AQ419" s="770" t="s">
        <v>501</v>
      </c>
      <c r="AR419" s="784" t="s">
        <v>502</v>
      </c>
      <c r="AS419" s="771">
        <v>10.68099438</v>
      </c>
      <c r="AT419" s="771">
        <v>3.108670583</v>
      </c>
      <c r="AU419" s="771">
        <v>27.0040784</v>
      </c>
      <c r="AV419" s="989" t="s">
        <v>233</v>
      </c>
      <c r="AW419" s="714"/>
    </row>
    <row r="420">
      <c r="A420" s="761"/>
      <c r="B420" s="769" t="s">
        <v>493</v>
      </c>
      <c r="C420" s="770" t="s">
        <v>611</v>
      </c>
      <c r="D420" s="770" t="s">
        <v>494</v>
      </c>
      <c r="E420" s="770" t="s">
        <v>495</v>
      </c>
      <c r="F420" s="770" t="s">
        <v>518</v>
      </c>
      <c r="G420" s="770" t="s">
        <v>103</v>
      </c>
      <c r="H420" s="770">
        <v>2019.0</v>
      </c>
      <c r="I420" s="771">
        <v>1849.029926</v>
      </c>
      <c r="J420" s="771">
        <v>2874.431121</v>
      </c>
      <c r="K420" s="772">
        <v>1116.199285</v>
      </c>
      <c r="M420" s="769" t="s">
        <v>493</v>
      </c>
      <c r="N420" s="770" t="s">
        <v>611</v>
      </c>
      <c r="O420" s="770" t="s">
        <v>494</v>
      </c>
      <c r="P420" s="770" t="s">
        <v>495</v>
      </c>
      <c r="Q420" s="770" t="s">
        <v>518</v>
      </c>
      <c r="R420" s="770" t="s">
        <v>497</v>
      </c>
      <c r="S420" s="770">
        <v>2019.0</v>
      </c>
      <c r="T420" s="771">
        <v>198.8567058</v>
      </c>
      <c r="U420" s="771">
        <v>309.1350202</v>
      </c>
      <c r="V420" s="772">
        <v>120.0433317</v>
      </c>
      <c r="X420" s="769" t="s">
        <v>523</v>
      </c>
      <c r="Y420" s="770" t="s">
        <v>494</v>
      </c>
      <c r="Z420" s="770" t="s">
        <v>507</v>
      </c>
      <c r="AA420" s="770" t="s">
        <v>609</v>
      </c>
      <c r="AB420" s="770" t="s">
        <v>493</v>
      </c>
      <c r="AC420" s="770" t="s">
        <v>103</v>
      </c>
      <c r="AD420" s="770" t="s">
        <v>501</v>
      </c>
      <c r="AE420" s="784" t="s">
        <v>502</v>
      </c>
      <c r="AF420" s="771">
        <v>86.98691166</v>
      </c>
      <c r="AG420" s="771">
        <v>41.66850521</v>
      </c>
      <c r="AH420" s="771">
        <v>163.1370319</v>
      </c>
      <c r="AI420" s="772" t="s">
        <v>233</v>
      </c>
      <c r="AK420" s="769" t="s">
        <v>523</v>
      </c>
      <c r="AL420" s="770" t="s">
        <v>494</v>
      </c>
      <c r="AM420" s="770" t="s">
        <v>507</v>
      </c>
      <c r="AN420" s="770" t="s">
        <v>609</v>
      </c>
      <c r="AO420" s="770" t="s">
        <v>493</v>
      </c>
      <c r="AP420" s="770" t="s">
        <v>504</v>
      </c>
      <c r="AQ420" s="770" t="s">
        <v>501</v>
      </c>
      <c r="AR420" s="784" t="s">
        <v>502</v>
      </c>
      <c r="AS420" s="771">
        <v>29.4169393</v>
      </c>
      <c r="AT420" s="771">
        <v>14.09131403</v>
      </c>
      <c r="AU420" s="771">
        <v>55.16912918</v>
      </c>
      <c r="AV420" s="989" t="s">
        <v>233</v>
      </c>
      <c r="AW420" s="714"/>
    </row>
    <row r="421">
      <c r="A421" s="761"/>
      <c r="B421" s="769" t="s">
        <v>493</v>
      </c>
      <c r="C421" s="770" t="s">
        <v>611</v>
      </c>
      <c r="D421" s="770" t="s">
        <v>494</v>
      </c>
      <c r="E421" s="770" t="s">
        <v>505</v>
      </c>
      <c r="F421" s="770" t="s">
        <v>518</v>
      </c>
      <c r="G421" s="770" t="s">
        <v>103</v>
      </c>
      <c r="H421" s="770">
        <v>2019.0</v>
      </c>
      <c r="I421" s="771">
        <v>42.45811848</v>
      </c>
      <c r="J421" s="771">
        <v>77.87615096</v>
      </c>
      <c r="K421" s="772">
        <v>21.25023096</v>
      </c>
      <c r="M421" s="769" t="s">
        <v>493</v>
      </c>
      <c r="N421" s="770" t="s">
        <v>611</v>
      </c>
      <c r="O421" s="770" t="s">
        <v>494</v>
      </c>
      <c r="P421" s="770" t="s">
        <v>505</v>
      </c>
      <c r="Q421" s="770" t="s">
        <v>518</v>
      </c>
      <c r="R421" s="770" t="s">
        <v>497</v>
      </c>
      <c r="S421" s="770">
        <v>2019.0</v>
      </c>
      <c r="T421" s="771">
        <v>1122.142985</v>
      </c>
      <c r="U421" s="771">
        <v>2058.220657</v>
      </c>
      <c r="V421" s="772">
        <v>561.6310486</v>
      </c>
      <c r="X421" s="769" t="s">
        <v>523</v>
      </c>
      <c r="Y421" s="770" t="s">
        <v>494</v>
      </c>
      <c r="Z421" s="770" t="s">
        <v>513</v>
      </c>
      <c r="AA421" s="770" t="s">
        <v>609</v>
      </c>
      <c r="AB421" s="770" t="s">
        <v>493</v>
      </c>
      <c r="AC421" s="770" t="s">
        <v>103</v>
      </c>
      <c r="AD421" s="770" t="s">
        <v>501</v>
      </c>
      <c r="AE421" s="784" t="s">
        <v>502</v>
      </c>
      <c r="AF421" s="771">
        <v>167.9798931</v>
      </c>
      <c r="AG421" s="771">
        <v>90.57004152</v>
      </c>
      <c r="AH421" s="771">
        <v>287.0967037</v>
      </c>
      <c r="AI421" s="772" t="s">
        <v>233</v>
      </c>
      <c r="AK421" s="769" t="s">
        <v>523</v>
      </c>
      <c r="AL421" s="770" t="s">
        <v>494</v>
      </c>
      <c r="AM421" s="770" t="s">
        <v>513</v>
      </c>
      <c r="AN421" s="770" t="s">
        <v>609</v>
      </c>
      <c r="AO421" s="770" t="s">
        <v>493</v>
      </c>
      <c r="AP421" s="770" t="s">
        <v>504</v>
      </c>
      <c r="AQ421" s="770" t="s">
        <v>501</v>
      </c>
      <c r="AR421" s="784" t="s">
        <v>502</v>
      </c>
      <c r="AS421" s="771">
        <v>10.92261702</v>
      </c>
      <c r="AT421" s="771">
        <v>5.889168394</v>
      </c>
      <c r="AU421" s="771">
        <v>18.66799225</v>
      </c>
      <c r="AV421" s="989" t="s">
        <v>233</v>
      </c>
      <c r="AW421" s="714"/>
    </row>
    <row r="422">
      <c r="A422" s="761"/>
      <c r="B422" s="769" t="s">
        <v>493</v>
      </c>
      <c r="C422" s="770" t="s">
        <v>611</v>
      </c>
      <c r="D422" s="770" t="s">
        <v>494</v>
      </c>
      <c r="E422" s="770" t="s">
        <v>508</v>
      </c>
      <c r="F422" s="770" t="s">
        <v>518</v>
      </c>
      <c r="G422" s="770" t="s">
        <v>103</v>
      </c>
      <c r="H422" s="770">
        <v>2019.0</v>
      </c>
      <c r="I422" s="771">
        <v>775.7766968</v>
      </c>
      <c r="J422" s="771">
        <v>1289.376354</v>
      </c>
      <c r="K422" s="772">
        <v>377.7251607</v>
      </c>
      <c r="M422" s="769" t="s">
        <v>493</v>
      </c>
      <c r="N422" s="770" t="s">
        <v>611</v>
      </c>
      <c r="O422" s="770" t="s">
        <v>494</v>
      </c>
      <c r="P422" s="770" t="s">
        <v>508</v>
      </c>
      <c r="Q422" s="770" t="s">
        <v>518</v>
      </c>
      <c r="R422" s="770" t="s">
        <v>497</v>
      </c>
      <c r="S422" s="770">
        <v>2019.0</v>
      </c>
      <c r="T422" s="771">
        <v>438.7878098</v>
      </c>
      <c r="U422" s="771">
        <v>729.2854097</v>
      </c>
      <c r="V422" s="772">
        <v>213.6454945</v>
      </c>
      <c r="X422" s="769" t="s">
        <v>496</v>
      </c>
      <c r="Y422" s="770" t="s">
        <v>494</v>
      </c>
      <c r="Z422" s="770" t="s">
        <v>499</v>
      </c>
      <c r="AA422" s="770" t="s">
        <v>612</v>
      </c>
      <c r="AB422" s="770" t="s">
        <v>493</v>
      </c>
      <c r="AC422" s="770" t="s">
        <v>103</v>
      </c>
      <c r="AD422" s="770" t="s">
        <v>501</v>
      </c>
      <c r="AE422" s="784" t="s">
        <v>502</v>
      </c>
      <c r="AF422" s="771">
        <v>29275.20818</v>
      </c>
      <c r="AG422" s="771">
        <v>23370.45779</v>
      </c>
      <c r="AH422" s="771">
        <v>37181.58158</v>
      </c>
      <c r="AI422" s="772" t="s">
        <v>233</v>
      </c>
      <c r="AK422" s="769" t="s">
        <v>496</v>
      </c>
      <c r="AL422" s="770" t="s">
        <v>494</v>
      </c>
      <c r="AM422" s="770" t="s">
        <v>499</v>
      </c>
      <c r="AN422" s="770" t="s">
        <v>612</v>
      </c>
      <c r="AO422" s="770" t="s">
        <v>493</v>
      </c>
      <c r="AP422" s="770" t="s">
        <v>504</v>
      </c>
      <c r="AQ422" s="770" t="s">
        <v>501</v>
      </c>
      <c r="AR422" s="784" t="s">
        <v>502</v>
      </c>
      <c r="AS422" s="771">
        <v>185834.0873</v>
      </c>
      <c r="AT422" s="771">
        <v>148351.7271</v>
      </c>
      <c r="AU422" s="771">
        <v>236022.4131</v>
      </c>
      <c r="AV422" s="989" t="s">
        <v>233</v>
      </c>
      <c r="AW422" s="714"/>
    </row>
    <row r="423">
      <c r="A423" s="761"/>
      <c r="B423" s="769" t="s">
        <v>493</v>
      </c>
      <c r="C423" s="770" t="s">
        <v>611</v>
      </c>
      <c r="D423" s="770" t="s">
        <v>494</v>
      </c>
      <c r="E423" s="770" t="s">
        <v>512</v>
      </c>
      <c r="F423" s="770" t="s">
        <v>518</v>
      </c>
      <c r="G423" s="770" t="s">
        <v>103</v>
      </c>
      <c r="H423" s="770">
        <v>2019.0</v>
      </c>
      <c r="I423" s="771">
        <v>92.07815467</v>
      </c>
      <c r="J423" s="771">
        <v>183.7076894</v>
      </c>
      <c r="K423" s="772">
        <v>39.83249606</v>
      </c>
      <c r="M423" s="769" t="s">
        <v>493</v>
      </c>
      <c r="N423" s="770" t="s">
        <v>611</v>
      </c>
      <c r="O423" s="770" t="s">
        <v>494</v>
      </c>
      <c r="P423" s="770" t="s">
        <v>512</v>
      </c>
      <c r="Q423" s="770" t="s">
        <v>518</v>
      </c>
      <c r="R423" s="770" t="s">
        <v>497</v>
      </c>
      <c r="S423" s="770">
        <v>2019.0</v>
      </c>
      <c r="T423" s="771">
        <v>819.9073854</v>
      </c>
      <c r="U423" s="771">
        <v>1635.820047</v>
      </c>
      <c r="V423" s="772">
        <v>354.6873611</v>
      </c>
      <c r="X423" s="769" t="s">
        <v>496</v>
      </c>
      <c r="Y423" s="770" t="s">
        <v>494</v>
      </c>
      <c r="Z423" s="770" t="s">
        <v>507</v>
      </c>
      <c r="AA423" s="770" t="s">
        <v>612</v>
      </c>
      <c r="AB423" s="770" t="s">
        <v>493</v>
      </c>
      <c r="AC423" s="770" t="s">
        <v>103</v>
      </c>
      <c r="AD423" s="770" t="s">
        <v>501</v>
      </c>
      <c r="AE423" s="784" t="s">
        <v>502</v>
      </c>
      <c r="AF423" s="771">
        <v>32247.01143</v>
      </c>
      <c r="AG423" s="771">
        <v>25810.32453</v>
      </c>
      <c r="AH423" s="771">
        <v>40826.66139</v>
      </c>
      <c r="AI423" s="772" t="s">
        <v>233</v>
      </c>
      <c r="AK423" s="769" t="s">
        <v>496</v>
      </c>
      <c r="AL423" s="770" t="s">
        <v>494</v>
      </c>
      <c r="AM423" s="770" t="s">
        <v>507</v>
      </c>
      <c r="AN423" s="770" t="s">
        <v>612</v>
      </c>
      <c r="AO423" s="770" t="s">
        <v>493</v>
      </c>
      <c r="AP423" s="770" t="s">
        <v>504</v>
      </c>
      <c r="AQ423" s="770" t="s">
        <v>501</v>
      </c>
      <c r="AR423" s="784" t="s">
        <v>502</v>
      </c>
      <c r="AS423" s="771">
        <v>4576.938952</v>
      </c>
      <c r="AT423" s="771">
        <v>3663.355903</v>
      </c>
      <c r="AU423" s="771">
        <v>5794.680763</v>
      </c>
      <c r="AV423" s="989" t="s">
        <v>233</v>
      </c>
      <c r="AW423" s="714"/>
    </row>
    <row r="424">
      <c r="A424" s="761"/>
      <c r="B424" s="769" t="s">
        <v>493</v>
      </c>
      <c r="C424" s="770" t="s">
        <v>611</v>
      </c>
      <c r="D424" s="770" t="s">
        <v>494</v>
      </c>
      <c r="E424" s="770" t="s">
        <v>495</v>
      </c>
      <c r="F424" s="770" t="s">
        <v>519</v>
      </c>
      <c r="G424" s="770" t="s">
        <v>103</v>
      </c>
      <c r="H424" s="770">
        <v>2019.0</v>
      </c>
      <c r="I424" s="771">
        <v>3160.010004</v>
      </c>
      <c r="J424" s="771">
        <v>4410.980709</v>
      </c>
      <c r="K424" s="772">
        <v>2272.585359</v>
      </c>
      <c r="M424" s="769" t="s">
        <v>493</v>
      </c>
      <c r="N424" s="770" t="s">
        <v>611</v>
      </c>
      <c r="O424" s="770" t="s">
        <v>494</v>
      </c>
      <c r="P424" s="770" t="s">
        <v>495</v>
      </c>
      <c r="Q424" s="770" t="s">
        <v>519</v>
      </c>
      <c r="R424" s="770" t="s">
        <v>497</v>
      </c>
      <c r="S424" s="770">
        <v>2019.0</v>
      </c>
      <c r="T424" s="771">
        <v>339.8480309</v>
      </c>
      <c r="U424" s="771">
        <v>474.3855577</v>
      </c>
      <c r="V424" s="772">
        <v>244.4086121</v>
      </c>
      <c r="X424" s="769" t="s">
        <v>496</v>
      </c>
      <c r="Y424" s="770" t="s">
        <v>494</v>
      </c>
      <c r="Z424" s="770" t="s">
        <v>509</v>
      </c>
      <c r="AA424" s="770" t="s">
        <v>612</v>
      </c>
      <c r="AB424" s="770" t="s">
        <v>493</v>
      </c>
      <c r="AC424" s="770" t="s">
        <v>103</v>
      </c>
      <c r="AD424" s="770" t="s">
        <v>501</v>
      </c>
      <c r="AE424" s="784" t="s">
        <v>502</v>
      </c>
      <c r="AF424" s="771">
        <v>8465.862936</v>
      </c>
      <c r="AG424" s="771">
        <v>6752.383759</v>
      </c>
      <c r="AH424" s="771">
        <v>10714.78941</v>
      </c>
      <c r="AI424" s="772" t="s">
        <v>233</v>
      </c>
      <c r="AK424" s="769" t="s">
        <v>496</v>
      </c>
      <c r="AL424" s="770" t="s">
        <v>494</v>
      </c>
      <c r="AM424" s="770" t="s">
        <v>509</v>
      </c>
      <c r="AN424" s="770" t="s">
        <v>612</v>
      </c>
      <c r="AO424" s="770" t="s">
        <v>493</v>
      </c>
      <c r="AP424" s="770" t="s">
        <v>504</v>
      </c>
      <c r="AQ424" s="770" t="s">
        <v>501</v>
      </c>
      <c r="AR424" s="784" t="s">
        <v>502</v>
      </c>
      <c r="AS424" s="771">
        <v>18359.77346</v>
      </c>
      <c r="AT424" s="771">
        <v>14643.78021</v>
      </c>
      <c r="AU424" s="771">
        <v>23236.98219</v>
      </c>
      <c r="AV424" s="989" t="s">
        <v>233</v>
      </c>
      <c r="AW424" s="714"/>
    </row>
    <row r="425">
      <c r="A425" s="761"/>
      <c r="B425" s="769" t="s">
        <v>493</v>
      </c>
      <c r="C425" s="770" t="s">
        <v>611</v>
      </c>
      <c r="D425" s="770" t="s">
        <v>494</v>
      </c>
      <c r="E425" s="770" t="s">
        <v>505</v>
      </c>
      <c r="F425" s="770" t="s">
        <v>519</v>
      </c>
      <c r="G425" s="770" t="s">
        <v>103</v>
      </c>
      <c r="H425" s="770">
        <v>2019.0</v>
      </c>
      <c r="I425" s="771">
        <v>2542.567679</v>
      </c>
      <c r="J425" s="771">
        <v>3566.32562</v>
      </c>
      <c r="K425" s="772">
        <v>1840.93698</v>
      </c>
      <c r="M425" s="769" t="s">
        <v>493</v>
      </c>
      <c r="N425" s="770" t="s">
        <v>611</v>
      </c>
      <c r="O425" s="770" t="s">
        <v>494</v>
      </c>
      <c r="P425" s="770" t="s">
        <v>505</v>
      </c>
      <c r="Q425" s="770" t="s">
        <v>519</v>
      </c>
      <c r="R425" s="770" t="s">
        <v>497</v>
      </c>
      <c r="S425" s="770">
        <v>2019.0</v>
      </c>
      <c r="T425" s="771">
        <v>67198.56149</v>
      </c>
      <c r="U425" s="771">
        <v>94255.87899</v>
      </c>
      <c r="V425" s="772">
        <v>48654.87668</v>
      </c>
      <c r="X425" s="769" t="s">
        <v>496</v>
      </c>
      <c r="Y425" s="770" t="s">
        <v>494</v>
      </c>
      <c r="Z425" s="770" t="s">
        <v>513</v>
      </c>
      <c r="AA425" s="770" t="s">
        <v>612</v>
      </c>
      <c r="AB425" s="770" t="s">
        <v>493</v>
      </c>
      <c r="AC425" s="770" t="s">
        <v>103</v>
      </c>
      <c r="AD425" s="770" t="s">
        <v>501</v>
      </c>
      <c r="AE425" s="784" t="s">
        <v>502</v>
      </c>
      <c r="AF425" s="771">
        <v>117659.4451</v>
      </c>
      <c r="AG425" s="771">
        <v>94534.48767</v>
      </c>
      <c r="AH425" s="771">
        <v>147884.8373</v>
      </c>
      <c r="AI425" s="772" t="s">
        <v>233</v>
      </c>
      <c r="AK425" s="769" t="s">
        <v>496</v>
      </c>
      <c r="AL425" s="770" t="s">
        <v>494</v>
      </c>
      <c r="AM425" s="770" t="s">
        <v>513</v>
      </c>
      <c r="AN425" s="770" t="s">
        <v>612</v>
      </c>
      <c r="AO425" s="770" t="s">
        <v>493</v>
      </c>
      <c r="AP425" s="770" t="s">
        <v>504</v>
      </c>
      <c r="AQ425" s="770" t="s">
        <v>501</v>
      </c>
      <c r="AR425" s="784" t="s">
        <v>502</v>
      </c>
      <c r="AS425" s="771">
        <v>3437.177164</v>
      </c>
      <c r="AT425" s="771">
        <v>2761.629395</v>
      </c>
      <c r="AU425" s="771">
        <v>4320.149438</v>
      </c>
      <c r="AV425" s="989" t="s">
        <v>233</v>
      </c>
      <c r="AW425" s="714"/>
    </row>
    <row r="426">
      <c r="A426" s="761"/>
      <c r="B426" s="769" t="s">
        <v>493</v>
      </c>
      <c r="C426" s="770" t="s">
        <v>611</v>
      </c>
      <c r="D426" s="770" t="s">
        <v>494</v>
      </c>
      <c r="E426" s="770" t="s">
        <v>508</v>
      </c>
      <c r="F426" s="770" t="s">
        <v>519</v>
      </c>
      <c r="G426" s="770" t="s">
        <v>103</v>
      </c>
      <c r="H426" s="770">
        <v>2019.0</v>
      </c>
      <c r="I426" s="771">
        <v>174.555791</v>
      </c>
      <c r="J426" s="771">
        <v>362.1477773</v>
      </c>
      <c r="K426" s="772">
        <v>64.22789697</v>
      </c>
      <c r="M426" s="769" t="s">
        <v>493</v>
      </c>
      <c r="N426" s="770" t="s">
        <v>611</v>
      </c>
      <c r="O426" s="770" t="s">
        <v>494</v>
      </c>
      <c r="P426" s="770" t="s">
        <v>508</v>
      </c>
      <c r="Q426" s="770" t="s">
        <v>519</v>
      </c>
      <c r="R426" s="770" t="s">
        <v>497</v>
      </c>
      <c r="S426" s="770">
        <v>2019.0</v>
      </c>
      <c r="T426" s="771">
        <v>98.73067023</v>
      </c>
      <c r="U426" s="771">
        <v>204.8347555</v>
      </c>
      <c r="V426" s="772">
        <v>36.32800309</v>
      </c>
      <c r="X426" s="769" t="s">
        <v>514</v>
      </c>
      <c r="Y426" s="770" t="s">
        <v>494</v>
      </c>
      <c r="Z426" s="770" t="s">
        <v>499</v>
      </c>
      <c r="AA426" s="770" t="s">
        <v>612</v>
      </c>
      <c r="AB426" s="770" t="s">
        <v>493</v>
      </c>
      <c r="AC426" s="770" t="s">
        <v>103</v>
      </c>
      <c r="AD426" s="770" t="s">
        <v>501</v>
      </c>
      <c r="AE426" s="784" t="s">
        <v>502</v>
      </c>
      <c r="AF426" s="771">
        <v>27197.40292</v>
      </c>
      <c r="AG426" s="771">
        <v>21338.24125</v>
      </c>
      <c r="AH426" s="771">
        <v>34366.4533</v>
      </c>
      <c r="AI426" s="772" t="s">
        <v>233</v>
      </c>
      <c r="AK426" s="769" t="s">
        <v>514</v>
      </c>
      <c r="AL426" s="770" t="s">
        <v>494</v>
      </c>
      <c r="AM426" s="770" t="s">
        <v>499</v>
      </c>
      <c r="AN426" s="770" t="s">
        <v>612</v>
      </c>
      <c r="AO426" s="770" t="s">
        <v>493</v>
      </c>
      <c r="AP426" s="770" t="s">
        <v>504</v>
      </c>
      <c r="AQ426" s="770" t="s">
        <v>501</v>
      </c>
      <c r="AR426" s="784" t="s">
        <v>502</v>
      </c>
      <c r="AS426" s="771">
        <v>172644.5297</v>
      </c>
      <c r="AT426" s="771">
        <v>135451.559</v>
      </c>
      <c r="AU426" s="771">
        <v>218152.4532</v>
      </c>
      <c r="AV426" s="989" t="s">
        <v>233</v>
      </c>
      <c r="AW426" s="714"/>
    </row>
    <row r="427">
      <c r="A427" s="761"/>
      <c r="B427" s="769" t="s">
        <v>493</v>
      </c>
      <c r="C427" s="770" t="s">
        <v>611</v>
      </c>
      <c r="D427" s="770" t="s">
        <v>494</v>
      </c>
      <c r="E427" s="770" t="s">
        <v>512</v>
      </c>
      <c r="F427" s="770" t="s">
        <v>519</v>
      </c>
      <c r="G427" s="770" t="s">
        <v>103</v>
      </c>
      <c r="H427" s="770">
        <v>2019.0</v>
      </c>
      <c r="I427" s="771">
        <v>413.0633254</v>
      </c>
      <c r="J427" s="771">
        <v>599.2657075</v>
      </c>
      <c r="K427" s="772">
        <v>270.607264</v>
      </c>
      <c r="M427" s="769" t="s">
        <v>493</v>
      </c>
      <c r="N427" s="770" t="s">
        <v>611</v>
      </c>
      <c r="O427" s="770" t="s">
        <v>494</v>
      </c>
      <c r="P427" s="770" t="s">
        <v>512</v>
      </c>
      <c r="Q427" s="770" t="s">
        <v>519</v>
      </c>
      <c r="R427" s="770" t="s">
        <v>497</v>
      </c>
      <c r="S427" s="770">
        <v>2019.0</v>
      </c>
      <c r="T427" s="771">
        <v>3678.110974</v>
      </c>
      <c r="U427" s="771">
        <v>5336.144943</v>
      </c>
      <c r="V427" s="772">
        <v>2409.614909</v>
      </c>
      <c r="X427" s="769" t="s">
        <v>514</v>
      </c>
      <c r="Y427" s="770" t="s">
        <v>494</v>
      </c>
      <c r="Z427" s="770" t="s">
        <v>507</v>
      </c>
      <c r="AA427" s="770" t="s">
        <v>612</v>
      </c>
      <c r="AB427" s="770" t="s">
        <v>493</v>
      </c>
      <c r="AC427" s="770" t="s">
        <v>103</v>
      </c>
      <c r="AD427" s="770" t="s">
        <v>501</v>
      </c>
      <c r="AE427" s="784" t="s">
        <v>502</v>
      </c>
      <c r="AF427" s="771">
        <v>27417.55284</v>
      </c>
      <c r="AG427" s="771">
        <v>21096.76566</v>
      </c>
      <c r="AH427" s="771">
        <v>34993.9452</v>
      </c>
      <c r="AI427" s="772" t="s">
        <v>233</v>
      </c>
      <c r="AK427" s="769" t="s">
        <v>514</v>
      </c>
      <c r="AL427" s="770" t="s">
        <v>494</v>
      </c>
      <c r="AM427" s="770" t="s">
        <v>507</v>
      </c>
      <c r="AN427" s="770" t="s">
        <v>612</v>
      </c>
      <c r="AO427" s="770" t="s">
        <v>493</v>
      </c>
      <c r="AP427" s="770" t="s">
        <v>504</v>
      </c>
      <c r="AQ427" s="770" t="s">
        <v>501</v>
      </c>
      <c r="AR427" s="784" t="s">
        <v>502</v>
      </c>
      <c r="AS427" s="771">
        <v>3891.47583</v>
      </c>
      <c r="AT427" s="771">
        <v>2994.342862</v>
      </c>
      <c r="AU427" s="771">
        <v>4966.821537</v>
      </c>
      <c r="AV427" s="989" t="s">
        <v>233</v>
      </c>
      <c r="AW427" s="714"/>
    </row>
    <row r="428">
      <c r="A428" s="761"/>
      <c r="B428" s="769" t="s">
        <v>493</v>
      </c>
      <c r="C428" s="770" t="s">
        <v>611</v>
      </c>
      <c r="D428" s="770" t="s">
        <v>494</v>
      </c>
      <c r="E428" s="770" t="s">
        <v>495</v>
      </c>
      <c r="F428" s="770" t="s">
        <v>521</v>
      </c>
      <c r="G428" s="770" t="s">
        <v>103</v>
      </c>
      <c r="H428" s="770">
        <v>2019.0</v>
      </c>
      <c r="I428" s="771">
        <v>55.10034249</v>
      </c>
      <c r="J428" s="771">
        <v>139.9189949</v>
      </c>
      <c r="K428" s="772">
        <v>16.20039762</v>
      </c>
      <c r="M428" s="769" t="s">
        <v>493</v>
      </c>
      <c r="N428" s="770" t="s">
        <v>611</v>
      </c>
      <c r="O428" s="770" t="s">
        <v>494</v>
      </c>
      <c r="P428" s="770" t="s">
        <v>495</v>
      </c>
      <c r="Q428" s="770" t="s">
        <v>521</v>
      </c>
      <c r="R428" s="770" t="s">
        <v>497</v>
      </c>
      <c r="S428" s="770">
        <v>2019.0</v>
      </c>
      <c r="T428" s="771">
        <v>5.925849245</v>
      </c>
      <c r="U428" s="771">
        <v>15.04779884</v>
      </c>
      <c r="V428" s="772">
        <v>1.74229614</v>
      </c>
      <c r="X428" s="769" t="s">
        <v>514</v>
      </c>
      <c r="Y428" s="770" t="s">
        <v>494</v>
      </c>
      <c r="Z428" s="770" t="s">
        <v>509</v>
      </c>
      <c r="AA428" s="770" t="s">
        <v>612</v>
      </c>
      <c r="AB428" s="770" t="s">
        <v>493</v>
      </c>
      <c r="AC428" s="770" t="s">
        <v>103</v>
      </c>
      <c r="AD428" s="770" t="s">
        <v>501</v>
      </c>
      <c r="AE428" s="784" t="s">
        <v>502</v>
      </c>
      <c r="AF428" s="771">
        <v>7512.837031</v>
      </c>
      <c r="AG428" s="771">
        <v>5862.964781</v>
      </c>
      <c r="AH428" s="771">
        <v>9522.542577</v>
      </c>
      <c r="AI428" s="772" t="s">
        <v>233</v>
      </c>
      <c r="AK428" s="769" t="s">
        <v>514</v>
      </c>
      <c r="AL428" s="770" t="s">
        <v>494</v>
      </c>
      <c r="AM428" s="770" t="s">
        <v>509</v>
      </c>
      <c r="AN428" s="770" t="s">
        <v>612</v>
      </c>
      <c r="AO428" s="770" t="s">
        <v>493</v>
      </c>
      <c r="AP428" s="770" t="s">
        <v>504</v>
      </c>
      <c r="AQ428" s="770" t="s">
        <v>501</v>
      </c>
      <c r="AR428" s="784" t="s">
        <v>502</v>
      </c>
      <c r="AS428" s="771">
        <v>16292.96233</v>
      </c>
      <c r="AT428" s="771">
        <v>12714.91235</v>
      </c>
      <c r="AU428" s="771">
        <v>20651.37669</v>
      </c>
      <c r="AV428" s="989" t="s">
        <v>233</v>
      </c>
      <c r="AW428" s="714"/>
    </row>
    <row r="429">
      <c r="A429" s="761"/>
      <c r="B429" s="769" t="s">
        <v>493</v>
      </c>
      <c r="C429" s="770" t="s">
        <v>611</v>
      </c>
      <c r="D429" s="770" t="s">
        <v>494</v>
      </c>
      <c r="E429" s="770" t="s">
        <v>505</v>
      </c>
      <c r="F429" s="770" t="s">
        <v>521</v>
      </c>
      <c r="G429" s="770" t="s">
        <v>103</v>
      </c>
      <c r="H429" s="770">
        <v>2019.0</v>
      </c>
      <c r="I429" s="771">
        <v>0.0</v>
      </c>
      <c r="J429" s="771">
        <v>0.0</v>
      </c>
      <c r="K429" s="772">
        <v>0.0</v>
      </c>
      <c r="M429" s="769" t="s">
        <v>493</v>
      </c>
      <c r="N429" s="770" t="s">
        <v>611</v>
      </c>
      <c r="O429" s="770" t="s">
        <v>494</v>
      </c>
      <c r="P429" s="770" t="s">
        <v>505</v>
      </c>
      <c r="Q429" s="770" t="s">
        <v>521</v>
      </c>
      <c r="R429" s="770" t="s">
        <v>497</v>
      </c>
      <c r="S429" s="770">
        <v>2019.0</v>
      </c>
      <c r="T429" s="771">
        <v>0.0</v>
      </c>
      <c r="U429" s="771">
        <v>0.0</v>
      </c>
      <c r="V429" s="772">
        <v>0.0</v>
      </c>
      <c r="X429" s="769" t="s">
        <v>514</v>
      </c>
      <c r="Y429" s="770" t="s">
        <v>494</v>
      </c>
      <c r="Z429" s="770" t="s">
        <v>513</v>
      </c>
      <c r="AA429" s="770" t="s">
        <v>612</v>
      </c>
      <c r="AB429" s="770" t="s">
        <v>493</v>
      </c>
      <c r="AC429" s="770" t="s">
        <v>103</v>
      </c>
      <c r="AD429" s="770" t="s">
        <v>501</v>
      </c>
      <c r="AE429" s="784" t="s">
        <v>502</v>
      </c>
      <c r="AF429" s="771">
        <v>101708.0077</v>
      </c>
      <c r="AG429" s="771">
        <v>79559.4512</v>
      </c>
      <c r="AH429" s="771">
        <v>127205.1407</v>
      </c>
      <c r="AI429" s="772" t="s">
        <v>233</v>
      </c>
      <c r="AK429" s="769" t="s">
        <v>514</v>
      </c>
      <c r="AL429" s="770" t="s">
        <v>494</v>
      </c>
      <c r="AM429" s="770" t="s">
        <v>513</v>
      </c>
      <c r="AN429" s="770" t="s">
        <v>612</v>
      </c>
      <c r="AO429" s="770" t="s">
        <v>493</v>
      </c>
      <c r="AP429" s="770" t="s">
        <v>504</v>
      </c>
      <c r="AQ429" s="770" t="s">
        <v>501</v>
      </c>
      <c r="AR429" s="784" t="s">
        <v>502</v>
      </c>
      <c r="AS429" s="771">
        <v>2971.188935</v>
      </c>
      <c r="AT429" s="771">
        <v>2324.164699</v>
      </c>
      <c r="AU429" s="771">
        <v>3716.034904</v>
      </c>
      <c r="AV429" s="989" t="s">
        <v>233</v>
      </c>
      <c r="AW429" s="714"/>
    </row>
    <row r="430">
      <c r="A430" s="761"/>
      <c r="B430" s="769" t="s">
        <v>493</v>
      </c>
      <c r="C430" s="770" t="s">
        <v>611</v>
      </c>
      <c r="D430" s="770" t="s">
        <v>494</v>
      </c>
      <c r="E430" s="770" t="s">
        <v>508</v>
      </c>
      <c r="F430" s="770" t="s">
        <v>521</v>
      </c>
      <c r="G430" s="770" t="s">
        <v>103</v>
      </c>
      <c r="H430" s="770">
        <v>2019.0</v>
      </c>
      <c r="I430" s="771">
        <v>12.69481415</v>
      </c>
      <c r="J430" s="771">
        <v>30.70839159</v>
      </c>
      <c r="K430" s="772">
        <v>3.737836914</v>
      </c>
      <c r="M430" s="769" t="s">
        <v>493</v>
      </c>
      <c r="N430" s="770" t="s">
        <v>611</v>
      </c>
      <c r="O430" s="770" t="s">
        <v>494</v>
      </c>
      <c r="P430" s="770" t="s">
        <v>508</v>
      </c>
      <c r="Q430" s="770" t="s">
        <v>521</v>
      </c>
      <c r="R430" s="770" t="s">
        <v>497</v>
      </c>
      <c r="S430" s="770">
        <v>2019.0</v>
      </c>
      <c r="T430" s="771">
        <v>7.18032614</v>
      </c>
      <c r="U430" s="771">
        <v>17.36900314</v>
      </c>
      <c r="V430" s="772">
        <v>2.114161562</v>
      </c>
      <c r="X430" s="769" t="s">
        <v>518</v>
      </c>
      <c r="Y430" s="770" t="s">
        <v>494</v>
      </c>
      <c r="Z430" s="770" t="s">
        <v>499</v>
      </c>
      <c r="AA430" s="770" t="s">
        <v>612</v>
      </c>
      <c r="AB430" s="770" t="s">
        <v>493</v>
      </c>
      <c r="AC430" s="770" t="s">
        <v>103</v>
      </c>
      <c r="AD430" s="770" t="s">
        <v>501</v>
      </c>
      <c r="AE430" s="784" t="s">
        <v>502</v>
      </c>
      <c r="AF430" s="771">
        <v>259.4532749</v>
      </c>
      <c r="AG430" s="771">
        <v>114.8814288</v>
      </c>
      <c r="AH430" s="771">
        <v>521.6900166</v>
      </c>
      <c r="AI430" s="772" t="s">
        <v>233</v>
      </c>
      <c r="AK430" s="769" t="s">
        <v>518</v>
      </c>
      <c r="AL430" s="770" t="s">
        <v>494</v>
      </c>
      <c r="AM430" s="770" t="s">
        <v>499</v>
      </c>
      <c r="AN430" s="770" t="s">
        <v>612</v>
      </c>
      <c r="AO430" s="770" t="s">
        <v>493</v>
      </c>
      <c r="AP430" s="770" t="s">
        <v>504</v>
      </c>
      <c r="AQ430" s="770" t="s">
        <v>501</v>
      </c>
      <c r="AR430" s="784" t="s">
        <v>502</v>
      </c>
      <c r="AS430" s="771">
        <v>1646.965659</v>
      </c>
      <c r="AT430" s="771">
        <v>729.2479474</v>
      </c>
      <c r="AU430" s="771">
        <v>3311.600297</v>
      </c>
      <c r="AV430" s="989" t="s">
        <v>233</v>
      </c>
      <c r="AW430" s="714"/>
    </row>
    <row r="431">
      <c r="A431" s="761"/>
      <c r="B431" s="769" t="s">
        <v>493</v>
      </c>
      <c r="C431" s="770" t="s">
        <v>611</v>
      </c>
      <c r="D431" s="770" t="s">
        <v>494</v>
      </c>
      <c r="E431" s="770" t="s">
        <v>512</v>
      </c>
      <c r="F431" s="770" t="s">
        <v>521</v>
      </c>
      <c r="G431" s="770" t="s">
        <v>103</v>
      </c>
      <c r="H431" s="770">
        <v>2019.0</v>
      </c>
      <c r="I431" s="771">
        <v>0.0</v>
      </c>
      <c r="J431" s="771">
        <v>0.0</v>
      </c>
      <c r="K431" s="772">
        <v>0.0</v>
      </c>
      <c r="M431" s="769" t="s">
        <v>493</v>
      </c>
      <c r="N431" s="770" t="s">
        <v>611</v>
      </c>
      <c r="O431" s="770" t="s">
        <v>494</v>
      </c>
      <c r="P431" s="770" t="s">
        <v>512</v>
      </c>
      <c r="Q431" s="770" t="s">
        <v>521</v>
      </c>
      <c r="R431" s="770" t="s">
        <v>497</v>
      </c>
      <c r="S431" s="770">
        <v>2019.0</v>
      </c>
      <c r="T431" s="771">
        <v>0.0</v>
      </c>
      <c r="U431" s="771">
        <v>0.0</v>
      </c>
      <c r="V431" s="772">
        <v>0.0</v>
      </c>
      <c r="X431" s="769" t="s">
        <v>518</v>
      </c>
      <c r="Y431" s="770" t="s">
        <v>494</v>
      </c>
      <c r="Z431" s="770" t="s">
        <v>507</v>
      </c>
      <c r="AA431" s="770" t="s">
        <v>612</v>
      </c>
      <c r="AB431" s="770" t="s">
        <v>493</v>
      </c>
      <c r="AC431" s="770" t="s">
        <v>103</v>
      </c>
      <c r="AD431" s="770" t="s">
        <v>501</v>
      </c>
      <c r="AE431" s="784" t="s">
        <v>502</v>
      </c>
      <c r="AF431" s="771">
        <v>11944.06692</v>
      </c>
      <c r="AG431" s="771">
        <v>7024.544683</v>
      </c>
      <c r="AH431" s="771">
        <v>17743.07705</v>
      </c>
      <c r="AI431" s="772" t="s">
        <v>233</v>
      </c>
      <c r="AK431" s="769" t="s">
        <v>518</v>
      </c>
      <c r="AL431" s="770" t="s">
        <v>494</v>
      </c>
      <c r="AM431" s="770" t="s">
        <v>507</v>
      </c>
      <c r="AN431" s="770" t="s">
        <v>612</v>
      </c>
      <c r="AO431" s="770" t="s">
        <v>493</v>
      </c>
      <c r="AP431" s="770" t="s">
        <v>504</v>
      </c>
      <c r="AQ431" s="770" t="s">
        <v>501</v>
      </c>
      <c r="AR431" s="784" t="s">
        <v>502</v>
      </c>
      <c r="AS431" s="771">
        <v>1695.266094</v>
      </c>
      <c r="AT431" s="771">
        <v>997.0199022</v>
      </c>
      <c r="AU431" s="771">
        <v>2518.341294</v>
      </c>
      <c r="AV431" s="989" t="s">
        <v>233</v>
      </c>
      <c r="AW431" s="714"/>
    </row>
    <row r="432">
      <c r="A432" s="761"/>
      <c r="B432" s="769" t="s">
        <v>493</v>
      </c>
      <c r="C432" s="770" t="s">
        <v>611</v>
      </c>
      <c r="D432" s="770" t="s">
        <v>494</v>
      </c>
      <c r="E432" s="770" t="s">
        <v>495</v>
      </c>
      <c r="F432" s="770" t="s">
        <v>523</v>
      </c>
      <c r="G432" s="770" t="s">
        <v>103</v>
      </c>
      <c r="H432" s="770">
        <v>2019.0</v>
      </c>
      <c r="I432" s="771">
        <v>508.576685</v>
      </c>
      <c r="J432" s="771">
        <v>829.9892157</v>
      </c>
      <c r="K432" s="772">
        <v>284.1907573</v>
      </c>
      <c r="M432" s="769" t="s">
        <v>493</v>
      </c>
      <c r="N432" s="770" t="s">
        <v>611</v>
      </c>
      <c r="O432" s="770" t="s">
        <v>494</v>
      </c>
      <c r="P432" s="770" t="s">
        <v>495</v>
      </c>
      <c r="Q432" s="770" t="s">
        <v>523</v>
      </c>
      <c r="R432" s="770" t="s">
        <v>497</v>
      </c>
      <c r="S432" s="770">
        <v>2019.0</v>
      </c>
      <c r="T432" s="771">
        <v>54.69564487</v>
      </c>
      <c r="U432" s="771">
        <v>89.26243912</v>
      </c>
      <c r="V432" s="772">
        <v>30.56372263</v>
      </c>
      <c r="X432" s="769" t="s">
        <v>518</v>
      </c>
      <c r="Y432" s="770" t="s">
        <v>494</v>
      </c>
      <c r="Z432" s="770" t="s">
        <v>509</v>
      </c>
      <c r="AA432" s="770" t="s">
        <v>612</v>
      </c>
      <c r="AB432" s="770" t="s">
        <v>493</v>
      </c>
      <c r="AC432" s="770" t="s">
        <v>103</v>
      </c>
      <c r="AD432" s="770" t="s">
        <v>501</v>
      </c>
      <c r="AE432" s="784" t="s">
        <v>502</v>
      </c>
      <c r="AF432" s="771">
        <v>727.3964979</v>
      </c>
      <c r="AG432" s="771">
        <v>376.0394397</v>
      </c>
      <c r="AH432" s="771">
        <v>1235.994114</v>
      </c>
      <c r="AI432" s="772" t="s">
        <v>233</v>
      </c>
      <c r="AK432" s="769" t="s">
        <v>518</v>
      </c>
      <c r="AL432" s="770" t="s">
        <v>494</v>
      </c>
      <c r="AM432" s="770" t="s">
        <v>509</v>
      </c>
      <c r="AN432" s="770" t="s">
        <v>612</v>
      </c>
      <c r="AO432" s="770" t="s">
        <v>493</v>
      </c>
      <c r="AP432" s="770" t="s">
        <v>504</v>
      </c>
      <c r="AQ432" s="770" t="s">
        <v>501</v>
      </c>
      <c r="AR432" s="784" t="s">
        <v>502</v>
      </c>
      <c r="AS432" s="771">
        <v>1577.492456</v>
      </c>
      <c r="AT432" s="771">
        <v>815.5103594</v>
      </c>
      <c r="AU432" s="771">
        <v>2680.479486</v>
      </c>
      <c r="AV432" s="989" t="s">
        <v>233</v>
      </c>
      <c r="AW432" s="714"/>
    </row>
    <row r="433">
      <c r="A433" s="761"/>
      <c r="B433" s="769" t="s">
        <v>493</v>
      </c>
      <c r="C433" s="770" t="s">
        <v>611</v>
      </c>
      <c r="D433" s="770" t="s">
        <v>494</v>
      </c>
      <c r="E433" s="770" t="s">
        <v>505</v>
      </c>
      <c r="F433" s="770" t="s">
        <v>523</v>
      </c>
      <c r="G433" s="770" t="s">
        <v>103</v>
      </c>
      <c r="H433" s="770">
        <v>2019.0</v>
      </c>
      <c r="I433" s="771">
        <v>0.0</v>
      </c>
      <c r="J433" s="771">
        <v>0.0</v>
      </c>
      <c r="K433" s="772">
        <v>0.0</v>
      </c>
      <c r="M433" s="769" t="s">
        <v>493</v>
      </c>
      <c r="N433" s="770" t="s">
        <v>611</v>
      </c>
      <c r="O433" s="770" t="s">
        <v>494</v>
      </c>
      <c r="P433" s="770" t="s">
        <v>505</v>
      </c>
      <c r="Q433" s="770" t="s">
        <v>523</v>
      </c>
      <c r="R433" s="770" t="s">
        <v>497</v>
      </c>
      <c r="S433" s="770">
        <v>2019.0</v>
      </c>
      <c r="T433" s="771">
        <v>0.0</v>
      </c>
      <c r="U433" s="771">
        <v>0.0</v>
      </c>
      <c r="V433" s="772">
        <v>0.0</v>
      </c>
      <c r="X433" s="769" t="s">
        <v>518</v>
      </c>
      <c r="Y433" s="770" t="s">
        <v>494</v>
      </c>
      <c r="Z433" s="770" t="s">
        <v>513</v>
      </c>
      <c r="AA433" s="770" t="s">
        <v>612</v>
      </c>
      <c r="AB433" s="770" t="s">
        <v>493</v>
      </c>
      <c r="AC433" s="770" t="s">
        <v>103</v>
      </c>
      <c r="AD433" s="770" t="s">
        <v>501</v>
      </c>
      <c r="AE433" s="784" t="s">
        <v>502</v>
      </c>
      <c r="AF433" s="771">
        <v>26312.02747</v>
      </c>
      <c r="AG433" s="771">
        <v>17479.9024</v>
      </c>
      <c r="AH433" s="771">
        <v>37371.30625</v>
      </c>
      <c r="AI433" s="772" t="s">
        <v>233</v>
      </c>
      <c r="AK433" s="769" t="s">
        <v>518</v>
      </c>
      <c r="AL433" s="770" t="s">
        <v>494</v>
      </c>
      <c r="AM433" s="770" t="s">
        <v>513</v>
      </c>
      <c r="AN433" s="770" t="s">
        <v>612</v>
      </c>
      <c r="AO433" s="770" t="s">
        <v>493</v>
      </c>
      <c r="AP433" s="770" t="s">
        <v>504</v>
      </c>
      <c r="AQ433" s="770" t="s">
        <v>501</v>
      </c>
      <c r="AR433" s="784" t="s">
        <v>502</v>
      </c>
      <c r="AS433" s="771">
        <v>768.6514233</v>
      </c>
      <c r="AT433" s="771">
        <v>510.6391698</v>
      </c>
      <c r="AU433" s="771">
        <v>1091.725363</v>
      </c>
      <c r="AV433" s="989" t="s">
        <v>233</v>
      </c>
      <c r="AW433" s="714"/>
    </row>
    <row r="434">
      <c r="A434" s="761"/>
      <c r="B434" s="769" t="s">
        <v>493</v>
      </c>
      <c r="C434" s="770" t="s">
        <v>611</v>
      </c>
      <c r="D434" s="770" t="s">
        <v>494</v>
      </c>
      <c r="E434" s="770" t="s">
        <v>508</v>
      </c>
      <c r="F434" s="770" t="s">
        <v>523</v>
      </c>
      <c r="G434" s="770" t="s">
        <v>103</v>
      </c>
      <c r="H434" s="770">
        <v>2019.0</v>
      </c>
      <c r="I434" s="771">
        <v>165.8627641</v>
      </c>
      <c r="J434" s="771">
        <v>299.2377145</v>
      </c>
      <c r="K434" s="772">
        <v>79.56667543</v>
      </c>
      <c r="M434" s="769" t="s">
        <v>493</v>
      </c>
      <c r="N434" s="770" t="s">
        <v>611</v>
      </c>
      <c r="O434" s="770" t="s">
        <v>494</v>
      </c>
      <c r="P434" s="770" t="s">
        <v>508</v>
      </c>
      <c r="Q434" s="770" t="s">
        <v>523</v>
      </c>
      <c r="R434" s="770" t="s">
        <v>497</v>
      </c>
      <c r="S434" s="770">
        <v>2019.0</v>
      </c>
      <c r="T434" s="771">
        <v>93.81379887</v>
      </c>
      <c r="U434" s="771">
        <v>169.2521339</v>
      </c>
      <c r="V434" s="772">
        <v>45.00378445</v>
      </c>
      <c r="X434" s="769" t="s">
        <v>519</v>
      </c>
      <c r="Y434" s="770" t="s">
        <v>494</v>
      </c>
      <c r="Z434" s="770" t="s">
        <v>499</v>
      </c>
      <c r="AA434" s="770" t="s">
        <v>612</v>
      </c>
      <c r="AB434" s="770" t="s">
        <v>493</v>
      </c>
      <c r="AC434" s="770" t="s">
        <v>103</v>
      </c>
      <c r="AD434" s="770" t="s">
        <v>501</v>
      </c>
      <c r="AE434" s="784" t="s">
        <v>502</v>
      </c>
      <c r="AF434" s="771">
        <v>22758.93075</v>
      </c>
      <c r="AG434" s="771">
        <v>18050.63382</v>
      </c>
      <c r="AH434" s="771">
        <v>28953.21285</v>
      </c>
      <c r="AI434" s="772" t="s">
        <v>233</v>
      </c>
      <c r="AK434" s="769" t="s">
        <v>519</v>
      </c>
      <c r="AL434" s="770" t="s">
        <v>494</v>
      </c>
      <c r="AM434" s="770" t="s">
        <v>499</v>
      </c>
      <c r="AN434" s="770" t="s">
        <v>612</v>
      </c>
      <c r="AO434" s="770" t="s">
        <v>493</v>
      </c>
      <c r="AP434" s="770" t="s">
        <v>504</v>
      </c>
      <c r="AQ434" s="770" t="s">
        <v>501</v>
      </c>
      <c r="AR434" s="784" t="s">
        <v>502</v>
      </c>
      <c r="AS434" s="771">
        <v>144469.8565</v>
      </c>
      <c r="AT434" s="771">
        <v>114582.3811</v>
      </c>
      <c r="AU434" s="771">
        <v>183790.1152</v>
      </c>
      <c r="AV434" s="989" t="s">
        <v>233</v>
      </c>
      <c r="AW434" s="714"/>
    </row>
    <row r="435">
      <c r="A435" s="761"/>
      <c r="B435" s="769" t="s">
        <v>493</v>
      </c>
      <c r="C435" s="770" t="s">
        <v>611</v>
      </c>
      <c r="D435" s="770" t="s">
        <v>494</v>
      </c>
      <c r="E435" s="770" t="s">
        <v>512</v>
      </c>
      <c r="F435" s="770" t="s">
        <v>523</v>
      </c>
      <c r="G435" s="770" t="s">
        <v>103</v>
      </c>
      <c r="H435" s="770">
        <v>2019.0</v>
      </c>
      <c r="I435" s="771">
        <v>0.0</v>
      </c>
      <c r="J435" s="771">
        <v>0.0</v>
      </c>
      <c r="K435" s="772">
        <v>0.0</v>
      </c>
      <c r="M435" s="769" t="s">
        <v>493</v>
      </c>
      <c r="N435" s="770" t="s">
        <v>611</v>
      </c>
      <c r="O435" s="770" t="s">
        <v>494</v>
      </c>
      <c r="P435" s="770" t="s">
        <v>512</v>
      </c>
      <c r="Q435" s="770" t="s">
        <v>523</v>
      </c>
      <c r="R435" s="770" t="s">
        <v>497</v>
      </c>
      <c r="S435" s="770">
        <v>2019.0</v>
      </c>
      <c r="T435" s="771">
        <v>0.0</v>
      </c>
      <c r="U435" s="771">
        <v>0.0</v>
      </c>
      <c r="V435" s="772">
        <v>0.0</v>
      </c>
      <c r="X435" s="769" t="s">
        <v>519</v>
      </c>
      <c r="Y435" s="770" t="s">
        <v>494</v>
      </c>
      <c r="Z435" s="770" t="s">
        <v>507</v>
      </c>
      <c r="AA435" s="770" t="s">
        <v>612</v>
      </c>
      <c r="AB435" s="770" t="s">
        <v>493</v>
      </c>
      <c r="AC435" s="770" t="s">
        <v>103</v>
      </c>
      <c r="AD435" s="770" t="s">
        <v>501</v>
      </c>
      <c r="AE435" s="784" t="s">
        <v>502</v>
      </c>
      <c r="AF435" s="771">
        <v>170.2840425</v>
      </c>
      <c r="AG435" s="771">
        <v>98.31805679</v>
      </c>
      <c r="AH435" s="771">
        <v>271.9894325</v>
      </c>
      <c r="AI435" s="772" t="s">
        <v>233</v>
      </c>
      <c r="AK435" s="769" t="s">
        <v>519</v>
      </c>
      <c r="AL435" s="770" t="s">
        <v>494</v>
      </c>
      <c r="AM435" s="770" t="s">
        <v>507</v>
      </c>
      <c r="AN435" s="770" t="s">
        <v>612</v>
      </c>
      <c r="AO435" s="770" t="s">
        <v>493</v>
      </c>
      <c r="AP435" s="770" t="s">
        <v>504</v>
      </c>
      <c r="AQ435" s="770" t="s">
        <v>501</v>
      </c>
      <c r="AR435" s="784" t="s">
        <v>502</v>
      </c>
      <c r="AS435" s="771">
        <v>24.1690511</v>
      </c>
      <c r="AT435" s="771">
        <v>13.95464956</v>
      </c>
      <c r="AU435" s="771">
        <v>38.60447753</v>
      </c>
      <c r="AV435" s="989" t="s">
        <v>233</v>
      </c>
      <c r="AW435" s="714"/>
    </row>
    <row r="436">
      <c r="A436" s="761"/>
      <c r="B436" s="769" t="s">
        <v>493</v>
      </c>
      <c r="C436" s="770" t="s">
        <v>613</v>
      </c>
      <c r="D436" s="770" t="s">
        <v>494</v>
      </c>
      <c r="E436" s="770" t="s">
        <v>495</v>
      </c>
      <c r="F436" s="770" t="s">
        <v>496</v>
      </c>
      <c r="G436" s="770" t="s">
        <v>103</v>
      </c>
      <c r="H436" s="770">
        <v>2019.0</v>
      </c>
      <c r="I436" s="771">
        <v>1425.276852</v>
      </c>
      <c r="J436" s="771">
        <v>1757.060489</v>
      </c>
      <c r="K436" s="772">
        <v>1169.75062</v>
      </c>
      <c r="M436" s="769" t="s">
        <v>493</v>
      </c>
      <c r="N436" s="770" t="s">
        <v>613</v>
      </c>
      <c r="O436" s="770" t="s">
        <v>494</v>
      </c>
      <c r="P436" s="770" t="s">
        <v>495</v>
      </c>
      <c r="Q436" s="770" t="s">
        <v>496</v>
      </c>
      <c r="R436" s="770" t="s">
        <v>497</v>
      </c>
      <c r="S436" s="770">
        <v>2019.0</v>
      </c>
      <c r="T436" s="771">
        <v>1013.766864</v>
      </c>
      <c r="U436" s="771">
        <v>1249.756984</v>
      </c>
      <c r="V436" s="772">
        <v>832.0168922</v>
      </c>
      <c r="X436" s="769" t="s">
        <v>519</v>
      </c>
      <c r="Y436" s="770" t="s">
        <v>494</v>
      </c>
      <c r="Z436" s="770" t="s">
        <v>509</v>
      </c>
      <c r="AA436" s="770" t="s">
        <v>612</v>
      </c>
      <c r="AB436" s="770" t="s">
        <v>493</v>
      </c>
      <c r="AC436" s="770" t="s">
        <v>103</v>
      </c>
      <c r="AD436" s="770" t="s">
        <v>501</v>
      </c>
      <c r="AE436" s="784" t="s">
        <v>502</v>
      </c>
      <c r="AF436" s="771">
        <v>3693.291576</v>
      </c>
      <c r="AG436" s="771">
        <v>2638.456315</v>
      </c>
      <c r="AH436" s="771">
        <v>4889.185764</v>
      </c>
      <c r="AI436" s="772" t="s">
        <v>233</v>
      </c>
      <c r="AK436" s="769" t="s">
        <v>519</v>
      </c>
      <c r="AL436" s="770" t="s">
        <v>494</v>
      </c>
      <c r="AM436" s="770" t="s">
        <v>509</v>
      </c>
      <c r="AN436" s="770" t="s">
        <v>612</v>
      </c>
      <c r="AO436" s="770" t="s">
        <v>493</v>
      </c>
      <c r="AP436" s="770" t="s">
        <v>504</v>
      </c>
      <c r="AQ436" s="770" t="s">
        <v>501</v>
      </c>
      <c r="AR436" s="784" t="s">
        <v>502</v>
      </c>
      <c r="AS436" s="771">
        <v>8009.578842</v>
      </c>
      <c r="AT436" s="771">
        <v>5721.97549</v>
      </c>
      <c r="AU436" s="771">
        <v>10603.0943</v>
      </c>
      <c r="AV436" s="989" t="s">
        <v>233</v>
      </c>
      <c r="AW436" s="714"/>
    </row>
    <row r="437">
      <c r="A437" s="761"/>
      <c r="B437" s="769" t="s">
        <v>493</v>
      </c>
      <c r="C437" s="770" t="s">
        <v>613</v>
      </c>
      <c r="D437" s="770" t="s">
        <v>494</v>
      </c>
      <c r="E437" s="770" t="s">
        <v>505</v>
      </c>
      <c r="F437" s="770" t="s">
        <v>496</v>
      </c>
      <c r="G437" s="770" t="s">
        <v>103</v>
      </c>
      <c r="H437" s="770">
        <v>2019.0</v>
      </c>
      <c r="I437" s="771">
        <v>397.8299247</v>
      </c>
      <c r="J437" s="771">
        <v>493.1983064</v>
      </c>
      <c r="K437" s="772">
        <v>324.9107785</v>
      </c>
      <c r="M437" s="769" t="s">
        <v>493</v>
      </c>
      <c r="N437" s="770" t="s">
        <v>613</v>
      </c>
      <c r="O437" s="770" t="s">
        <v>494</v>
      </c>
      <c r="P437" s="770" t="s">
        <v>505</v>
      </c>
      <c r="Q437" s="770" t="s">
        <v>496</v>
      </c>
      <c r="R437" s="770" t="s">
        <v>497</v>
      </c>
      <c r="S437" s="770">
        <v>2019.0</v>
      </c>
      <c r="T437" s="771">
        <v>71233.43717</v>
      </c>
      <c r="U437" s="771">
        <v>88309.62276</v>
      </c>
      <c r="V437" s="772">
        <v>58176.89945</v>
      </c>
      <c r="X437" s="769" t="s">
        <v>519</v>
      </c>
      <c r="Y437" s="770" t="s">
        <v>494</v>
      </c>
      <c r="Z437" s="770" t="s">
        <v>513</v>
      </c>
      <c r="AA437" s="770" t="s">
        <v>612</v>
      </c>
      <c r="AB437" s="770" t="s">
        <v>493</v>
      </c>
      <c r="AC437" s="770" t="s">
        <v>103</v>
      </c>
      <c r="AD437" s="770" t="s">
        <v>501</v>
      </c>
      <c r="AE437" s="784" t="s">
        <v>502</v>
      </c>
      <c r="AF437" s="771">
        <v>26702.00323</v>
      </c>
      <c r="AG437" s="771">
        <v>20996.06532</v>
      </c>
      <c r="AH437" s="771">
        <v>33863.48756</v>
      </c>
      <c r="AI437" s="772" t="s">
        <v>233</v>
      </c>
      <c r="AK437" s="769" t="s">
        <v>519</v>
      </c>
      <c r="AL437" s="770" t="s">
        <v>494</v>
      </c>
      <c r="AM437" s="770" t="s">
        <v>513</v>
      </c>
      <c r="AN437" s="770" t="s">
        <v>612</v>
      </c>
      <c r="AO437" s="770" t="s">
        <v>493</v>
      </c>
      <c r="AP437" s="770" t="s">
        <v>504</v>
      </c>
      <c r="AQ437" s="770" t="s">
        <v>501</v>
      </c>
      <c r="AR437" s="784" t="s">
        <v>502</v>
      </c>
      <c r="AS437" s="771">
        <v>780.0437579</v>
      </c>
      <c r="AT437" s="771">
        <v>613.3565917</v>
      </c>
      <c r="AU437" s="771">
        <v>989.2517004</v>
      </c>
      <c r="AV437" s="989" t="s">
        <v>233</v>
      </c>
      <c r="AW437" s="714"/>
    </row>
    <row r="438">
      <c r="A438" s="761"/>
      <c r="B438" s="769" t="s">
        <v>493</v>
      </c>
      <c r="C438" s="770" t="s">
        <v>613</v>
      </c>
      <c r="D438" s="770" t="s">
        <v>494</v>
      </c>
      <c r="E438" s="770" t="s">
        <v>508</v>
      </c>
      <c r="F438" s="770" t="s">
        <v>496</v>
      </c>
      <c r="G438" s="770" t="s">
        <v>103</v>
      </c>
      <c r="H438" s="770">
        <v>2019.0</v>
      </c>
      <c r="I438" s="771">
        <v>633.8894706</v>
      </c>
      <c r="J438" s="771">
        <v>783.1370559</v>
      </c>
      <c r="K438" s="772">
        <v>519.9748446</v>
      </c>
      <c r="M438" s="769" t="s">
        <v>493</v>
      </c>
      <c r="N438" s="770" t="s">
        <v>613</v>
      </c>
      <c r="O438" s="770" t="s">
        <v>494</v>
      </c>
      <c r="P438" s="770" t="s">
        <v>508</v>
      </c>
      <c r="Q438" s="770" t="s">
        <v>496</v>
      </c>
      <c r="R438" s="770" t="s">
        <v>497</v>
      </c>
      <c r="S438" s="770">
        <v>2019.0</v>
      </c>
      <c r="T438" s="771">
        <v>2405.630535</v>
      </c>
      <c r="U438" s="771">
        <v>2972.029829</v>
      </c>
      <c r="V438" s="772">
        <v>1973.320937</v>
      </c>
      <c r="X438" s="769" t="s">
        <v>521</v>
      </c>
      <c r="Y438" s="770" t="s">
        <v>494</v>
      </c>
      <c r="Z438" s="770" t="s">
        <v>499</v>
      </c>
      <c r="AA438" s="770" t="s">
        <v>612</v>
      </c>
      <c r="AB438" s="770" t="s">
        <v>493</v>
      </c>
      <c r="AC438" s="770" t="s">
        <v>103</v>
      </c>
      <c r="AD438" s="770" t="s">
        <v>501</v>
      </c>
      <c r="AE438" s="784" t="s">
        <v>502</v>
      </c>
      <c r="AF438" s="771">
        <v>0.0</v>
      </c>
      <c r="AG438" s="771">
        <v>0.0</v>
      </c>
      <c r="AH438" s="771">
        <v>0.0</v>
      </c>
      <c r="AI438" s="772" t="s">
        <v>233</v>
      </c>
      <c r="AK438" s="769" t="s">
        <v>521</v>
      </c>
      <c r="AL438" s="770" t="s">
        <v>494</v>
      </c>
      <c r="AM438" s="770" t="s">
        <v>499</v>
      </c>
      <c r="AN438" s="770" t="s">
        <v>612</v>
      </c>
      <c r="AO438" s="770" t="s">
        <v>493</v>
      </c>
      <c r="AP438" s="770" t="s">
        <v>504</v>
      </c>
      <c r="AQ438" s="770" t="s">
        <v>501</v>
      </c>
      <c r="AR438" s="784" t="s">
        <v>502</v>
      </c>
      <c r="AS438" s="771">
        <v>0.0</v>
      </c>
      <c r="AT438" s="771">
        <v>0.0</v>
      </c>
      <c r="AU438" s="771">
        <v>0.0</v>
      </c>
      <c r="AV438" s="989" t="s">
        <v>233</v>
      </c>
      <c r="AW438" s="714"/>
    </row>
    <row r="439">
      <c r="A439" s="761"/>
      <c r="B439" s="769" t="s">
        <v>493</v>
      </c>
      <c r="C439" s="770" t="s">
        <v>613</v>
      </c>
      <c r="D439" s="770" t="s">
        <v>494</v>
      </c>
      <c r="E439" s="770" t="s">
        <v>512</v>
      </c>
      <c r="F439" s="770" t="s">
        <v>496</v>
      </c>
      <c r="G439" s="770" t="s">
        <v>103</v>
      </c>
      <c r="H439" s="770">
        <v>2019.0</v>
      </c>
      <c r="I439" s="771">
        <v>108.6586415</v>
      </c>
      <c r="J439" s="771">
        <v>134.9822643</v>
      </c>
      <c r="K439" s="772">
        <v>88.46211785</v>
      </c>
      <c r="M439" s="769" t="s">
        <v>493</v>
      </c>
      <c r="N439" s="770" t="s">
        <v>613</v>
      </c>
      <c r="O439" s="770" t="s">
        <v>494</v>
      </c>
      <c r="P439" s="770" t="s">
        <v>512</v>
      </c>
      <c r="Q439" s="770" t="s">
        <v>496</v>
      </c>
      <c r="R439" s="770" t="s">
        <v>497</v>
      </c>
      <c r="S439" s="770">
        <v>2019.0</v>
      </c>
      <c r="T439" s="771">
        <v>6540.368691</v>
      </c>
      <c r="U439" s="771">
        <v>8124.837221</v>
      </c>
      <c r="V439" s="772">
        <v>5324.701816</v>
      </c>
      <c r="X439" s="769" t="s">
        <v>521</v>
      </c>
      <c r="Y439" s="770" t="s">
        <v>494</v>
      </c>
      <c r="Z439" s="770" t="s">
        <v>507</v>
      </c>
      <c r="AA439" s="770" t="s">
        <v>612</v>
      </c>
      <c r="AB439" s="770" t="s">
        <v>493</v>
      </c>
      <c r="AC439" s="770" t="s">
        <v>103</v>
      </c>
      <c r="AD439" s="770" t="s">
        <v>501</v>
      </c>
      <c r="AE439" s="784" t="s">
        <v>502</v>
      </c>
      <c r="AF439" s="771">
        <v>137.622802</v>
      </c>
      <c r="AG439" s="771">
        <v>40.52726677</v>
      </c>
      <c r="AH439" s="771">
        <v>323.39195</v>
      </c>
      <c r="AI439" s="772" t="s">
        <v>233</v>
      </c>
      <c r="AK439" s="769" t="s">
        <v>521</v>
      </c>
      <c r="AL439" s="770" t="s">
        <v>494</v>
      </c>
      <c r="AM439" s="770" t="s">
        <v>507</v>
      </c>
      <c r="AN439" s="770" t="s">
        <v>612</v>
      </c>
      <c r="AO439" s="770" t="s">
        <v>493</v>
      </c>
      <c r="AP439" s="770" t="s">
        <v>504</v>
      </c>
      <c r="AQ439" s="770" t="s">
        <v>501</v>
      </c>
      <c r="AR439" s="784" t="s">
        <v>502</v>
      </c>
      <c r="AS439" s="771">
        <v>19.53331907</v>
      </c>
      <c r="AT439" s="771">
        <v>5.752186565</v>
      </c>
      <c r="AU439" s="771">
        <v>45.90022911</v>
      </c>
      <c r="AV439" s="989" t="s">
        <v>233</v>
      </c>
      <c r="AW439" s="714"/>
    </row>
    <row r="440">
      <c r="A440" s="761"/>
      <c r="B440" s="769" t="s">
        <v>493</v>
      </c>
      <c r="C440" s="770" t="s">
        <v>613</v>
      </c>
      <c r="D440" s="770" t="s">
        <v>494</v>
      </c>
      <c r="E440" s="770" t="s">
        <v>495</v>
      </c>
      <c r="F440" s="770" t="s">
        <v>514</v>
      </c>
      <c r="G440" s="770" t="s">
        <v>103</v>
      </c>
      <c r="H440" s="770">
        <v>2019.0</v>
      </c>
      <c r="I440" s="771">
        <v>1254.976867</v>
      </c>
      <c r="J440" s="771">
        <v>1548.896199</v>
      </c>
      <c r="K440" s="772">
        <v>1025.763897</v>
      </c>
      <c r="M440" s="769" t="s">
        <v>493</v>
      </c>
      <c r="N440" s="770" t="s">
        <v>613</v>
      </c>
      <c r="O440" s="770" t="s">
        <v>494</v>
      </c>
      <c r="P440" s="770" t="s">
        <v>495</v>
      </c>
      <c r="Q440" s="770" t="s">
        <v>514</v>
      </c>
      <c r="R440" s="770" t="s">
        <v>497</v>
      </c>
      <c r="S440" s="770">
        <v>2019.0</v>
      </c>
      <c r="T440" s="771">
        <v>892.6363743</v>
      </c>
      <c r="U440" s="771">
        <v>1101.694481</v>
      </c>
      <c r="V440" s="772">
        <v>729.6024256</v>
      </c>
      <c r="X440" s="769" t="s">
        <v>521</v>
      </c>
      <c r="Y440" s="770" t="s">
        <v>494</v>
      </c>
      <c r="Z440" s="770" t="s">
        <v>509</v>
      </c>
      <c r="AA440" s="770" t="s">
        <v>612</v>
      </c>
      <c r="AB440" s="770" t="s">
        <v>493</v>
      </c>
      <c r="AC440" s="770" t="s">
        <v>103</v>
      </c>
      <c r="AD440" s="770" t="s">
        <v>501</v>
      </c>
      <c r="AE440" s="784" t="s">
        <v>502</v>
      </c>
      <c r="AF440" s="771">
        <v>0.0</v>
      </c>
      <c r="AG440" s="771">
        <v>0.0</v>
      </c>
      <c r="AH440" s="771">
        <v>0.0</v>
      </c>
      <c r="AI440" s="772" t="s">
        <v>233</v>
      </c>
      <c r="AK440" s="769" t="s">
        <v>521</v>
      </c>
      <c r="AL440" s="770" t="s">
        <v>494</v>
      </c>
      <c r="AM440" s="770" t="s">
        <v>509</v>
      </c>
      <c r="AN440" s="770" t="s">
        <v>612</v>
      </c>
      <c r="AO440" s="770" t="s">
        <v>493</v>
      </c>
      <c r="AP440" s="770" t="s">
        <v>504</v>
      </c>
      <c r="AQ440" s="770" t="s">
        <v>501</v>
      </c>
      <c r="AR440" s="784" t="s">
        <v>502</v>
      </c>
      <c r="AS440" s="771">
        <v>0.0</v>
      </c>
      <c r="AT440" s="771">
        <v>0.0</v>
      </c>
      <c r="AU440" s="771">
        <v>0.0</v>
      </c>
      <c r="AV440" s="989" t="s">
        <v>233</v>
      </c>
      <c r="AW440" s="714"/>
    </row>
    <row r="441">
      <c r="A441" s="761"/>
      <c r="B441" s="769" t="s">
        <v>493</v>
      </c>
      <c r="C441" s="770" t="s">
        <v>613</v>
      </c>
      <c r="D441" s="770" t="s">
        <v>494</v>
      </c>
      <c r="E441" s="770" t="s">
        <v>505</v>
      </c>
      <c r="F441" s="770" t="s">
        <v>514</v>
      </c>
      <c r="G441" s="770" t="s">
        <v>103</v>
      </c>
      <c r="H441" s="770">
        <v>2019.0</v>
      </c>
      <c r="I441" s="771">
        <v>369.9114825</v>
      </c>
      <c r="J441" s="771">
        <v>459.8288795</v>
      </c>
      <c r="K441" s="772">
        <v>301.0108841</v>
      </c>
      <c r="M441" s="769" t="s">
        <v>493</v>
      </c>
      <c r="N441" s="770" t="s">
        <v>613</v>
      </c>
      <c r="O441" s="770" t="s">
        <v>494</v>
      </c>
      <c r="P441" s="770" t="s">
        <v>505</v>
      </c>
      <c r="Q441" s="770" t="s">
        <v>514</v>
      </c>
      <c r="R441" s="770" t="s">
        <v>497</v>
      </c>
      <c r="S441" s="770">
        <v>2019.0</v>
      </c>
      <c r="T441" s="771">
        <v>66234.50049</v>
      </c>
      <c r="U441" s="771">
        <v>82334.66001</v>
      </c>
      <c r="V441" s="772">
        <v>53897.50385</v>
      </c>
      <c r="X441" s="769" t="s">
        <v>521</v>
      </c>
      <c r="Y441" s="770" t="s">
        <v>494</v>
      </c>
      <c r="Z441" s="770" t="s">
        <v>513</v>
      </c>
      <c r="AA441" s="770" t="s">
        <v>612</v>
      </c>
      <c r="AB441" s="770" t="s">
        <v>493</v>
      </c>
      <c r="AC441" s="770" t="s">
        <v>103</v>
      </c>
      <c r="AD441" s="770" t="s">
        <v>501</v>
      </c>
      <c r="AE441" s="784" t="s">
        <v>502</v>
      </c>
      <c r="AF441" s="771">
        <v>829.3746167</v>
      </c>
      <c r="AG441" s="771">
        <v>239.8236365</v>
      </c>
      <c r="AH441" s="771">
        <v>2111.788158</v>
      </c>
      <c r="AI441" s="772" t="s">
        <v>233</v>
      </c>
      <c r="AK441" s="769" t="s">
        <v>521</v>
      </c>
      <c r="AL441" s="770" t="s">
        <v>494</v>
      </c>
      <c r="AM441" s="770" t="s">
        <v>513</v>
      </c>
      <c r="AN441" s="770" t="s">
        <v>612</v>
      </c>
      <c r="AO441" s="770" t="s">
        <v>493</v>
      </c>
      <c r="AP441" s="770" t="s">
        <v>504</v>
      </c>
      <c r="AQ441" s="770" t="s">
        <v>501</v>
      </c>
      <c r="AR441" s="784" t="s">
        <v>502</v>
      </c>
      <c r="AS441" s="771">
        <v>24.22846283</v>
      </c>
      <c r="AT441" s="771">
        <v>7.005951166</v>
      </c>
      <c r="AU441" s="771">
        <v>61.69152018</v>
      </c>
      <c r="AV441" s="989" t="s">
        <v>233</v>
      </c>
      <c r="AW441" s="714"/>
    </row>
    <row r="442">
      <c r="A442" s="761"/>
      <c r="B442" s="769" t="s">
        <v>493</v>
      </c>
      <c r="C442" s="770" t="s">
        <v>613</v>
      </c>
      <c r="D442" s="770" t="s">
        <v>494</v>
      </c>
      <c r="E442" s="770" t="s">
        <v>508</v>
      </c>
      <c r="F442" s="770" t="s">
        <v>514</v>
      </c>
      <c r="G442" s="770" t="s">
        <v>103</v>
      </c>
      <c r="H442" s="770">
        <v>2019.0</v>
      </c>
      <c r="I442" s="771">
        <v>553.3598398</v>
      </c>
      <c r="J442" s="771">
        <v>683.2379384</v>
      </c>
      <c r="K442" s="772">
        <v>449.5665042</v>
      </c>
      <c r="M442" s="769" t="s">
        <v>493</v>
      </c>
      <c r="N442" s="770" t="s">
        <v>613</v>
      </c>
      <c r="O442" s="770" t="s">
        <v>494</v>
      </c>
      <c r="P442" s="770" t="s">
        <v>508</v>
      </c>
      <c r="Q442" s="770" t="s">
        <v>514</v>
      </c>
      <c r="R442" s="770" t="s">
        <v>497</v>
      </c>
      <c r="S442" s="770">
        <v>2019.0</v>
      </c>
      <c r="T442" s="771">
        <v>2100.018046</v>
      </c>
      <c r="U442" s="771">
        <v>2592.909527</v>
      </c>
      <c r="V442" s="772">
        <v>1706.119064</v>
      </c>
      <c r="X442" s="769" t="s">
        <v>523</v>
      </c>
      <c r="Y442" s="770" t="s">
        <v>494</v>
      </c>
      <c r="Z442" s="770" t="s">
        <v>507</v>
      </c>
      <c r="AA442" s="770" t="s">
        <v>612</v>
      </c>
      <c r="AB442" s="770" t="s">
        <v>493</v>
      </c>
      <c r="AC442" s="770" t="s">
        <v>103</v>
      </c>
      <c r="AD442" s="770" t="s">
        <v>501</v>
      </c>
      <c r="AE442" s="784" t="s">
        <v>502</v>
      </c>
      <c r="AF442" s="771">
        <v>145.6032295</v>
      </c>
      <c r="AG442" s="771">
        <v>70.47845162</v>
      </c>
      <c r="AH442" s="771">
        <v>272.002619</v>
      </c>
      <c r="AI442" s="772" t="s">
        <v>233</v>
      </c>
      <c r="AK442" s="769" t="s">
        <v>523</v>
      </c>
      <c r="AL442" s="770" t="s">
        <v>494</v>
      </c>
      <c r="AM442" s="770" t="s">
        <v>507</v>
      </c>
      <c r="AN442" s="770" t="s">
        <v>612</v>
      </c>
      <c r="AO442" s="770" t="s">
        <v>493</v>
      </c>
      <c r="AP442" s="770" t="s">
        <v>504</v>
      </c>
      <c r="AQ442" s="770" t="s">
        <v>501</v>
      </c>
      <c r="AR442" s="784" t="s">
        <v>502</v>
      </c>
      <c r="AS442" s="771">
        <v>20.66601099</v>
      </c>
      <c r="AT442" s="771">
        <v>10.00327026</v>
      </c>
      <c r="AU442" s="771">
        <v>38.60634914</v>
      </c>
      <c r="AV442" s="989" t="s">
        <v>233</v>
      </c>
      <c r="AW442" s="714"/>
    </row>
    <row r="443">
      <c r="A443" s="761"/>
      <c r="B443" s="769" t="s">
        <v>493</v>
      </c>
      <c r="C443" s="770" t="s">
        <v>613</v>
      </c>
      <c r="D443" s="770" t="s">
        <v>494</v>
      </c>
      <c r="E443" s="770" t="s">
        <v>512</v>
      </c>
      <c r="F443" s="770" t="s">
        <v>514</v>
      </c>
      <c r="G443" s="770" t="s">
        <v>103</v>
      </c>
      <c r="H443" s="770">
        <v>2019.0</v>
      </c>
      <c r="I443" s="771">
        <v>97.34023088</v>
      </c>
      <c r="J443" s="771">
        <v>122.2537099</v>
      </c>
      <c r="K443" s="772">
        <v>78.22597159</v>
      </c>
      <c r="M443" s="769" t="s">
        <v>493</v>
      </c>
      <c r="N443" s="770" t="s">
        <v>613</v>
      </c>
      <c r="O443" s="770" t="s">
        <v>494</v>
      </c>
      <c r="P443" s="770" t="s">
        <v>512</v>
      </c>
      <c r="Q443" s="770" t="s">
        <v>514</v>
      </c>
      <c r="R443" s="770" t="s">
        <v>497</v>
      </c>
      <c r="S443" s="770">
        <v>2019.0</v>
      </c>
      <c r="T443" s="771">
        <v>5859.092194</v>
      </c>
      <c r="U443" s="771">
        <v>7358.68151</v>
      </c>
      <c r="V443" s="772">
        <v>4708.568856</v>
      </c>
      <c r="X443" s="769" t="s">
        <v>523</v>
      </c>
      <c r="Y443" s="770" t="s">
        <v>494</v>
      </c>
      <c r="Z443" s="770" t="s">
        <v>513</v>
      </c>
      <c r="AA443" s="770" t="s">
        <v>612</v>
      </c>
      <c r="AB443" s="770" t="s">
        <v>493</v>
      </c>
      <c r="AC443" s="770" t="s">
        <v>103</v>
      </c>
      <c r="AD443" s="770" t="s">
        <v>501</v>
      </c>
      <c r="AE443" s="784" t="s">
        <v>502</v>
      </c>
      <c r="AF443" s="771">
        <v>342.4262389</v>
      </c>
      <c r="AG443" s="771">
        <v>183.3159906</v>
      </c>
      <c r="AH443" s="771">
        <v>564.0492813</v>
      </c>
      <c r="AI443" s="772" t="s">
        <v>233</v>
      </c>
      <c r="AK443" s="769" t="s">
        <v>523</v>
      </c>
      <c r="AL443" s="770" t="s">
        <v>494</v>
      </c>
      <c r="AM443" s="770" t="s">
        <v>513</v>
      </c>
      <c r="AN443" s="770" t="s">
        <v>612</v>
      </c>
      <c r="AO443" s="770" t="s">
        <v>493</v>
      </c>
      <c r="AP443" s="770" t="s">
        <v>504</v>
      </c>
      <c r="AQ443" s="770" t="s">
        <v>501</v>
      </c>
      <c r="AR443" s="784" t="s">
        <v>502</v>
      </c>
      <c r="AS443" s="771">
        <v>10.00327384</v>
      </c>
      <c r="AT443" s="771">
        <v>5.355197249</v>
      </c>
      <c r="AU443" s="771">
        <v>16.47753232</v>
      </c>
      <c r="AV443" s="989" t="s">
        <v>233</v>
      </c>
      <c r="AW443" s="714"/>
    </row>
    <row r="444">
      <c r="A444" s="761"/>
      <c r="B444" s="769" t="s">
        <v>493</v>
      </c>
      <c r="C444" s="770" t="s">
        <v>613</v>
      </c>
      <c r="D444" s="770" t="s">
        <v>494</v>
      </c>
      <c r="E444" s="770" t="s">
        <v>495</v>
      </c>
      <c r="F444" s="770" t="s">
        <v>518</v>
      </c>
      <c r="G444" s="770" t="s">
        <v>103</v>
      </c>
      <c r="H444" s="770">
        <v>2019.0</v>
      </c>
      <c r="I444" s="771">
        <v>191.8407543</v>
      </c>
      <c r="J444" s="771">
        <v>359.0049748</v>
      </c>
      <c r="K444" s="772">
        <v>89.65826087</v>
      </c>
      <c r="M444" s="769" t="s">
        <v>493</v>
      </c>
      <c r="N444" s="770" t="s">
        <v>613</v>
      </c>
      <c r="O444" s="770" t="s">
        <v>494</v>
      </c>
      <c r="P444" s="770" t="s">
        <v>495</v>
      </c>
      <c r="Q444" s="770" t="s">
        <v>518</v>
      </c>
      <c r="R444" s="770" t="s">
        <v>497</v>
      </c>
      <c r="S444" s="770">
        <v>2019.0</v>
      </c>
      <c r="T444" s="771">
        <v>136.4519458</v>
      </c>
      <c r="U444" s="771">
        <v>255.3520368</v>
      </c>
      <c r="V444" s="772">
        <v>63.77187264</v>
      </c>
      <c r="X444" s="769" t="s">
        <v>496</v>
      </c>
      <c r="Y444" s="770" t="s">
        <v>494</v>
      </c>
      <c r="Z444" s="770" t="s">
        <v>499</v>
      </c>
      <c r="AA444" s="770" t="s">
        <v>614</v>
      </c>
      <c r="AB444" s="770" t="s">
        <v>493</v>
      </c>
      <c r="AC444" s="770" t="s">
        <v>103</v>
      </c>
      <c r="AD444" s="770" t="s">
        <v>501</v>
      </c>
      <c r="AE444" s="784" t="s">
        <v>502</v>
      </c>
      <c r="AF444" s="771">
        <v>16167.79185</v>
      </c>
      <c r="AG444" s="771">
        <v>13196.7573</v>
      </c>
      <c r="AH444" s="771">
        <v>19969.95292</v>
      </c>
      <c r="AI444" s="772" t="s">
        <v>233</v>
      </c>
      <c r="AK444" s="769" t="s">
        <v>496</v>
      </c>
      <c r="AL444" s="770" t="s">
        <v>494</v>
      </c>
      <c r="AM444" s="770" t="s">
        <v>499</v>
      </c>
      <c r="AN444" s="770" t="s">
        <v>614</v>
      </c>
      <c r="AO444" s="770" t="s">
        <v>493</v>
      </c>
      <c r="AP444" s="770" t="s">
        <v>504</v>
      </c>
      <c r="AQ444" s="770" t="s">
        <v>501</v>
      </c>
      <c r="AR444" s="784" t="s">
        <v>502</v>
      </c>
      <c r="AS444" s="771">
        <v>181883.0665</v>
      </c>
      <c r="AT444" s="771">
        <v>148459.7716</v>
      </c>
      <c r="AU444" s="771">
        <v>224656.2987</v>
      </c>
      <c r="AV444" s="989" t="s">
        <v>233</v>
      </c>
      <c r="AW444" s="714"/>
    </row>
    <row r="445">
      <c r="A445" s="761"/>
      <c r="B445" s="769" t="s">
        <v>493</v>
      </c>
      <c r="C445" s="770" t="s">
        <v>613</v>
      </c>
      <c r="D445" s="770" t="s">
        <v>494</v>
      </c>
      <c r="E445" s="770" t="s">
        <v>505</v>
      </c>
      <c r="F445" s="770" t="s">
        <v>518</v>
      </c>
      <c r="G445" s="770" t="s">
        <v>103</v>
      </c>
      <c r="H445" s="770">
        <v>2019.0</v>
      </c>
      <c r="I445" s="771">
        <v>0.8235731931</v>
      </c>
      <c r="J445" s="771">
        <v>1.898120698</v>
      </c>
      <c r="K445" s="772">
        <v>0.3033176417</v>
      </c>
      <c r="M445" s="769" t="s">
        <v>493</v>
      </c>
      <c r="N445" s="770" t="s">
        <v>613</v>
      </c>
      <c r="O445" s="770" t="s">
        <v>494</v>
      </c>
      <c r="P445" s="770" t="s">
        <v>505</v>
      </c>
      <c r="Q445" s="770" t="s">
        <v>518</v>
      </c>
      <c r="R445" s="770" t="s">
        <v>497</v>
      </c>
      <c r="S445" s="770">
        <v>2019.0</v>
      </c>
      <c r="T445" s="771">
        <v>147.4648981</v>
      </c>
      <c r="U445" s="771">
        <v>339.8680016</v>
      </c>
      <c r="V445" s="772">
        <v>54.31054032</v>
      </c>
      <c r="X445" s="769" t="s">
        <v>496</v>
      </c>
      <c r="Y445" s="770" t="s">
        <v>494</v>
      </c>
      <c r="Z445" s="770" t="s">
        <v>507</v>
      </c>
      <c r="AA445" s="770" t="s">
        <v>614</v>
      </c>
      <c r="AB445" s="770" t="s">
        <v>493</v>
      </c>
      <c r="AC445" s="770" t="s">
        <v>103</v>
      </c>
      <c r="AD445" s="770" t="s">
        <v>501</v>
      </c>
      <c r="AE445" s="784" t="s">
        <v>502</v>
      </c>
      <c r="AF445" s="771">
        <v>17537.78551</v>
      </c>
      <c r="AG445" s="771">
        <v>14342.37676</v>
      </c>
      <c r="AH445" s="771">
        <v>21663.18615</v>
      </c>
      <c r="AI445" s="772" t="s">
        <v>233</v>
      </c>
      <c r="AK445" s="769" t="s">
        <v>496</v>
      </c>
      <c r="AL445" s="770" t="s">
        <v>494</v>
      </c>
      <c r="AM445" s="770" t="s">
        <v>507</v>
      </c>
      <c r="AN445" s="770" t="s">
        <v>614</v>
      </c>
      <c r="AO445" s="770" t="s">
        <v>493</v>
      </c>
      <c r="AP445" s="770" t="s">
        <v>504</v>
      </c>
      <c r="AQ445" s="770" t="s">
        <v>501</v>
      </c>
      <c r="AR445" s="784" t="s">
        <v>502</v>
      </c>
      <c r="AS445" s="771">
        <v>4375.101419</v>
      </c>
      <c r="AT445" s="771">
        <v>3577.951896</v>
      </c>
      <c r="AU445" s="771">
        <v>5404.253372</v>
      </c>
      <c r="AV445" s="989" t="s">
        <v>233</v>
      </c>
      <c r="AW445" s="714"/>
    </row>
    <row r="446">
      <c r="A446" s="761"/>
      <c r="B446" s="769" t="s">
        <v>493</v>
      </c>
      <c r="C446" s="770" t="s">
        <v>613</v>
      </c>
      <c r="D446" s="770" t="s">
        <v>494</v>
      </c>
      <c r="E446" s="770" t="s">
        <v>508</v>
      </c>
      <c r="F446" s="770" t="s">
        <v>518</v>
      </c>
      <c r="G446" s="770" t="s">
        <v>103</v>
      </c>
      <c r="H446" s="770">
        <v>2019.0</v>
      </c>
      <c r="I446" s="771">
        <v>147.1169655</v>
      </c>
      <c r="J446" s="771">
        <v>273.5285827</v>
      </c>
      <c r="K446" s="772">
        <v>62.74978084</v>
      </c>
      <c r="M446" s="769" t="s">
        <v>493</v>
      </c>
      <c r="N446" s="770" t="s">
        <v>613</v>
      </c>
      <c r="O446" s="770" t="s">
        <v>494</v>
      </c>
      <c r="P446" s="770" t="s">
        <v>508</v>
      </c>
      <c r="Q446" s="770" t="s">
        <v>518</v>
      </c>
      <c r="R446" s="770" t="s">
        <v>497</v>
      </c>
      <c r="S446" s="770">
        <v>2019.0</v>
      </c>
      <c r="T446" s="771">
        <v>558.3135244</v>
      </c>
      <c r="U446" s="771">
        <v>1038.049599</v>
      </c>
      <c r="V446" s="772">
        <v>238.1373976</v>
      </c>
      <c r="X446" s="769" t="s">
        <v>496</v>
      </c>
      <c r="Y446" s="770" t="s">
        <v>494</v>
      </c>
      <c r="Z446" s="770" t="s">
        <v>509</v>
      </c>
      <c r="AA446" s="770" t="s">
        <v>614</v>
      </c>
      <c r="AB446" s="770" t="s">
        <v>493</v>
      </c>
      <c r="AC446" s="770" t="s">
        <v>103</v>
      </c>
      <c r="AD446" s="770" t="s">
        <v>501</v>
      </c>
      <c r="AE446" s="784" t="s">
        <v>502</v>
      </c>
      <c r="AF446" s="771">
        <v>4601.219473</v>
      </c>
      <c r="AG446" s="771">
        <v>3754.972313</v>
      </c>
      <c r="AH446" s="771">
        <v>5686.689839</v>
      </c>
      <c r="AI446" s="772" t="s">
        <v>233</v>
      </c>
      <c r="AK446" s="769" t="s">
        <v>496</v>
      </c>
      <c r="AL446" s="770" t="s">
        <v>494</v>
      </c>
      <c r="AM446" s="770" t="s">
        <v>509</v>
      </c>
      <c r="AN446" s="770" t="s">
        <v>614</v>
      </c>
      <c r="AO446" s="770" t="s">
        <v>493</v>
      </c>
      <c r="AP446" s="770" t="s">
        <v>504</v>
      </c>
      <c r="AQ446" s="770" t="s">
        <v>501</v>
      </c>
      <c r="AR446" s="784" t="s">
        <v>502</v>
      </c>
      <c r="AS446" s="771">
        <v>17664.93007</v>
      </c>
      <c r="AT446" s="771">
        <v>14416.03117</v>
      </c>
      <c r="AU446" s="771">
        <v>21832.25098</v>
      </c>
      <c r="AV446" s="989" t="s">
        <v>233</v>
      </c>
      <c r="AW446" s="714"/>
    </row>
    <row r="447">
      <c r="A447" s="761"/>
      <c r="B447" s="769" t="s">
        <v>493</v>
      </c>
      <c r="C447" s="770" t="s">
        <v>613</v>
      </c>
      <c r="D447" s="770" t="s">
        <v>494</v>
      </c>
      <c r="E447" s="770" t="s">
        <v>512</v>
      </c>
      <c r="F447" s="770" t="s">
        <v>518</v>
      </c>
      <c r="G447" s="770" t="s">
        <v>103</v>
      </c>
      <c r="H447" s="770">
        <v>2019.0</v>
      </c>
      <c r="I447" s="771">
        <v>7.575885874</v>
      </c>
      <c r="J447" s="771">
        <v>17.46422376</v>
      </c>
      <c r="K447" s="772">
        <v>3.035011954</v>
      </c>
      <c r="M447" s="769" t="s">
        <v>493</v>
      </c>
      <c r="N447" s="770" t="s">
        <v>613</v>
      </c>
      <c r="O447" s="770" t="s">
        <v>494</v>
      </c>
      <c r="P447" s="770" t="s">
        <v>512</v>
      </c>
      <c r="Q447" s="770" t="s">
        <v>518</v>
      </c>
      <c r="R447" s="770" t="s">
        <v>497</v>
      </c>
      <c r="S447" s="770">
        <v>2019.0</v>
      </c>
      <c r="T447" s="771">
        <v>456.0068678</v>
      </c>
      <c r="U447" s="771">
        <v>1051.204586</v>
      </c>
      <c r="V447" s="772">
        <v>182.6830971</v>
      </c>
      <c r="X447" s="769" t="s">
        <v>496</v>
      </c>
      <c r="Y447" s="770" t="s">
        <v>494</v>
      </c>
      <c r="Z447" s="770" t="s">
        <v>513</v>
      </c>
      <c r="AA447" s="770" t="s">
        <v>614</v>
      </c>
      <c r="AB447" s="770" t="s">
        <v>493</v>
      </c>
      <c r="AC447" s="770" t="s">
        <v>103</v>
      </c>
      <c r="AD447" s="770" t="s">
        <v>501</v>
      </c>
      <c r="AE447" s="784" t="s">
        <v>502</v>
      </c>
      <c r="AF447" s="771">
        <v>65610.59865</v>
      </c>
      <c r="AG447" s="771">
        <v>53809.03211</v>
      </c>
      <c r="AH447" s="771">
        <v>80795.6586</v>
      </c>
      <c r="AI447" s="772" t="s">
        <v>233</v>
      </c>
      <c r="AK447" s="769" t="s">
        <v>496</v>
      </c>
      <c r="AL447" s="770" t="s">
        <v>494</v>
      </c>
      <c r="AM447" s="770" t="s">
        <v>513</v>
      </c>
      <c r="AN447" s="770" t="s">
        <v>614</v>
      </c>
      <c r="AO447" s="770" t="s">
        <v>493</v>
      </c>
      <c r="AP447" s="770" t="s">
        <v>504</v>
      </c>
      <c r="AQ447" s="770" t="s">
        <v>501</v>
      </c>
      <c r="AR447" s="784" t="s">
        <v>502</v>
      </c>
      <c r="AS447" s="771">
        <v>3363.615297</v>
      </c>
      <c r="AT447" s="771">
        <v>2758.592167</v>
      </c>
      <c r="AU447" s="771">
        <v>4142.097752</v>
      </c>
      <c r="AV447" s="989" t="s">
        <v>233</v>
      </c>
      <c r="AW447" s="714"/>
    </row>
    <row r="448">
      <c r="A448" s="761"/>
      <c r="B448" s="769" t="s">
        <v>493</v>
      </c>
      <c r="C448" s="770" t="s">
        <v>613</v>
      </c>
      <c r="D448" s="770" t="s">
        <v>494</v>
      </c>
      <c r="E448" s="770" t="s">
        <v>495</v>
      </c>
      <c r="F448" s="770" t="s">
        <v>519</v>
      </c>
      <c r="G448" s="770" t="s">
        <v>103</v>
      </c>
      <c r="H448" s="770">
        <v>2019.0</v>
      </c>
      <c r="I448" s="771">
        <v>439.9986849</v>
      </c>
      <c r="J448" s="771">
        <v>545.265653</v>
      </c>
      <c r="K448" s="772">
        <v>353.2665238</v>
      </c>
      <c r="M448" s="769" t="s">
        <v>493</v>
      </c>
      <c r="N448" s="770" t="s">
        <v>613</v>
      </c>
      <c r="O448" s="770" t="s">
        <v>494</v>
      </c>
      <c r="P448" s="770" t="s">
        <v>495</v>
      </c>
      <c r="Q448" s="770" t="s">
        <v>519</v>
      </c>
      <c r="R448" s="770" t="s">
        <v>497</v>
      </c>
      <c r="S448" s="770">
        <v>2019.0</v>
      </c>
      <c r="T448" s="771">
        <v>312.9610125</v>
      </c>
      <c r="U448" s="771">
        <v>387.835002</v>
      </c>
      <c r="V448" s="772">
        <v>251.2704077</v>
      </c>
      <c r="X448" s="769" t="s">
        <v>514</v>
      </c>
      <c r="Y448" s="770" t="s">
        <v>494</v>
      </c>
      <c r="Z448" s="770" t="s">
        <v>499</v>
      </c>
      <c r="AA448" s="770" t="s">
        <v>614</v>
      </c>
      <c r="AB448" s="770" t="s">
        <v>493</v>
      </c>
      <c r="AC448" s="770" t="s">
        <v>103</v>
      </c>
      <c r="AD448" s="770" t="s">
        <v>501</v>
      </c>
      <c r="AE448" s="784" t="s">
        <v>502</v>
      </c>
      <c r="AF448" s="771">
        <v>14986.03287</v>
      </c>
      <c r="AG448" s="771">
        <v>12159.4514</v>
      </c>
      <c r="AH448" s="771">
        <v>18378.45783</v>
      </c>
      <c r="AI448" s="772" t="s">
        <v>233</v>
      </c>
      <c r="AK448" s="769" t="s">
        <v>514</v>
      </c>
      <c r="AL448" s="770" t="s">
        <v>494</v>
      </c>
      <c r="AM448" s="770" t="s">
        <v>499</v>
      </c>
      <c r="AN448" s="770" t="s">
        <v>614</v>
      </c>
      <c r="AO448" s="770" t="s">
        <v>493</v>
      </c>
      <c r="AP448" s="770" t="s">
        <v>504</v>
      </c>
      <c r="AQ448" s="770" t="s">
        <v>501</v>
      </c>
      <c r="AR448" s="784" t="s">
        <v>502</v>
      </c>
      <c r="AS448" s="771">
        <v>168588.6137</v>
      </c>
      <c r="AT448" s="771">
        <v>136790.3749</v>
      </c>
      <c r="AU448" s="771">
        <v>206752.431</v>
      </c>
      <c r="AV448" s="989" t="s">
        <v>233</v>
      </c>
      <c r="AW448" s="714"/>
    </row>
    <row r="449">
      <c r="A449" s="761"/>
      <c r="B449" s="769" t="s">
        <v>493</v>
      </c>
      <c r="C449" s="770" t="s">
        <v>613</v>
      </c>
      <c r="D449" s="770" t="s">
        <v>494</v>
      </c>
      <c r="E449" s="770" t="s">
        <v>505</v>
      </c>
      <c r="F449" s="770" t="s">
        <v>519</v>
      </c>
      <c r="G449" s="770" t="s">
        <v>103</v>
      </c>
      <c r="H449" s="770">
        <v>2019.0</v>
      </c>
      <c r="I449" s="771">
        <v>331.7652393</v>
      </c>
      <c r="J449" s="771">
        <v>413.1618765</v>
      </c>
      <c r="K449" s="772">
        <v>269.0609743</v>
      </c>
      <c r="M449" s="769" t="s">
        <v>493</v>
      </c>
      <c r="N449" s="770" t="s">
        <v>613</v>
      </c>
      <c r="O449" s="770" t="s">
        <v>494</v>
      </c>
      <c r="P449" s="770" t="s">
        <v>505</v>
      </c>
      <c r="Q449" s="770" t="s">
        <v>519</v>
      </c>
      <c r="R449" s="770" t="s">
        <v>497</v>
      </c>
      <c r="S449" s="770">
        <v>2019.0</v>
      </c>
      <c r="T449" s="771">
        <v>59404.22492</v>
      </c>
      <c r="U449" s="771">
        <v>73978.69979</v>
      </c>
      <c r="V449" s="772">
        <v>48176.71274</v>
      </c>
      <c r="X449" s="769" t="s">
        <v>514</v>
      </c>
      <c r="Y449" s="770" t="s">
        <v>494</v>
      </c>
      <c r="Z449" s="770" t="s">
        <v>507</v>
      </c>
      <c r="AA449" s="770" t="s">
        <v>614</v>
      </c>
      <c r="AB449" s="770" t="s">
        <v>493</v>
      </c>
      <c r="AC449" s="770" t="s">
        <v>103</v>
      </c>
      <c r="AD449" s="770" t="s">
        <v>501</v>
      </c>
      <c r="AE449" s="784" t="s">
        <v>502</v>
      </c>
      <c r="AF449" s="771">
        <v>15019.28091</v>
      </c>
      <c r="AG449" s="771">
        <v>11766.1649</v>
      </c>
      <c r="AH449" s="771">
        <v>18802.58125</v>
      </c>
      <c r="AI449" s="772" t="s">
        <v>233</v>
      </c>
      <c r="AK449" s="769" t="s">
        <v>514</v>
      </c>
      <c r="AL449" s="770" t="s">
        <v>494</v>
      </c>
      <c r="AM449" s="770" t="s">
        <v>507</v>
      </c>
      <c r="AN449" s="770" t="s">
        <v>614</v>
      </c>
      <c r="AO449" s="770" t="s">
        <v>493</v>
      </c>
      <c r="AP449" s="770" t="s">
        <v>504</v>
      </c>
      <c r="AQ449" s="770" t="s">
        <v>501</v>
      </c>
      <c r="AR449" s="784" t="s">
        <v>502</v>
      </c>
      <c r="AS449" s="771">
        <v>3746.817247</v>
      </c>
      <c r="AT449" s="771">
        <v>2935.271657</v>
      </c>
      <c r="AU449" s="771">
        <v>4690.626413</v>
      </c>
      <c r="AV449" s="989" t="s">
        <v>233</v>
      </c>
      <c r="AW449" s="714"/>
    </row>
    <row r="450">
      <c r="A450" s="761"/>
      <c r="B450" s="769" t="s">
        <v>493</v>
      </c>
      <c r="C450" s="770" t="s">
        <v>613</v>
      </c>
      <c r="D450" s="770" t="s">
        <v>494</v>
      </c>
      <c r="E450" s="770" t="s">
        <v>508</v>
      </c>
      <c r="F450" s="770" t="s">
        <v>519</v>
      </c>
      <c r="G450" s="770" t="s">
        <v>103</v>
      </c>
      <c r="H450" s="770">
        <v>2019.0</v>
      </c>
      <c r="I450" s="771">
        <v>40.24820987</v>
      </c>
      <c r="J450" s="771">
        <v>65.84504619</v>
      </c>
      <c r="K450" s="772">
        <v>23.05996563</v>
      </c>
      <c r="M450" s="769" t="s">
        <v>493</v>
      </c>
      <c r="N450" s="770" t="s">
        <v>613</v>
      </c>
      <c r="O450" s="770" t="s">
        <v>494</v>
      </c>
      <c r="P450" s="770" t="s">
        <v>508</v>
      </c>
      <c r="Q450" s="770" t="s">
        <v>519</v>
      </c>
      <c r="R450" s="770" t="s">
        <v>497</v>
      </c>
      <c r="S450" s="770">
        <v>2019.0</v>
      </c>
      <c r="T450" s="771">
        <v>152.743226</v>
      </c>
      <c r="U450" s="771">
        <v>249.8840272</v>
      </c>
      <c r="V450" s="772">
        <v>87.51329691</v>
      </c>
      <c r="X450" s="769" t="s">
        <v>514</v>
      </c>
      <c r="Y450" s="770" t="s">
        <v>494</v>
      </c>
      <c r="Z450" s="770" t="s">
        <v>509</v>
      </c>
      <c r="AA450" s="770" t="s">
        <v>614</v>
      </c>
      <c r="AB450" s="770" t="s">
        <v>493</v>
      </c>
      <c r="AC450" s="770" t="s">
        <v>103</v>
      </c>
      <c r="AD450" s="770" t="s">
        <v>501</v>
      </c>
      <c r="AE450" s="784" t="s">
        <v>502</v>
      </c>
      <c r="AF450" s="771">
        <v>4075.098852</v>
      </c>
      <c r="AG450" s="771">
        <v>3263.601845</v>
      </c>
      <c r="AH450" s="771">
        <v>5099.30038</v>
      </c>
      <c r="AI450" s="772" t="s">
        <v>233</v>
      </c>
      <c r="AK450" s="769" t="s">
        <v>514</v>
      </c>
      <c r="AL450" s="770" t="s">
        <v>494</v>
      </c>
      <c r="AM450" s="770" t="s">
        <v>509</v>
      </c>
      <c r="AN450" s="770" t="s">
        <v>614</v>
      </c>
      <c r="AO450" s="770" t="s">
        <v>493</v>
      </c>
      <c r="AP450" s="770" t="s">
        <v>504</v>
      </c>
      <c r="AQ450" s="770" t="s">
        <v>501</v>
      </c>
      <c r="AR450" s="784" t="s">
        <v>502</v>
      </c>
      <c r="AS450" s="771">
        <v>15645.05598</v>
      </c>
      <c r="AT450" s="771">
        <v>12529.56933</v>
      </c>
      <c r="AU450" s="771">
        <v>19577.15452</v>
      </c>
      <c r="AV450" s="989" t="s">
        <v>233</v>
      </c>
      <c r="AW450" s="714"/>
    </row>
    <row r="451">
      <c r="A451" s="761"/>
      <c r="B451" s="769" t="s">
        <v>493</v>
      </c>
      <c r="C451" s="770" t="s">
        <v>613</v>
      </c>
      <c r="D451" s="770" t="s">
        <v>494</v>
      </c>
      <c r="E451" s="770" t="s">
        <v>512</v>
      </c>
      <c r="F451" s="770" t="s">
        <v>519</v>
      </c>
      <c r="G451" s="770" t="s">
        <v>103</v>
      </c>
      <c r="H451" s="770">
        <v>2019.0</v>
      </c>
      <c r="I451" s="771">
        <v>67.00732461</v>
      </c>
      <c r="J451" s="771">
        <v>85.11621979</v>
      </c>
      <c r="K451" s="772">
        <v>51.80424035</v>
      </c>
      <c r="M451" s="769" t="s">
        <v>493</v>
      </c>
      <c r="N451" s="770" t="s">
        <v>613</v>
      </c>
      <c r="O451" s="770" t="s">
        <v>494</v>
      </c>
      <c r="P451" s="770" t="s">
        <v>512</v>
      </c>
      <c r="Q451" s="770" t="s">
        <v>519</v>
      </c>
      <c r="R451" s="770" t="s">
        <v>497</v>
      </c>
      <c r="S451" s="770">
        <v>2019.0</v>
      </c>
      <c r="T451" s="771">
        <v>4033.297323</v>
      </c>
      <c r="U451" s="771">
        <v>5123.305898</v>
      </c>
      <c r="V451" s="772">
        <v>3118.19499</v>
      </c>
      <c r="X451" s="769" t="s">
        <v>514</v>
      </c>
      <c r="Y451" s="770" t="s">
        <v>494</v>
      </c>
      <c r="Z451" s="770" t="s">
        <v>513</v>
      </c>
      <c r="AA451" s="770" t="s">
        <v>614</v>
      </c>
      <c r="AB451" s="770" t="s">
        <v>493</v>
      </c>
      <c r="AC451" s="770" t="s">
        <v>103</v>
      </c>
      <c r="AD451" s="770" t="s">
        <v>501</v>
      </c>
      <c r="AE451" s="784" t="s">
        <v>502</v>
      </c>
      <c r="AF451" s="771">
        <v>57104.58059</v>
      </c>
      <c r="AG451" s="771">
        <v>45557.02063</v>
      </c>
      <c r="AH451" s="771">
        <v>70692.28115</v>
      </c>
      <c r="AI451" s="772" t="s">
        <v>233</v>
      </c>
      <c r="AK451" s="769" t="s">
        <v>514</v>
      </c>
      <c r="AL451" s="770" t="s">
        <v>494</v>
      </c>
      <c r="AM451" s="770" t="s">
        <v>513</v>
      </c>
      <c r="AN451" s="770" t="s">
        <v>614</v>
      </c>
      <c r="AO451" s="770" t="s">
        <v>493</v>
      </c>
      <c r="AP451" s="770" t="s">
        <v>504</v>
      </c>
      <c r="AQ451" s="770" t="s">
        <v>501</v>
      </c>
      <c r="AR451" s="784" t="s">
        <v>502</v>
      </c>
      <c r="AS451" s="771">
        <v>2927.542878</v>
      </c>
      <c r="AT451" s="771">
        <v>2335.541736</v>
      </c>
      <c r="AU451" s="771">
        <v>3624.134562</v>
      </c>
      <c r="AV451" s="989" t="s">
        <v>233</v>
      </c>
      <c r="AW451" s="714"/>
    </row>
    <row r="452">
      <c r="A452" s="761"/>
      <c r="B452" s="769" t="s">
        <v>493</v>
      </c>
      <c r="C452" s="770" t="s">
        <v>613</v>
      </c>
      <c r="D452" s="770" t="s">
        <v>494</v>
      </c>
      <c r="E452" s="770" t="s">
        <v>495</v>
      </c>
      <c r="F452" s="770" t="s">
        <v>521</v>
      </c>
      <c r="G452" s="770" t="s">
        <v>103</v>
      </c>
      <c r="H452" s="770">
        <v>2019.0</v>
      </c>
      <c r="I452" s="771">
        <v>6.840021514</v>
      </c>
      <c r="J452" s="771">
        <v>15.61969475</v>
      </c>
      <c r="K452" s="772">
        <v>2.13072249</v>
      </c>
      <c r="M452" s="769" t="s">
        <v>493</v>
      </c>
      <c r="N452" s="770" t="s">
        <v>613</v>
      </c>
      <c r="O452" s="770" t="s">
        <v>494</v>
      </c>
      <c r="P452" s="770" t="s">
        <v>495</v>
      </c>
      <c r="Q452" s="770" t="s">
        <v>521</v>
      </c>
      <c r="R452" s="770" t="s">
        <v>497</v>
      </c>
      <c r="S452" s="770">
        <v>2019.0</v>
      </c>
      <c r="T452" s="771">
        <v>4.865151037</v>
      </c>
      <c r="U452" s="771">
        <v>11.10993203</v>
      </c>
      <c r="V452" s="772">
        <v>1.515534229</v>
      </c>
      <c r="X452" s="769" t="s">
        <v>518</v>
      </c>
      <c r="Y452" s="770" t="s">
        <v>494</v>
      </c>
      <c r="Z452" s="770" t="s">
        <v>499</v>
      </c>
      <c r="AA452" s="770" t="s">
        <v>614</v>
      </c>
      <c r="AB452" s="770" t="s">
        <v>493</v>
      </c>
      <c r="AC452" s="770" t="s">
        <v>103</v>
      </c>
      <c r="AD452" s="770" t="s">
        <v>501</v>
      </c>
      <c r="AE452" s="784" t="s">
        <v>502</v>
      </c>
      <c r="AF452" s="771">
        <v>177.7333974</v>
      </c>
      <c r="AG452" s="771">
        <v>75.33919065</v>
      </c>
      <c r="AH452" s="771">
        <v>366.4935172</v>
      </c>
      <c r="AI452" s="772" t="s">
        <v>233</v>
      </c>
      <c r="AK452" s="769" t="s">
        <v>518</v>
      </c>
      <c r="AL452" s="770" t="s">
        <v>494</v>
      </c>
      <c r="AM452" s="770" t="s">
        <v>499</v>
      </c>
      <c r="AN452" s="770" t="s">
        <v>614</v>
      </c>
      <c r="AO452" s="770" t="s">
        <v>493</v>
      </c>
      <c r="AP452" s="770" t="s">
        <v>504</v>
      </c>
      <c r="AQ452" s="770" t="s">
        <v>501</v>
      </c>
      <c r="AR452" s="784" t="s">
        <v>502</v>
      </c>
      <c r="AS452" s="771">
        <v>1999.450243</v>
      </c>
      <c r="AT452" s="771">
        <v>847.5444979</v>
      </c>
      <c r="AU452" s="771">
        <v>4122.947981</v>
      </c>
      <c r="AV452" s="989" t="s">
        <v>233</v>
      </c>
      <c r="AW452" s="714"/>
    </row>
    <row r="453">
      <c r="A453" s="761"/>
      <c r="B453" s="769" t="s">
        <v>493</v>
      </c>
      <c r="C453" s="770" t="s">
        <v>613</v>
      </c>
      <c r="D453" s="770" t="s">
        <v>494</v>
      </c>
      <c r="E453" s="770" t="s">
        <v>505</v>
      </c>
      <c r="F453" s="770" t="s">
        <v>521</v>
      </c>
      <c r="G453" s="770" t="s">
        <v>103</v>
      </c>
      <c r="H453" s="770">
        <v>2019.0</v>
      </c>
      <c r="I453" s="771">
        <v>0.0</v>
      </c>
      <c r="J453" s="771">
        <v>0.0</v>
      </c>
      <c r="K453" s="772">
        <v>0.0</v>
      </c>
      <c r="M453" s="769" t="s">
        <v>493</v>
      </c>
      <c r="N453" s="770" t="s">
        <v>613</v>
      </c>
      <c r="O453" s="770" t="s">
        <v>494</v>
      </c>
      <c r="P453" s="770" t="s">
        <v>505</v>
      </c>
      <c r="Q453" s="770" t="s">
        <v>521</v>
      </c>
      <c r="R453" s="770" t="s">
        <v>497</v>
      </c>
      <c r="S453" s="770">
        <v>2019.0</v>
      </c>
      <c r="T453" s="771">
        <v>0.0</v>
      </c>
      <c r="U453" s="771">
        <v>0.0</v>
      </c>
      <c r="V453" s="772">
        <v>0.0</v>
      </c>
      <c r="X453" s="769" t="s">
        <v>518</v>
      </c>
      <c r="Y453" s="770" t="s">
        <v>494</v>
      </c>
      <c r="Z453" s="770" t="s">
        <v>507</v>
      </c>
      <c r="AA453" s="770" t="s">
        <v>614</v>
      </c>
      <c r="AB453" s="770" t="s">
        <v>493</v>
      </c>
      <c r="AC453" s="770" t="s">
        <v>103</v>
      </c>
      <c r="AD453" s="770" t="s">
        <v>501</v>
      </c>
      <c r="AE453" s="784" t="s">
        <v>502</v>
      </c>
      <c r="AF453" s="771">
        <v>6521.056461</v>
      </c>
      <c r="AG453" s="771">
        <v>3981.167496</v>
      </c>
      <c r="AH453" s="771">
        <v>9599.272447</v>
      </c>
      <c r="AI453" s="772" t="s">
        <v>233</v>
      </c>
      <c r="AK453" s="769" t="s">
        <v>518</v>
      </c>
      <c r="AL453" s="770" t="s">
        <v>494</v>
      </c>
      <c r="AM453" s="770" t="s">
        <v>507</v>
      </c>
      <c r="AN453" s="770" t="s">
        <v>614</v>
      </c>
      <c r="AO453" s="770" t="s">
        <v>493</v>
      </c>
      <c r="AP453" s="770" t="s">
        <v>504</v>
      </c>
      <c r="AQ453" s="770" t="s">
        <v>501</v>
      </c>
      <c r="AR453" s="784" t="s">
        <v>502</v>
      </c>
      <c r="AS453" s="771">
        <v>1626.789389</v>
      </c>
      <c r="AT453" s="771">
        <v>993.1705205</v>
      </c>
      <c r="AU453" s="771">
        <v>2394.703167</v>
      </c>
      <c r="AV453" s="989" t="s">
        <v>233</v>
      </c>
      <c r="AW453" s="714"/>
    </row>
    <row r="454">
      <c r="A454" s="761"/>
      <c r="B454" s="769" t="s">
        <v>493</v>
      </c>
      <c r="C454" s="770" t="s">
        <v>613</v>
      </c>
      <c r="D454" s="770" t="s">
        <v>494</v>
      </c>
      <c r="E454" s="770" t="s">
        <v>508</v>
      </c>
      <c r="F454" s="770" t="s">
        <v>521</v>
      </c>
      <c r="G454" s="770" t="s">
        <v>103</v>
      </c>
      <c r="H454" s="770">
        <v>2019.0</v>
      </c>
      <c r="I454" s="771">
        <v>1.870915628</v>
      </c>
      <c r="J454" s="771">
        <v>4.421463881</v>
      </c>
      <c r="K454" s="772">
        <v>0.5936381317</v>
      </c>
      <c r="M454" s="769" t="s">
        <v>493</v>
      </c>
      <c r="N454" s="770" t="s">
        <v>613</v>
      </c>
      <c r="O454" s="770" t="s">
        <v>494</v>
      </c>
      <c r="P454" s="770" t="s">
        <v>508</v>
      </c>
      <c r="Q454" s="770" t="s">
        <v>521</v>
      </c>
      <c r="R454" s="770" t="s">
        <v>497</v>
      </c>
      <c r="S454" s="770">
        <v>2019.0</v>
      </c>
      <c r="T454" s="771">
        <v>7.10018382</v>
      </c>
      <c r="U454" s="771">
        <v>16.77959489</v>
      </c>
      <c r="V454" s="772">
        <v>2.252875435</v>
      </c>
      <c r="X454" s="769" t="s">
        <v>518</v>
      </c>
      <c r="Y454" s="770" t="s">
        <v>494</v>
      </c>
      <c r="Z454" s="770" t="s">
        <v>509</v>
      </c>
      <c r="AA454" s="770" t="s">
        <v>614</v>
      </c>
      <c r="AB454" s="770" t="s">
        <v>493</v>
      </c>
      <c r="AC454" s="770" t="s">
        <v>103</v>
      </c>
      <c r="AD454" s="770" t="s">
        <v>501</v>
      </c>
      <c r="AE454" s="784" t="s">
        <v>502</v>
      </c>
      <c r="AF454" s="771">
        <v>477.1966568</v>
      </c>
      <c r="AG454" s="771">
        <v>260.1135483</v>
      </c>
      <c r="AH454" s="771">
        <v>839.5076163</v>
      </c>
      <c r="AI454" s="772" t="s">
        <v>233</v>
      </c>
      <c r="AK454" s="769" t="s">
        <v>518</v>
      </c>
      <c r="AL454" s="770" t="s">
        <v>494</v>
      </c>
      <c r="AM454" s="770" t="s">
        <v>509</v>
      </c>
      <c r="AN454" s="770" t="s">
        <v>614</v>
      </c>
      <c r="AO454" s="770" t="s">
        <v>493</v>
      </c>
      <c r="AP454" s="770" t="s">
        <v>504</v>
      </c>
      <c r="AQ454" s="770" t="s">
        <v>501</v>
      </c>
      <c r="AR454" s="784" t="s">
        <v>502</v>
      </c>
      <c r="AS454" s="771">
        <v>1832.045965</v>
      </c>
      <c r="AT454" s="771">
        <v>998.6238797</v>
      </c>
      <c r="AU454" s="771">
        <v>3223.024553</v>
      </c>
      <c r="AV454" s="989" t="s">
        <v>233</v>
      </c>
      <c r="AW454" s="714"/>
    </row>
    <row r="455">
      <c r="A455" s="761"/>
      <c r="B455" s="769" t="s">
        <v>493</v>
      </c>
      <c r="C455" s="770" t="s">
        <v>613</v>
      </c>
      <c r="D455" s="770" t="s">
        <v>494</v>
      </c>
      <c r="E455" s="770" t="s">
        <v>512</v>
      </c>
      <c r="F455" s="770" t="s">
        <v>521</v>
      </c>
      <c r="G455" s="770" t="s">
        <v>103</v>
      </c>
      <c r="H455" s="770">
        <v>2019.0</v>
      </c>
      <c r="I455" s="771">
        <v>0.0</v>
      </c>
      <c r="J455" s="771">
        <v>0.0</v>
      </c>
      <c r="K455" s="772">
        <v>0.0</v>
      </c>
      <c r="M455" s="769" t="s">
        <v>493</v>
      </c>
      <c r="N455" s="770" t="s">
        <v>613</v>
      </c>
      <c r="O455" s="770" t="s">
        <v>494</v>
      </c>
      <c r="P455" s="770" t="s">
        <v>512</v>
      </c>
      <c r="Q455" s="770" t="s">
        <v>521</v>
      </c>
      <c r="R455" s="770" t="s">
        <v>497</v>
      </c>
      <c r="S455" s="770">
        <v>2019.0</v>
      </c>
      <c r="T455" s="771">
        <v>0.0</v>
      </c>
      <c r="U455" s="771">
        <v>0.0</v>
      </c>
      <c r="V455" s="772">
        <v>0.0</v>
      </c>
      <c r="X455" s="769" t="s">
        <v>518</v>
      </c>
      <c r="Y455" s="770" t="s">
        <v>494</v>
      </c>
      <c r="Z455" s="770" t="s">
        <v>513</v>
      </c>
      <c r="AA455" s="770" t="s">
        <v>614</v>
      </c>
      <c r="AB455" s="770" t="s">
        <v>493</v>
      </c>
      <c r="AC455" s="770" t="s">
        <v>103</v>
      </c>
      <c r="AD455" s="770" t="s">
        <v>501</v>
      </c>
      <c r="AE455" s="784" t="s">
        <v>502</v>
      </c>
      <c r="AF455" s="771">
        <v>14752.04547</v>
      </c>
      <c r="AG455" s="771">
        <v>10007.95643</v>
      </c>
      <c r="AH455" s="771">
        <v>20737.60024</v>
      </c>
      <c r="AI455" s="772" t="s">
        <v>233</v>
      </c>
      <c r="AK455" s="769" t="s">
        <v>518</v>
      </c>
      <c r="AL455" s="770" t="s">
        <v>494</v>
      </c>
      <c r="AM455" s="770" t="s">
        <v>513</v>
      </c>
      <c r="AN455" s="770" t="s">
        <v>614</v>
      </c>
      <c r="AO455" s="770" t="s">
        <v>493</v>
      </c>
      <c r="AP455" s="770" t="s">
        <v>504</v>
      </c>
      <c r="AQ455" s="770" t="s">
        <v>501</v>
      </c>
      <c r="AR455" s="784" t="s">
        <v>502</v>
      </c>
      <c r="AS455" s="771">
        <v>756.2833874</v>
      </c>
      <c r="AT455" s="771">
        <v>513.0713031</v>
      </c>
      <c r="AU455" s="771">
        <v>1063.140877</v>
      </c>
      <c r="AV455" s="989" t="s">
        <v>233</v>
      </c>
      <c r="AW455" s="714"/>
    </row>
    <row r="456">
      <c r="A456" s="761"/>
      <c r="B456" s="769" t="s">
        <v>493</v>
      </c>
      <c r="C456" s="770" t="s">
        <v>613</v>
      </c>
      <c r="D456" s="770" t="s">
        <v>494</v>
      </c>
      <c r="E456" s="770" t="s">
        <v>495</v>
      </c>
      <c r="F456" s="770" t="s">
        <v>523</v>
      </c>
      <c r="G456" s="770" t="s">
        <v>103</v>
      </c>
      <c r="H456" s="770">
        <v>2019.0</v>
      </c>
      <c r="I456" s="771">
        <v>62.45119042</v>
      </c>
      <c r="J456" s="771">
        <v>102.3963974</v>
      </c>
      <c r="K456" s="772">
        <v>35.33470599</v>
      </c>
      <c r="M456" s="769" t="s">
        <v>493</v>
      </c>
      <c r="N456" s="770" t="s">
        <v>613</v>
      </c>
      <c r="O456" s="770" t="s">
        <v>494</v>
      </c>
      <c r="P456" s="770" t="s">
        <v>495</v>
      </c>
      <c r="Q456" s="770" t="s">
        <v>523</v>
      </c>
      <c r="R456" s="770" t="s">
        <v>497</v>
      </c>
      <c r="S456" s="770">
        <v>2019.0</v>
      </c>
      <c r="T456" s="771">
        <v>44.420105</v>
      </c>
      <c r="U456" s="771">
        <v>72.83221812</v>
      </c>
      <c r="V456" s="772">
        <v>25.13276912</v>
      </c>
      <c r="X456" s="769" t="s">
        <v>519</v>
      </c>
      <c r="Y456" s="770" t="s">
        <v>494</v>
      </c>
      <c r="Z456" s="770" t="s">
        <v>499</v>
      </c>
      <c r="AA456" s="770" t="s">
        <v>614</v>
      </c>
      <c r="AB456" s="770" t="s">
        <v>493</v>
      </c>
      <c r="AC456" s="770" t="s">
        <v>103</v>
      </c>
      <c r="AD456" s="770" t="s">
        <v>501</v>
      </c>
      <c r="AE456" s="784" t="s">
        <v>502</v>
      </c>
      <c r="AF456" s="771">
        <v>12454.09819</v>
      </c>
      <c r="AG456" s="771">
        <v>9928.414154</v>
      </c>
      <c r="AH456" s="771">
        <v>15381.63824</v>
      </c>
      <c r="AI456" s="772" t="s">
        <v>233</v>
      </c>
      <c r="AK456" s="769" t="s">
        <v>519</v>
      </c>
      <c r="AL456" s="770" t="s">
        <v>494</v>
      </c>
      <c r="AM456" s="770" t="s">
        <v>499</v>
      </c>
      <c r="AN456" s="770" t="s">
        <v>614</v>
      </c>
      <c r="AO456" s="770" t="s">
        <v>493</v>
      </c>
      <c r="AP456" s="770" t="s">
        <v>504</v>
      </c>
      <c r="AQ456" s="770" t="s">
        <v>501</v>
      </c>
      <c r="AR456" s="784" t="s">
        <v>502</v>
      </c>
      <c r="AS456" s="771">
        <v>140105.0676</v>
      </c>
      <c r="AT456" s="771">
        <v>111691.8395</v>
      </c>
      <c r="AU456" s="771">
        <v>173039.0617</v>
      </c>
      <c r="AV456" s="989" t="s">
        <v>233</v>
      </c>
      <c r="AW456" s="714"/>
    </row>
    <row r="457">
      <c r="A457" s="761"/>
      <c r="B457" s="769" t="s">
        <v>493</v>
      </c>
      <c r="C457" s="770" t="s">
        <v>613</v>
      </c>
      <c r="D457" s="770" t="s">
        <v>494</v>
      </c>
      <c r="E457" s="770" t="s">
        <v>505</v>
      </c>
      <c r="F457" s="770" t="s">
        <v>523</v>
      </c>
      <c r="G457" s="770" t="s">
        <v>103</v>
      </c>
      <c r="H457" s="770">
        <v>2019.0</v>
      </c>
      <c r="I457" s="771">
        <v>0.0</v>
      </c>
      <c r="J457" s="771">
        <v>0.0</v>
      </c>
      <c r="K457" s="772">
        <v>0.0</v>
      </c>
      <c r="M457" s="769" t="s">
        <v>493</v>
      </c>
      <c r="N457" s="770" t="s">
        <v>613</v>
      </c>
      <c r="O457" s="770" t="s">
        <v>494</v>
      </c>
      <c r="P457" s="770" t="s">
        <v>505</v>
      </c>
      <c r="Q457" s="770" t="s">
        <v>523</v>
      </c>
      <c r="R457" s="770" t="s">
        <v>497</v>
      </c>
      <c r="S457" s="770">
        <v>2019.0</v>
      </c>
      <c r="T457" s="771">
        <v>0.0</v>
      </c>
      <c r="U457" s="771">
        <v>0.0</v>
      </c>
      <c r="V457" s="772">
        <v>0.0</v>
      </c>
      <c r="X457" s="769" t="s">
        <v>519</v>
      </c>
      <c r="Y457" s="770" t="s">
        <v>494</v>
      </c>
      <c r="Z457" s="770" t="s">
        <v>507</v>
      </c>
      <c r="AA457" s="770" t="s">
        <v>614</v>
      </c>
      <c r="AB457" s="770" t="s">
        <v>493</v>
      </c>
      <c r="AC457" s="770" t="s">
        <v>103</v>
      </c>
      <c r="AD457" s="770" t="s">
        <v>501</v>
      </c>
      <c r="AE457" s="784" t="s">
        <v>502</v>
      </c>
      <c r="AF457" s="771">
        <v>91.74648001</v>
      </c>
      <c r="AG457" s="771">
        <v>52.39097365</v>
      </c>
      <c r="AH457" s="771">
        <v>146.0299309</v>
      </c>
      <c r="AI457" s="772" t="s">
        <v>233</v>
      </c>
      <c r="AK457" s="769" t="s">
        <v>519</v>
      </c>
      <c r="AL457" s="770" t="s">
        <v>494</v>
      </c>
      <c r="AM457" s="770" t="s">
        <v>507</v>
      </c>
      <c r="AN457" s="770" t="s">
        <v>614</v>
      </c>
      <c r="AO457" s="770" t="s">
        <v>493</v>
      </c>
      <c r="AP457" s="770" t="s">
        <v>504</v>
      </c>
      <c r="AQ457" s="770" t="s">
        <v>501</v>
      </c>
      <c r="AR457" s="784" t="s">
        <v>502</v>
      </c>
      <c r="AS457" s="771">
        <v>22.88773316</v>
      </c>
      <c r="AT457" s="771">
        <v>13.06982703</v>
      </c>
      <c r="AU457" s="771">
        <v>36.42967109</v>
      </c>
      <c r="AV457" s="989" t="s">
        <v>233</v>
      </c>
      <c r="AW457" s="714"/>
    </row>
    <row r="458">
      <c r="A458" s="761"/>
      <c r="B458" s="769" t="s">
        <v>493</v>
      </c>
      <c r="C458" s="770" t="s">
        <v>613</v>
      </c>
      <c r="D458" s="770" t="s">
        <v>494</v>
      </c>
      <c r="E458" s="770" t="s">
        <v>508</v>
      </c>
      <c r="F458" s="770" t="s">
        <v>523</v>
      </c>
      <c r="G458" s="770" t="s">
        <v>103</v>
      </c>
      <c r="H458" s="770">
        <v>2019.0</v>
      </c>
      <c r="I458" s="771">
        <v>36.6992823</v>
      </c>
      <c r="J458" s="771">
        <v>65.20984906</v>
      </c>
      <c r="K458" s="772">
        <v>16.67427055</v>
      </c>
      <c r="M458" s="769" t="s">
        <v>493</v>
      </c>
      <c r="N458" s="770" t="s">
        <v>613</v>
      </c>
      <c r="O458" s="770" t="s">
        <v>494</v>
      </c>
      <c r="P458" s="770" t="s">
        <v>508</v>
      </c>
      <c r="Q458" s="770" t="s">
        <v>523</v>
      </c>
      <c r="R458" s="770" t="s">
        <v>497</v>
      </c>
      <c r="S458" s="770">
        <v>2019.0</v>
      </c>
      <c r="T458" s="771">
        <v>139.2749339</v>
      </c>
      <c r="U458" s="771">
        <v>247.4734341</v>
      </c>
      <c r="V458" s="772">
        <v>63.27938268</v>
      </c>
      <c r="X458" s="769" t="s">
        <v>519</v>
      </c>
      <c r="Y458" s="770" t="s">
        <v>494</v>
      </c>
      <c r="Z458" s="770" t="s">
        <v>509</v>
      </c>
      <c r="AA458" s="770" t="s">
        <v>614</v>
      </c>
      <c r="AB458" s="770" t="s">
        <v>493</v>
      </c>
      <c r="AC458" s="770" t="s">
        <v>103</v>
      </c>
      <c r="AD458" s="770" t="s">
        <v>501</v>
      </c>
      <c r="AE458" s="784" t="s">
        <v>502</v>
      </c>
      <c r="AF458" s="771">
        <v>1937.592776</v>
      </c>
      <c r="AG458" s="771">
        <v>1457.314425</v>
      </c>
      <c r="AH458" s="771">
        <v>2526.441393</v>
      </c>
      <c r="AI458" s="772" t="s">
        <v>233</v>
      </c>
      <c r="AK458" s="769" t="s">
        <v>519</v>
      </c>
      <c r="AL458" s="770" t="s">
        <v>494</v>
      </c>
      <c r="AM458" s="770" t="s">
        <v>509</v>
      </c>
      <c r="AN458" s="770" t="s">
        <v>614</v>
      </c>
      <c r="AO458" s="770" t="s">
        <v>493</v>
      </c>
      <c r="AP458" s="770" t="s">
        <v>504</v>
      </c>
      <c r="AQ458" s="770" t="s">
        <v>501</v>
      </c>
      <c r="AR458" s="784" t="s">
        <v>502</v>
      </c>
      <c r="AS458" s="771">
        <v>7438.775979</v>
      </c>
      <c r="AT458" s="771">
        <v>5594.89882</v>
      </c>
      <c r="AU458" s="771">
        <v>9699.474411</v>
      </c>
      <c r="AV458" s="989" t="s">
        <v>233</v>
      </c>
      <c r="AW458" s="714"/>
    </row>
    <row r="459">
      <c r="A459" s="761"/>
      <c r="B459" s="769" t="s">
        <v>493</v>
      </c>
      <c r="C459" s="770" t="s">
        <v>613</v>
      </c>
      <c r="D459" s="770" t="s">
        <v>494</v>
      </c>
      <c r="E459" s="770" t="s">
        <v>512</v>
      </c>
      <c r="F459" s="770" t="s">
        <v>523</v>
      </c>
      <c r="G459" s="770" t="s">
        <v>103</v>
      </c>
      <c r="H459" s="770">
        <v>2019.0</v>
      </c>
      <c r="I459" s="771">
        <v>0.0</v>
      </c>
      <c r="J459" s="771">
        <v>0.0</v>
      </c>
      <c r="K459" s="772">
        <v>0.0</v>
      </c>
      <c r="M459" s="769" t="s">
        <v>493</v>
      </c>
      <c r="N459" s="770" t="s">
        <v>613</v>
      </c>
      <c r="O459" s="770" t="s">
        <v>494</v>
      </c>
      <c r="P459" s="770" t="s">
        <v>512</v>
      </c>
      <c r="Q459" s="770" t="s">
        <v>523</v>
      </c>
      <c r="R459" s="770" t="s">
        <v>497</v>
      </c>
      <c r="S459" s="770">
        <v>2019.0</v>
      </c>
      <c r="T459" s="771">
        <v>0.0</v>
      </c>
      <c r="U459" s="771">
        <v>0.0</v>
      </c>
      <c r="V459" s="772">
        <v>0.0</v>
      </c>
      <c r="X459" s="769" t="s">
        <v>519</v>
      </c>
      <c r="Y459" s="770" t="s">
        <v>494</v>
      </c>
      <c r="Z459" s="770" t="s">
        <v>513</v>
      </c>
      <c r="AA459" s="770" t="s">
        <v>614</v>
      </c>
      <c r="AB459" s="770" t="s">
        <v>493</v>
      </c>
      <c r="AC459" s="770" t="s">
        <v>103</v>
      </c>
      <c r="AD459" s="770" t="s">
        <v>501</v>
      </c>
      <c r="AE459" s="784" t="s">
        <v>502</v>
      </c>
      <c r="AF459" s="771">
        <v>14525.01531</v>
      </c>
      <c r="AG459" s="771">
        <v>11671.54486</v>
      </c>
      <c r="AH459" s="771">
        <v>18152.26205</v>
      </c>
      <c r="AI459" s="772" t="s">
        <v>233</v>
      </c>
      <c r="AK459" s="769" t="s">
        <v>519</v>
      </c>
      <c r="AL459" s="770" t="s">
        <v>494</v>
      </c>
      <c r="AM459" s="770" t="s">
        <v>513</v>
      </c>
      <c r="AN459" s="770" t="s">
        <v>614</v>
      </c>
      <c r="AO459" s="770" t="s">
        <v>493</v>
      </c>
      <c r="AP459" s="770" t="s">
        <v>504</v>
      </c>
      <c r="AQ459" s="770" t="s">
        <v>501</v>
      </c>
      <c r="AR459" s="784" t="s">
        <v>502</v>
      </c>
      <c r="AS459" s="771">
        <v>744.6443817</v>
      </c>
      <c r="AT459" s="771">
        <v>598.3573941</v>
      </c>
      <c r="AU459" s="771">
        <v>930.6000489</v>
      </c>
      <c r="AV459" s="989" t="s">
        <v>233</v>
      </c>
      <c r="AW459" s="714"/>
    </row>
    <row r="460">
      <c r="A460" s="761"/>
      <c r="B460" s="769" t="s">
        <v>493</v>
      </c>
      <c r="C460" s="770" t="s">
        <v>615</v>
      </c>
      <c r="D460" s="770" t="s">
        <v>494</v>
      </c>
      <c r="E460" s="770" t="s">
        <v>495</v>
      </c>
      <c r="F460" s="770" t="s">
        <v>496</v>
      </c>
      <c r="G460" s="770" t="s">
        <v>103</v>
      </c>
      <c r="H460" s="770">
        <v>2019.0</v>
      </c>
      <c r="I460" s="771">
        <v>190172.9157</v>
      </c>
      <c r="J460" s="771">
        <v>242574.961</v>
      </c>
      <c r="K460" s="772">
        <v>149788.7226</v>
      </c>
      <c r="M460" s="769" t="s">
        <v>493</v>
      </c>
      <c r="N460" s="770" t="s">
        <v>615</v>
      </c>
      <c r="O460" s="770" t="s">
        <v>494</v>
      </c>
      <c r="P460" s="770" t="s">
        <v>495</v>
      </c>
      <c r="Q460" s="770" t="s">
        <v>496</v>
      </c>
      <c r="R460" s="770" t="s">
        <v>497</v>
      </c>
      <c r="S460" s="770">
        <v>2019.0</v>
      </c>
      <c r="T460" s="771">
        <v>1140.147957</v>
      </c>
      <c r="U460" s="771">
        <v>1454.315118</v>
      </c>
      <c r="V460" s="772">
        <v>898.0316968</v>
      </c>
      <c r="X460" s="769" t="s">
        <v>521</v>
      </c>
      <c r="Y460" s="770" t="s">
        <v>494</v>
      </c>
      <c r="Z460" s="770" t="s">
        <v>499</v>
      </c>
      <c r="AA460" s="770" t="s">
        <v>614</v>
      </c>
      <c r="AB460" s="770" t="s">
        <v>493</v>
      </c>
      <c r="AC460" s="770" t="s">
        <v>103</v>
      </c>
      <c r="AD460" s="770" t="s">
        <v>501</v>
      </c>
      <c r="AE460" s="784" t="s">
        <v>502</v>
      </c>
      <c r="AF460" s="771">
        <v>0.0</v>
      </c>
      <c r="AG460" s="771">
        <v>0.0</v>
      </c>
      <c r="AH460" s="771">
        <v>0.0</v>
      </c>
      <c r="AI460" s="772" t="s">
        <v>233</v>
      </c>
      <c r="AK460" s="769" t="s">
        <v>521</v>
      </c>
      <c r="AL460" s="770" t="s">
        <v>494</v>
      </c>
      <c r="AM460" s="770" t="s">
        <v>499</v>
      </c>
      <c r="AN460" s="770" t="s">
        <v>614</v>
      </c>
      <c r="AO460" s="770" t="s">
        <v>493</v>
      </c>
      <c r="AP460" s="770" t="s">
        <v>504</v>
      </c>
      <c r="AQ460" s="770" t="s">
        <v>501</v>
      </c>
      <c r="AR460" s="784" t="s">
        <v>502</v>
      </c>
      <c r="AS460" s="771">
        <v>0.0</v>
      </c>
      <c r="AT460" s="771">
        <v>0.0</v>
      </c>
      <c r="AU460" s="771">
        <v>0.0</v>
      </c>
      <c r="AV460" s="989" t="s">
        <v>233</v>
      </c>
      <c r="AW460" s="714"/>
    </row>
    <row r="461">
      <c r="A461" s="761"/>
      <c r="B461" s="769" t="s">
        <v>493</v>
      </c>
      <c r="C461" s="770" t="s">
        <v>615</v>
      </c>
      <c r="D461" s="770" t="s">
        <v>494</v>
      </c>
      <c r="E461" s="770" t="s">
        <v>505</v>
      </c>
      <c r="F461" s="770" t="s">
        <v>496</v>
      </c>
      <c r="G461" s="770" t="s">
        <v>103</v>
      </c>
      <c r="H461" s="770">
        <v>2019.0</v>
      </c>
      <c r="I461" s="771">
        <v>75397.25545</v>
      </c>
      <c r="J461" s="771">
        <v>96852.58315</v>
      </c>
      <c r="K461" s="772">
        <v>59384.54782</v>
      </c>
      <c r="M461" s="769" t="s">
        <v>493</v>
      </c>
      <c r="N461" s="770" t="s">
        <v>615</v>
      </c>
      <c r="O461" s="770" t="s">
        <v>494</v>
      </c>
      <c r="P461" s="770" t="s">
        <v>505</v>
      </c>
      <c r="Q461" s="770" t="s">
        <v>496</v>
      </c>
      <c r="R461" s="770" t="s">
        <v>497</v>
      </c>
      <c r="S461" s="770">
        <v>2019.0</v>
      </c>
      <c r="T461" s="771">
        <v>108467.5306</v>
      </c>
      <c r="U461" s="771">
        <v>139333.4606</v>
      </c>
      <c r="V461" s="772">
        <v>85431.42874</v>
      </c>
      <c r="X461" s="769" t="s">
        <v>521</v>
      </c>
      <c r="Y461" s="770" t="s">
        <v>494</v>
      </c>
      <c r="Z461" s="770" t="s">
        <v>507</v>
      </c>
      <c r="AA461" s="770" t="s">
        <v>614</v>
      </c>
      <c r="AB461" s="770" t="s">
        <v>493</v>
      </c>
      <c r="AC461" s="770" t="s">
        <v>103</v>
      </c>
      <c r="AD461" s="770" t="s">
        <v>501</v>
      </c>
      <c r="AE461" s="784" t="s">
        <v>502</v>
      </c>
      <c r="AF461" s="771">
        <v>137.3227276</v>
      </c>
      <c r="AG461" s="771">
        <v>39.7463766</v>
      </c>
      <c r="AH461" s="771">
        <v>342.3522989</v>
      </c>
      <c r="AI461" s="772" t="s">
        <v>233</v>
      </c>
      <c r="AK461" s="769" t="s">
        <v>521</v>
      </c>
      <c r="AL461" s="770" t="s">
        <v>494</v>
      </c>
      <c r="AM461" s="770" t="s">
        <v>507</v>
      </c>
      <c r="AN461" s="770" t="s">
        <v>614</v>
      </c>
      <c r="AO461" s="770" t="s">
        <v>493</v>
      </c>
      <c r="AP461" s="770" t="s">
        <v>504</v>
      </c>
      <c r="AQ461" s="770" t="s">
        <v>501</v>
      </c>
      <c r="AR461" s="784" t="s">
        <v>502</v>
      </c>
      <c r="AS461" s="771">
        <v>34.25750988</v>
      </c>
      <c r="AT461" s="771">
        <v>9.915415409</v>
      </c>
      <c r="AU461" s="771">
        <v>85.40565329</v>
      </c>
      <c r="AV461" s="989" t="s">
        <v>233</v>
      </c>
      <c r="AW461" s="714"/>
    </row>
    <row r="462">
      <c r="A462" s="761"/>
      <c r="B462" s="769" t="s">
        <v>493</v>
      </c>
      <c r="C462" s="770" t="s">
        <v>615</v>
      </c>
      <c r="D462" s="770" t="s">
        <v>494</v>
      </c>
      <c r="E462" s="770" t="s">
        <v>508</v>
      </c>
      <c r="F462" s="770" t="s">
        <v>496</v>
      </c>
      <c r="G462" s="770" t="s">
        <v>103</v>
      </c>
      <c r="H462" s="770">
        <v>2019.0</v>
      </c>
      <c r="I462" s="771">
        <v>43142.82931</v>
      </c>
      <c r="J462" s="771">
        <v>55125.16211</v>
      </c>
      <c r="K462" s="772">
        <v>33976.08481</v>
      </c>
      <c r="M462" s="769" t="s">
        <v>493</v>
      </c>
      <c r="N462" s="770" t="s">
        <v>615</v>
      </c>
      <c r="O462" s="770" t="s">
        <v>494</v>
      </c>
      <c r="P462" s="770" t="s">
        <v>508</v>
      </c>
      <c r="Q462" s="770" t="s">
        <v>496</v>
      </c>
      <c r="R462" s="770" t="s">
        <v>497</v>
      </c>
      <c r="S462" s="770">
        <v>2019.0</v>
      </c>
      <c r="T462" s="771">
        <v>1337.74869</v>
      </c>
      <c r="U462" s="771">
        <v>1709.290155</v>
      </c>
      <c r="V462" s="772">
        <v>1053.51141</v>
      </c>
      <c r="X462" s="769" t="s">
        <v>521</v>
      </c>
      <c r="Y462" s="770" t="s">
        <v>494</v>
      </c>
      <c r="Z462" s="770" t="s">
        <v>509</v>
      </c>
      <c r="AA462" s="770" t="s">
        <v>614</v>
      </c>
      <c r="AB462" s="770" t="s">
        <v>493</v>
      </c>
      <c r="AC462" s="770" t="s">
        <v>103</v>
      </c>
      <c r="AD462" s="770" t="s">
        <v>501</v>
      </c>
      <c r="AE462" s="784" t="s">
        <v>502</v>
      </c>
      <c r="AF462" s="771">
        <v>0.0</v>
      </c>
      <c r="AG462" s="771">
        <v>0.0</v>
      </c>
      <c r="AH462" s="771">
        <v>0.0</v>
      </c>
      <c r="AI462" s="772" t="s">
        <v>233</v>
      </c>
      <c r="AK462" s="769" t="s">
        <v>521</v>
      </c>
      <c r="AL462" s="770" t="s">
        <v>494</v>
      </c>
      <c r="AM462" s="770" t="s">
        <v>509</v>
      </c>
      <c r="AN462" s="770" t="s">
        <v>614</v>
      </c>
      <c r="AO462" s="770" t="s">
        <v>493</v>
      </c>
      <c r="AP462" s="770" t="s">
        <v>504</v>
      </c>
      <c r="AQ462" s="770" t="s">
        <v>501</v>
      </c>
      <c r="AR462" s="784" t="s">
        <v>502</v>
      </c>
      <c r="AS462" s="771">
        <v>0.0</v>
      </c>
      <c r="AT462" s="771">
        <v>0.0</v>
      </c>
      <c r="AU462" s="771">
        <v>0.0</v>
      </c>
      <c r="AV462" s="989" t="s">
        <v>233</v>
      </c>
      <c r="AW462" s="714"/>
    </row>
    <row r="463">
      <c r="A463" s="761"/>
      <c r="B463" s="769" t="s">
        <v>493</v>
      </c>
      <c r="C463" s="770" t="s">
        <v>615</v>
      </c>
      <c r="D463" s="770" t="s">
        <v>494</v>
      </c>
      <c r="E463" s="770" t="s">
        <v>512</v>
      </c>
      <c r="F463" s="770" t="s">
        <v>496</v>
      </c>
      <c r="G463" s="770" t="s">
        <v>103</v>
      </c>
      <c r="H463" s="770">
        <v>2019.0</v>
      </c>
      <c r="I463" s="771">
        <v>22522.62556</v>
      </c>
      <c r="J463" s="771">
        <v>28742.74642</v>
      </c>
      <c r="K463" s="772">
        <v>17776.17702</v>
      </c>
      <c r="M463" s="769" t="s">
        <v>493</v>
      </c>
      <c r="N463" s="770" t="s">
        <v>615</v>
      </c>
      <c r="O463" s="770" t="s">
        <v>494</v>
      </c>
      <c r="P463" s="770" t="s">
        <v>512</v>
      </c>
      <c r="Q463" s="770" t="s">
        <v>496</v>
      </c>
      <c r="R463" s="770" t="s">
        <v>497</v>
      </c>
      <c r="S463" s="770">
        <v>2019.0</v>
      </c>
      <c r="T463" s="771">
        <v>10959.13202</v>
      </c>
      <c r="U463" s="771">
        <v>13985.73856</v>
      </c>
      <c r="V463" s="772">
        <v>8649.589734</v>
      </c>
      <c r="X463" s="769" t="s">
        <v>521</v>
      </c>
      <c r="Y463" s="770" t="s">
        <v>494</v>
      </c>
      <c r="Z463" s="770" t="s">
        <v>513</v>
      </c>
      <c r="AA463" s="770" t="s">
        <v>614</v>
      </c>
      <c r="AB463" s="770" t="s">
        <v>493</v>
      </c>
      <c r="AC463" s="770" t="s">
        <v>103</v>
      </c>
      <c r="AD463" s="770" t="s">
        <v>501</v>
      </c>
      <c r="AE463" s="784" t="s">
        <v>502</v>
      </c>
      <c r="AF463" s="771">
        <v>798.3419216</v>
      </c>
      <c r="AG463" s="771">
        <v>241.3560689</v>
      </c>
      <c r="AH463" s="771">
        <v>1968.292059</v>
      </c>
      <c r="AI463" s="772" t="s">
        <v>233</v>
      </c>
      <c r="AK463" s="769" t="s">
        <v>521</v>
      </c>
      <c r="AL463" s="770" t="s">
        <v>494</v>
      </c>
      <c r="AM463" s="770" t="s">
        <v>513</v>
      </c>
      <c r="AN463" s="770" t="s">
        <v>614</v>
      </c>
      <c r="AO463" s="770" t="s">
        <v>493</v>
      </c>
      <c r="AP463" s="770" t="s">
        <v>504</v>
      </c>
      <c r="AQ463" s="770" t="s">
        <v>501</v>
      </c>
      <c r="AR463" s="784" t="s">
        <v>502</v>
      </c>
      <c r="AS463" s="771">
        <v>40.92806886</v>
      </c>
      <c r="AT463" s="771">
        <v>12.37344243</v>
      </c>
      <c r="AU463" s="771">
        <v>100.9071311</v>
      </c>
      <c r="AV463" s="989" t="s">
        <v>233</v>
      </c>
      <c r="AW463" s="714"/>
    </row>
    <row r="464">
      <c r="A464" s="761"/>
      <c r="B464" s="769" t="s">
        <v>493</v>
      </c>
      <c r="C464" s="770" t="s">
        <v>615</v>
      </c>
      <c r="D464" s="770" t="s">
        <v>494</v>
      </c>
      <c r="E464" s="770" t="s">
        <v>495</v>
      </c>
      <c r="F464" s="770" t="s">
        <v>514</v>
      </c>
      <c r="G464" s="770" t="s">
        <v>103</v>
      </c>
      <c r="H464" s="770">
        <v>2019.0</v>
      </c>
      <c r="I464" s="771">
        <v>164066.1617</v>
      </c>
      <c r="J464" s="771">
        <v>210387.4926</v>
      </c>
      <c r="K464" s="772">
        <v>128854.4779</v>
      </c>
      <c r="M464" s="769" t="s">
        <v>493</v>
      </c>
      <c r="N464" s="770" t="s">
        <v>615</v>
      </c>
      <c r="O464" s="770" t="s">
        <v>494</v>
      </c>
      <c r="P464" s="770" t="s">
        <v>495</v>
      </c>
      <c r="Q464" s="770" t="s">
        <v>514</v>
      </c>
      <c r="R464" s="770" t="s">
        <v>497</v>
      </c>
      <c r="S464" s="770">
        <v>2019.0</v>
      </c>
      <c r="T464" s="771">
        <v>983.6295484</v>
      </c>
      <c r="U464" s="771">
        <v>1261.340865</v>
      </c>
      <c r="V464" s="772">
        <v>772.5241487</v>
      </c>
      <c r="X464" s="769" t="s">
        <v>523</v>
      </c>
      <c r="Y464" s="770" t="s">
        <v>494</v>
      </c>
      <c r="Z464" s="770" t="s">
        <v>507</v>
      </c>
      <c r="AA464" s="770" t="s">
        <v>614</v>
      </c>
      <c r="AB464" s="770" t="s">
        <v>493</v>
      </c>
      <c r="AC464" s="770" t="s">
        <v>103</v>
      </c>
      <c r="AD464" s="770" t="s">
        <v>501</v>
      </c>
      <c r="AE464" s="784" t="s">
        <v>502</v>
      </c>
      <c r="AF464" s="771">
        <v>142.0321998</v>
      </c>
      <c r="AG464" s="771">
        <v>71.71499121</v>
      </c>
      <c r="AH464" s="771">
        <v>259.6503547</v>
      </c>
      <c r="AI464" s="772" t="s">
        <v>233</v>
      </c>
      <c r="AK464" s="769" t="s">
        <v>523</v>
      </c>
      <c r="AL464" s="770" t="s">
        <v>494</v>
      </c>
      <c r="AM464" s="770" t="s">
        <v>507</v>
      </c>
      <c r="AN464" s="770" t="s">
        <v>614</v>
      </c>
      <c r="AO464" s="770" t="s">
        <v>493</v>
      </c>
      <c r="AP464" s="770" t="s">
        <v>504</v>
      </c>
      <c r="AQ464" s="770" t="s">
        <v>501</v>
      </c>
      <c r="AR464" s="784" t="s">
        <v>502</v>
      </c>
      <c r="AS464" s="771">
        <v>35.4323685</v>
      </c>
      <c r="AT464" s="771">
        <v>17.89053468</v>
      </c>
      <c r="AU464" s="771">
        <v>64.77423473</v>
      </c>
      <c r="AV464" s="989" t="s">
        <v>233</v>
      </c>
      <c r="AW464" s="714"/>
    </row>
    <row r="465">
      <c r="A465" s="761"/>
      <c r="B465" s="769" t="s">
        <v>493</v>
      </c>
      <c r="C465" s="770" t="s">
        <v>615</v>
      </c>
      <c r="D465" s="770" t="s">
        <v>494</v>
      </c>
      <c r="E465" s="770" t="s">
        <v>505</v>
      </c>
      <c r="F465" s="770" t="s">
        <v>514</v>
      </c>
      <c r="G465" s="770" t="s">
        <v>103</v>
      </c>
      <c r="H465" s="770">
        <v>2019.0</v>
      </c>
      <c r="I465" s="771">
        <v>69474.59259</v>
      </c>
      <c r="J465" s="771">
        <v>88711.45754</v>
      </c>
      <c r="K465" s="772">
        <v>54360.2147</v>
      </c>
      <c r="M465" s="769" t="s">
        <v>493</v>
      </c>
      <c r="N465" s="770" t="s">
        <v>615</v>
      </c>
      <c r="O465" s="770" t="s">
        <v>494</v>
      </c>
      <c r="P465" s="770" t="s">
        <v>505</v>
      </c>
      <c r="Q465" s="770" t="s">
        <v>514</v>
      </c>
      <c r="R465" s="770" t="s">
        <v>497</v>
      </c>
      <c r="S465" s="770">
        <v>2019.0</v>
      </c>
      <c r="T465" s="771">
        <v>99947.10617</v>
      </c>
      <c r="U465" s="771">
        <v>127621.5252</v>
      </c>
      <c r="V465" s="772">
        <v>78203.35389</v>
      </c>
      <c r="X465" s="769" t="s">
        <v>523</v>
      </c>
      <c r="Y465" s="770" t="s">
        <v>494</v>
      </c>
      <c r="Z465" s="770" t="s">
        <v>513</v>
      </c>
      <c r="AA465" s="770" t="s">
        <v>614</v>
      </c>
      <c r="AB465" s="770" t="s">
        <v>493</v>
      </c>
      <c r="AC465" s="770" t="s">
        <v>103</v>
      </c>
      <c r="AD465" s="770" t="s">
        <v>501</v>
      </c>
      <c r="AE465" s="784" t="s">
        <v>502</v>
      </c>
      <c r="AF465" s="771">
        <v>353.6625031</v>
      </c>
      <c r="AG465" s="771">
        <v>199.4886954</v>
      </c>
      <c r="AH465" s="771">
        <v>573.47194</v>
      </c>
      <c r="AI465" s="772" t="s">
        <v>233</v>
      </c>
      <c r="AK465" s="769" t="s">
        <v>523</v>
      </c>
      <c r="AL465" s="770" t="s">
        <v>494</v>
      </c>
      <c r="AM465" s="770" t="s">
        <v>513</v>
      </c>
      <c r="AN465" s="770" t="s">
        <v>614</v>
      </c>
      <c r="AO465" s="770" t="s">
        <v>493</v>
      </c>
      <c r="AP465" s="770" t="s">
        <v>504</v>
      </c>
      <c r="AQ465" s="770" t="s">
        <v>501</v>
      </c>
      <c r="AR465" s="784" t="s">
        <v>502</v>
      </c>
      <c r="AS465" s="771">
        <v>18.13098234</v>
      </c>
      <c r="AT465" s="771">
        <v>10.2270554</v>
      </c>
      <c r="AU465" s="771">
        <v>29.3998078</v>
      </c>
      <c r="AV465" s="989" t="s">
        <v>233</v>
      </c>
      <c r="AW465" s="714"/>
    </row>
    <row r="466">
      <c r="A466" s="761"/>
      <c r="B466" s="769" t="s">
        <v>493</v>
      </c>
      <c r="C466" s="770" t="s">
        <v>615</v>
      </c>
      <c r="D466" s="770" t="s">
        <v>494</v>
      </c>
      <c r="E466" s="770" t="s">
        <v>508</v>
      </c>
      <c r="F466" s="770" t="s">
        <v>514</v>
      </c>
      <c r="G466" s="770" t="s">
        <v>103</v>
      </c>
      <c r="H466" s="770">
        <v>2019.0</v>
      </c>
      <c r="I466" s="771">
        <v>35037.68539</v>
      </c>
      <c r="J466" s="771">
        <v>45035.64623</v>
      </c>
      <c r="K466" s="772">
        <v>27418.25142</v>
      </c>
      <c r="M466" s="769" t="s">
        <v>493</v>
      </c>
      <c r="N466" s="770" t="s">
        <v>615</v>
      </c>
      <c r="O466" s="770" t="s">
        <v>494</v>
      </c>
      <c r="P466" s="770" t="s">
        <v>508</v>
      </c>
      <c r="Q466" s="770" t="s">
        <v>514</v>
      </c>
      <c r="R466" s="770" t="s">
        <v>497</v>
      </c>
      <c r="S466" s="770">
        <v>2019.0</v>
      </c>
      <c r="T466" s="771">
        <v>1086.428927</v>
      </c>
      <c r="U466" s="771">
        <v>1396.440097</v>
      </c>
      <c r="V466" s="772">
        <v>850.1697851</v>
      </c>
      <c r="X466" s="769" t="s">
        <v>496</v>
      </c>
      <c r="Y466" s="770" t="s">
        <v>494</v>
      </c>
      <c r="Z466" s="770" t="s">
        <v>499</v>
      </c>
      <c r="AA466" s="770" t="s">
        <v>616</v>
      </c>
      <c r="AB466" s="770" t="s">
        <v>493</v>
      </c>
      <c r="AC466" s="770" t="s">
        <v>103</v>
      </c>
      <c r="AD466" s="770" t="s">
        <v>501</v>
      </c>
      <c r="AE466" s="784" t="s">
        <v>502</v>
      </c>
      <c r="AF466" s="771">
        <v>7654.052533</v>
      </c>
      <c r="AG466" s="771">
        <v>6444.649065</v>
      </c>
      <c r="AH466" s="771">
        <v>9180.243733</v>
      </c>
      <c r="AI466" s="772" t="s">
        <v>233</v>
      </c>
      <c r="AK466" s="769" t="s">
        <v>496</v>
      </c>
      <c r="AL466" s="770" t="s">
        <v>494</v>
      </c>
      <c r="AM466" s="770" t="s">
        <v>499</v>
      </c>
      <c r="AN466" s="770" t="s">
        <v>616</v>
      </c>
      <c r="AO466" s="770" t="s">
        <v>493</v>
      </c>
      <c r="AP466" s="770" t="s">
        <v>504</v>
      </c>
      <c r="AQ466" s="770" t="s">
        <v>501</v>
      </c>
      <c r="AR466" s="784" t="s">
        <v>502</v>
      </c>
      <c r="AS466" s="771">
        <v>180407.8794</v>
      </c>
      <c r="AT466" s="771">
        <v>151901.9456</v>
      </c>
      <c r="AU466" s="771">
        <v>216380.5772</v>
      </c>
      <c r="AV466" s="989" t="s">
        <v>233</v>
      </c>
      <c r="AW466" s="714"/>
    </row>
    <row r="467">
      <c r="A467" s="761"/>
      <c r="B467" s="769" t="s">
        <v>493</v>
      </c>
      <c r="C467" s="770" t="s">
        <v>615</v>
      </c>
      <c r="D467" s="770" t="s">
        <v>494</v>
      </c>
      <c r="E467" s="770" t="s">
        <v>512</v>
      </c>
      <c r="F467" s="770" t="s">
        <v>514</v>
      </c>
      <c r="G467" s="770" t="s">
        <v>103</v>
      </c>
      <c r="H467" s="770">
        <v>2019.0</v>
      </c>
      <c r="I467" s="771">
        <v>19948.27895</v>
      </c>
      <c r="J467" s="771">
        <v>25676.89798</v>
      </c>
      <c r="K467" s="772">
        <v>15704.11583</v>
      </c>
      <c r="M467" s="769" t="s">
        <v>493</v>
      </c>
      <c r="N467" s="770" t="s">
        <v>615</v>
      </c>
      <c r="O467" s="770" t="s">
        <v>494</v>
      </c>
      <c r="P467" s="770" t="s">
        <v>512</v>
      </c>
      <c r="Q467" s="770" t="s">
        <v>514</v>
      </c>
      <c r="R467" s="770" t="s">
        <v>497</v>
      </c>
      <c r="S467" s="770">
        <v>2019.0</v>
      </c>
      <c r="T467" s="771">
        <v>9706.498119</v>
      </c>
      <c r="U467" s="771">
        <v>12493.9481</v>
      </c>
      <c r="V467" s="772">
        <v>7641.359497</v>
      </c>
      <c r="X467" s="769" t="s">
        <v>496</v>
      </c>
      <c r="Y467" s="770" t="s">
        <v>494</v>
      </c>
      <c r="Z467" s="770" t="s">
        <v>507</v>
      </c>
      <c r="AA467" s="770" t="s">
        <v>616</v>
      </c>
      <c r="AB467" s="770" t="s">
        <v>493</v>
      </c>
      <c r="AC467" s="770" t="s">
        <v>103</v>
      </c>
      <c r="AD467" s="770" t="s">
        <v>501</v>
      </c>
      <c r="AE467" s="784" t="s">
        <v>502</v>
      </c>
      <c r="AF467" s="771">
        <v>8318.996559</v>
      </c>
      <c r="AG467" s="771">
        <v>7013.696886</v>
      </c>
      <c r="AH467" s="771">
        <v>9948.232296</v>
      </c>
      <c r="AI467" s="772" t="s">
        <v>233</v>
      </c>
      <c r="AK467" s="769" t="s">
        <v>496</v>
      </c>
      <c r="AL467" s="770" t="s">
        <v>494</v>
      </c>
      <c r="AM467" s="770" t="s">
        <v>507</v>
      </c>
      <c r="AN467" s="770" t="s">
        <v>616</v>
      </c>
      <c r="AO467" s="770" t="s">
        <v>493</v>
      </c>
      <c r="AP467" s="770" t="s">
        <v>504</v>
      </c>
      <c r="AQ467" s="770" t="s">
        <v>501</v>
      </c>
      <c r="AR467" s="784" t="s">
        <v>502</v>
      </c>
      <c r="AS467" s="771">
        <v>4315.690531</v>
      </c>
      <c r="AT467" s="771">
        <v>3638.533208</v>
      </c>
      <c r="AU467" s="771">
        <v>5160.897905</v>
      </c>
      <c r="AV467" s="989" t="s">
        <v>233</v>
      </c>
      <c r="AW467" s="714"/>
    </row>
    <row r="468">
      <c r="A468" s="761"/>
      <c r="B468" s="769" t="s">
        <v>493</v>
      </c>
      <c r="C468" s="770" t="s">
        <v>615</v>
      </c>
      <c r="D468" s="770" t="s">
        <v>494</v>
      </c>
      <c r="E468" s="770" t="s">
        <v>495</v>
      </c>
      <c r="F468" s="770" t="s">
        <v>518</v>
      </c>
      <c r="G468" s="770" t="s">
        <v>103</v>
      </c>
      <c r="H468" s="770">
        <v>2019.0</v>
      </c>
      <c r="I468" s="771">
        <v>25139.06448</v>
      </c>
      <c r="J468" s="771">
        <v>38523.80196</v>
      </c>
      <c r="K468" s="772">
        <v>16610.03086</v>
      </c>
      <c r="M468" s="769" t="s">
        <v>493</v>
      </c>
      <c r="N468" s="770" t="s">
        <v>615</v>
      </c>
      <c r="O468" s="770" t="s">
        <v>494</v>
      </c>
      <c r="P468" s="770" t="s">
        <v>495</v>
      </c>
      <c r="Q468" s="770" t="s">
        <v>518</v>
      </c>
      <c r="R468" s="770" t="s">
        <v>497</v>
      </c>
      <c r="S468" s="770">
        <v>2019.0</v>
      </c>
      <c r="T468" s="771">
        <v>150.7167985</v>
      </c>
      <c r="U468" s="771">
        <v>230.9626161</v>
      </c>
      <c r="V468" s="772">
        <v>99.58249149</v>
      </c>
      <c r="X468" s="769" t="s">
        <v>496</v>
      </c>
      <c r="Y468" s="770" t="s">
        <v>494</v>
      </c>
      <c r="Z468" s="770" t="s">
        <v>509</v>
      </c>
      <c r="AA468" s="770" t="s">
        <v>616</v>
      </c>
      <c r="AB468" s="770" t="s">
        <v>493</v>
      </c>
      <c r="AC468" s="770" t="s">
        <v>103</v>
      </c>
      <c r="AD468" s="770" t="s">
        <v>501</v>
      </c>
      <c r="AE468" s="784" t="s">
        <v>502</v>
      </c>
      <c r="AF468" s="771">
        <v>2157.476934</v>
      </c>
      <c r="AG468" s="771">
        <v>1806.976628</v>
      </c>
      <c r="AH468" s="771">
        <v>2599.021526</v>
      </c>
      <c r="AI468" s="772" t="s">
        <v>233</v>
      </c>
      <c r="AK468" s="769" t="s">
        <v>496</v>
      </c>
      <c r="AL468" s="770" t="s">
        <v>494</v>
      </c>
      <c r="AM468" s="770" t="s">
        <v>509</v>
      </c>
      <c r="AN468" s="770" t="s">
        <v>616</v>
      </c>
      <c r="AO468" s="770" t="s">
        <v>493</v>
      </c>
      <c r="AP468" s="770" t="s">
        <v>504</v>
      </c>
      <c r="AQ468" s="770" t="s">
        <v>501</v>
      </c>
      <c r="AR468" s="784" t="s">
        <v>502</v>
      </c>
      <c r="AS468" s="771">
        <v>17339.98837</v>
      </c>
      <c r="AT468" s="771">
        <v>14522.96115</v>
      </c>
      <c r="AU468" s="771">
        <v>20888.75312</v>
      </c>
      <c r="AV468" s="989" t="s">
        <v>233</v>
      </c>
      <c r="AW468" s="714"/>
    </row>
    <row r="469">
      <c r="A469" s="761"/>
      <c r="B469" s="769" t="s">
        <v>493</v>
      </c>
      <c r="C469" s="770" t="s">
        <v>615</v>
      </c>
      <c r="D469" s="770" t="s">
        <v>494</v>
      </c>
      <c r="E469" s="770" t="s">
        <v>505</v>
      </c>
      <c r="F469" s="770" t="s">
        <v>518</v>
      </c>
      <c r="G469" s="770" t="s">
        <v>103</v>
      </c>
      <c r="H469" s="770">
        <v>2019.0</v>
      </c>
      <c r="I469" s="771">
        <v>666.5450249</v>
      </c>
      <c r="J469" s="771">
        <v>1120.828847</v>
      </c>
      <c r="K469" s="772">
        <v>372.1414772</v>
      </c>
      <c r="M469" s="769" t="s">
        <v>493</v>
      </c>
      <c r="N469" s="770" t="s">
        <v>615</v>
      </c>
      <c r="O469" s="770" t="s">
        <v>494</v>
      </c>
      <c r="P469" s="770" t="s">
        <v>505</v>
      </c>
      <c r="Q469" s="770" t="s">
        <v>518</v>
      </c>
      <c r="R469" s="770" t="s">
        <v>497</v>
      </c>
      <c r="S469" s="770">
        <v>2019.0</v>
      </c>
      <c r="T469" s="771">
        <v>958.9008571</v>
      </c>
      <c r="U469" s="771">
        <v>1612.439823</v>
      </c>
      <c r="V469" s="772">
        <v>535.3678568</v>
      </c>
      <c r="X469" s="769" t="s">
        <v>496</v>
      </c>
      <c r="Y469" s="770" t="s">
        <v>494</v>
      </c>
      <c r="Z469" s="770" t="s">
        <v>513</v>
      </c>
      <c r="AA469" s="770" t="s">
        <v>616</v>
      </c>
      <c r="AB469" s="770" t="s">
        <v>493</v>
      </c>
      <c r="AC469" s="770" t="s">
        <v>103</v>
      </c>
      <c r="AD469" s="770" t="s">
        <v>501</v>
      </c>
      <c r="AE469" s="784" t="s">
        <v>502</v>
      </c>
      <c r="AF469" s="771">
        <v>31281.76706</v>
      </c>
      <c r="AG469" s="771">
        <v>26417.41893</v>
      </c>
      <c r="AH469" s="771">
        <v>37415.15884</v>
      </c>
      <c r="AI469" s="772" t="s">
        <v>233</v>
      </c>
      <c r="AK469" s="769" t="s">
        <v>496</v>
      </c>
      <c r="AL469" s="770" t="s">
        <v>494</v>
      </c>
      <c r="AM469" s="770" t="s">
        <v>513</v>
      </c>
      <c r="AN469" s="770" t="s">
        <v>616</v>
      </c>
      <c r="AO469" s="770" t="s">
        <v>493</v>
      </c>
      <c r="AP469" s="770" t="s">
        <v>504</v>
      </c>
      <c r="AQ469" s="770" t="s">
        <v>501</v>
      </c>
      <c r="AR469" s="784" t="s">
        <v>502</v>
      </c>
      <c r="AS469" s="771">
        <v>3302.283284</v>
      </c>
      <c r="AT469" s="771">
        <v>2788.774712</v>
      </c>
      <c r="AU469" s="771">
        <v>3949.759403</v>
      </c>
      <c r="AV469" s="989" t="s">
        <v>233</v>
      </c>
      <c r="AW469" s="714"/>
    </row>
    <row r="470">
      <c r="A470" s="761"/>
      <c r="B470" s="769" t="s">
        <v>493</v>
      </c>
      <c r="C470" s="770" t="s">
        <v>615</v>
      </c>
      <c r="D470" s="770" t="s">
        <v>494</v>
      </c>
      <c r="E470" s="770" t="s">
        <v>508</v>
      </c>
      <c r="F470" s="770" t="s">
        <v>518</v>
      </c>
      <c r="G470" s="770" t="s">
        <v>103</v>
      </c>
      <c r="H470" s="770">
        <v>2019.0</v>
      </c>
      <c r="I470" s="771">
        <v>11157.6478</v>
      </c>
      <c r="J470" s="771">
        <v>17352.50879</v>
      </c>
      <c r="K470" s="772">
        <v>7078.146486</v>
      </c>
      <c r="M470" s="769" t="s">
        <v>493</v>
      </c>
      <c r="N470" s="770" t="s">
        <v>615</v>
      </c>
      <c r="O470" s="770" t="s">
        <v>494</v>
      </c>
      <c r="P470" s="770" t="s">
        <v>508</v>
      </c>
      <c r="Q470" s="770" t="s">
        <v>518</v>
      </c>
      <c r="R470" s="770" t="s">
        <v>497</v>
      </c>
      <c r="S470" s="770">
        <v>2019.0</v>
      </c>
      <c r="T470" s="771">
        <v>345.9700946</v>
      </c>
      <c r="U470" s="771">
        <v>538.0568746</v>
      </c>
      <c r="V470" s="772">
        <v>219.4752023</v>
      </c>
      <c r="X470" s="769" t="s">
        <v>514</v>
      </c>
      <c r="Y470" s="770" t="s">
        <v>494</v>
      </c>
      <c r="Z470" s="770" t="s">
        <v>499</v>
      </c>
      <c r="AA470" s="770" t="s">
        <v>616</v>
      </c>
      <c r="AB470" s="770" t="s">
        <v>493</v>
      </c>
      <c r="AC470" s="770" t="s">
        <v>103</v>
      </c>
      <c r="AD470" s="770" t="s">
        <v>501</v>
      </c>
      <c r="AE470" s="784" t="s">
        <v>502</v>
      </c>
      <c r="AF470" s="771">
        <v>7073.969968</v>
      </c>
      <c r="AG470" s="771">
        <v>5870.631327</v>
      </c>
      <c r="AH470" s="771">
        <v>8460.526461</v>
      </c>
      <c r="AI470" s="772" t="s">
        <v>233</v>
      </c>
      <c r="AK470" s="769" t="s">
        <v>514</v>
      </c>
      <c r="AL470" s="770" t="s">
        <v>494</v>
      </c>
      <c r="AM470" s="770" t="s">
        <v>499</v>
      </c>
      <c r="AN470" s="770" t="s">
        <v>616</v>
      </c>
      <c r="AO470" s="770" t="s">
        <v>493</v>
      </c>
      <c r="AP470" s="770" t="s">
        <v>504</v>
      </c>
      <c r="AQ470" s="770" t="s">
        <v>501</v>
      </c>
      <c r="AR470" s="784" t="s">
        <v>502</v>
      </c>
      <c r="AS470" s="771">
        <v>166735.1923</v>
      </c>
      <c r="AT470" s="771">
        <v>138372.208</v>
      </c>
      <c r="AU470" s="771">
        <v>199416.666</v>
      </c>
      <c r="AV470" s="989" t="s">
        <v>233</v>
      </c>
      <c r="AW470" s="714"/>
    </row>
    <row r="471">
      <c r="A471" s="761"/>
      <c r="B471" s="769" t="s">
        <v>493</v>
      </c>
      <c r="C471" s="770" t="s">
        <v>615</v>
      </c>
      <c r="D471" s="770" t="s">
        <v>494</v>
      </c>
      <c r="E471" s="770" t="s">
        <v>512</v>
      </c>
      <c r="F471" s="770" t="s">
        <v>518</v>
      </c>
      <c r="G471" s="770" t="s">
        <v>103</v>
      </c>
      <c r="H471" s="770">
        <v>2019.0</v>
      </c>
      <c r="I471" s="771">
        <v>1695.353389</v>
      </c>
      <c r="J471" s="771">
        <v>2954.864704</v>
      </c>
      <c r="K471" s="772">
        <v>864.8364562</v>
      </c>
      <c r="M471" s="769" t="s">
        <v>493</v>
      </c>
      <c r="N471" s="770" t="s">
        <v>615</v>
      </c>
      <c r="O471" s="770" t="s">
        <v>494</v>
      </c>
      <c r="P471" s="770" t="s">
        <v>512</v>
      </c>
      <c r="Q471" s="770" t="s">
        <v>518</v>
      </c>
      <c r="R471" s="770" t="s">
        <v>497</v>
      </c>
      <c r="S471" s="770">
        <v>2019.0</v>
      </c>
      <c r="T471" s="771">
        <v>824.9305381</v>
      </c>
      <c r="U471" s="771">
        <v>1437.787629</v>
      </c>
      <c r="V471" s="772">
        <v>420.8149213</v>
      </c>
      <c r="X471" s="769" t="s">
        <v>514</v>
      </c>
      <c r="Y471" s="770" t="s">
        <v>494</v>
      </c>
      <c r="Z471" s="770" t="s">
        <v>507</v>
      </c>
      <c r="AA471" s="770" t="s">
        <v>616</v>
      </c>
      <c r="AB471" s="770" t="s">
        <v>493</v>
      </c>
      <c r="AC471" s="770" t="s">
        <v>103</v>
      </c>
      <c r="AD471" s="770" t="s">
        <v>501</v>
      </c>
      <c r="AE471" s="784" t="s">
        <v>502</v>
      </c>
      <c r="AF471" s="771">
        <v>7073.795656</v>
      </c>
      <c r="AG471" s="771">
        <v>5801.650624</v>
      </c>
      <c r="AH471" s="771">
        <v>8664.224519</v>
      </c>
      <c r="AI471" s="772" t="s">
        <v>233</v>
      </c>
      <c r="AK471" s="769" t="s">
        <v>514</v>
      </c>
      <c r="AL471" s="770" t="s">
        <v>494</v>
      </c>
      <c r="AM471" s="770" t="s">
        <v>507</v>
      </c>
      <c r="AN471" s="770" t="s">
        <v>616</v>
      </c>
      <c r="AO471" s="770" t="s">
        <v>493</v>
      </c>
      <c r="AP471" s="770" t="s">
        <v>504</v>
      </c>
      <c r="AQ471" s="770" t="s">
        <v>501</v>
      </c>
      <c r="AR471" s="784" t="s">
        <v>502</v>
      </c>
      <c r="AS471" s="771">
        <v>3669.710969</v>
      </c>
      <c r="AT471" s="771">
        <v>3009.753458</v>
      </c>
      <c r="AU471" s="771">
        <v>4494.786294</v>
      </c>
      <c r="AV471" s="989" t="s">
        <v>233</v>
      </c>
      <c r="AW471" s="714"/>
    </row>
    <row r="472">
      <c r="A472" s="761"/>
      <c r="B472" s="769" t="s">
        <v>493</v>
      </c>
      <c r="C472" s="770" t="s">
        <v>615</v>
      </c>
      <c r="D472" s="770" t="s">
        <v>494</v>
      </c>
      <c r="E472" s="770" t="s">
        <v>495</v>
      </c>
      <c r="F472" s="770" t="s">
        <v>519</v>
      </c>
      <c r="G472" s="770" t="s">
        <v>103</v>
      </c>
      <c r="H472" s="770">
        <v>2019.0</v>
      </c>
      <c r="I472" s="771">
        <v>77435.72882</v>
      </c>
      <c r="J472" s="771">
        <v>99592.5058</v>
      </c>
      <c r="K472" s="772">
        <v>61027.0775</v>
      </c>
      <c r="M472" s="769" t="s">
        <v>493</v>
      </c>
      <c r="N472" s="770" t="s">
        <v>615</v>
      </c>
      <c r="O472" s="770" t="s">
        <v>494</v>
      </c>
      <c r="P472" s="770" t="s">
        <v>495</v>
      </c>
      <c r="Q472" s="770" t="s">
        <v>519</v>
      </c>
      <c r="R472" s="770" t="s">
        <v>497</v>
      </c>
      <c r="S472" s="770">
        <v>2019.0</v>
      </c>
      <c r="T472" s="771">
        <v>464.2521661</v>
      </c>
      <c r="U472" s="771">
        <v>597.0891893</v>
      </c>
      <c r="V472" s="772">
        <v>365.8770099</v>
      </c>
      <c r="X472" s="769" t="s">
        <v>514</v>
      </c>
      <c r="Y472" s="770" t="s">
        <v>494</v>
      </c>
      <c r="Z472" s="770" t="s">
        <v>509</v>
      </c>
      <c r="AA472" s="770" t="s">
        <v>616</v>
      </c>
      <c r="AB472" s="770" t="s">
        <v>493</v>
      </c>
      <c r="AC472" s="770" t="s">
        <v>103</v>
      </c>
      <c r="AD472" s="770" t="s">
        <v>501</v>
      </c>
      <c r="AE472" s="784" t="s">
        <v>502</v>
      </c>
      <c r="AF472" s="771">
        <v>1902.989132</v>
      </c>
      <c r="AG472" s="771">
        <v>1572.719964</v>
      </c>
      <c r="AH472" s="771">
        <v>2319.632236</v>
      </c>
      <c r="AI472" s="772" t="s">
        <v>233</v>
      </c>
      <c r="AK472" s="769" t="s">
        <v>514</v>
      </c>
      <c r="AL472" s="770" t="s">
        <v>494</v>
      </c>
      <c r="AM472" s="770" t="s">
        <v>509</v>
      </c>
      <c r="AN472" s="770" t="s">
        <v>616</v>
      </c>
      <c r="AO472" s="770" t="s">
        <v>493</v>
      </c>
      <c r="AP472" s="770" t="s">
        <v>504</v>
      </c>
      <c r="AQ472" s="770" t="s">
        <v>501</v>
      </c>
      <c r="AR472" s="784" t="s">
        <v>502</v>
      </c>
      <c r="AS472" s="771">
        <v>15294.62906</v>
      </c>
      <c r="AT472" s="771">
        <v>12640.20275</v>
      </c>
      <c r="AU472" s="771">
        <v>18643.25656</v>
      </c>
      <c r="AV472" s="989" t="s">
        <v>233</v>
      </c>
      <c r="AW472" s="714"/>
    </row>
    <row r="473">
      <c r="A473" s="761"/>
      <c r="B473" s="769" t="s">
        <v>493</v>
      </c>
      <c r="C473" s="770" t="s">
        <v>615</v>
      </c>
      <c r="D473" s="770" t="s">
        <v>494</v>
      </c>
      <c r="E473" s="770" t="s">
        <v>505</v>
      </c>
      <c r="F473" s="770" t="s">
        <v>519</v>
      </c>
      <c r="G473" s="770" t="s">
        <v>103</v>
      </c>
      <c r="H473" s="770">
        <v>2019.0</v>
      </c>
      <c r="I473" s="771">
        <v>61994.51082</v>
      </c>
      <c r="J473" s="771">
        <v>79296.54879</v>
      </c>
      <c r="K473" s="772">
        <v>48511.32615</v>
      </c>
      <c r="M473" s="769" t="s">
        <v>493</v>
      </c>
      <c r="N473" s="770" t="s">
        <v>615</v>
      </c>
      <c r="O473" s="770" t="s">
        <v>494</v>
      </c>
      <c r="P473" s="770" t="s">
        <v>505</v>
      </c>
      <c r="Q473" s="770" t="s">
        <v>519</v>
      </c>
      <c r="R473" s="770" t="s">
        <v>497</v>
      </c>
      <c r="S473" s="770">
        <v>2019.0</v>
      </c>
      <c r="T473" s="771">
        <v>89186.15748</v>
      </c>
      <c r="U473" s="771">
        <v>114077.1077</v>
      </c>
      <c r="V473" s="772">
        <v>69789.06223</v>
      </c>
      <c r="X473" s="769" t="s">
        <v>514</v>
      </c>
      <c r="Y473" s="770" t="s">
        <v>494</v>
      </c>
      <c r="Z473" s="770" t="s">
        <v>513</v>
      </c>
      <c r="AA473" s="770" t="s">
        <v>616</v>
      </c>
      <c r="AB473" s="770" t="s">
        <v>493</v>
      </c>
      <c r="AC473" s="770" t="s">
        <v>103</v>
      </c>
      <c r="AD473" s="770" t="s">
        <v>501</v>
      </c>
      <c r="AE473" s="784" t="s">
        <v>502</v>
      </c>
      <c r="AF473" s="771">
        <v>27192.3979</v>
      </c>
      <c r="AG473" s="771">
        <v>22541.12175</v>
      </c>
      <c r="AH473" s="771">
        <v>33076.45735</v>
      </c>
      <c r="AI473" s="772" t="s">
        <v>233</v>
      </c>
      <c r="AK473" s="769" t="s">
        <v>514</v>
      </c>
      <c r="AL473" s="770" t="s">
        <v>494</v>
      </c>
      <c r="AM473" s="770" t="s">
        <v>513</v>
      </c>
      <c r="AN473" s="770" t="s">
        <v>616</v>
      </c>
      <c r="AO473" s="770" t="s">
        <v>493</v>
      </c>
      <c r="AP473" s="770" t="s">
        <v>504</v>
      </c>
      <c r="AQ473" s="770" t="s">
        <v>501</v>
      </c>
      <c r="AR473" s="784" t="s">
        <v>502</v>
      </c>
      <c r="AS473" s="771">
        <v>2870.58595</v>
      </c>
      <c r="AT473" s="771">
        <v>2379.570483</v>
      </c>
      <c r="AU473" s="771">
        <v>3491.741115</v>
      </c>
      <c r="AV473" s="989" t="s">
        <v>233</v>
      </c>
      <c r="AW473" s="714"/>
    </row>
    <row r="474">
      <c r="A474" s="761"/>
      <c r="B474" s="769" t="s">
        <v>493</v>
      </c>
      <c r="C474" s="770" t="s">
        <v>615</v>
      </c>
      <c r="D474" s="770" t="s">
        <v>494</v>
      </c>
      <c r="E474" s="770" t="s">
        <v>508</v>
      </c>
      <c r="F474" s="770" t="s">
        <v>519</v>
      </c>
      <c r="G474" s="770" t="s">
        <v>103</v>
      </c>
      <c r="H474" s="770">
        <v>2019.0</v>
      </c>
      <c r="I474" s="771">
        <v>2372.776173</v>
      </c>
      <c r="J474" s="771">
        <v>3472.722929</v>
      </c>
      <c r="K474" s="772">
        <v>1577.718808</v>
      </c>
      <c r="M474" s="769" t="s">
        <v>493</v>
      </c>
      <c r="N474" s="770" t="s">
        <v>615</v>
      </c>
      <c r="O474" s="770" t="s">
        <v>494</v>
      </c>
      <c r="P474" s="770" t="s">
        <v>508</v>
      </c>
      <c r="Q474" s="770" t="s">
        <v>519</v>
      </c>
      <c r="R474" s="770" t="s">
        <v>497</v>
      </c>
      <c r="S474" s="770">
        <v>2019.0</v>
      </c>
      <c r="T474" s="771">
        <v>73.57371475</v>
      </c>
      <c r="U474" s="771">
        <v>107.6802478</v>
      </c>
      <c r="V474" s="772">
        <v>48.92102124</v>
      </c>
      <c r="X474" s="769" t="s">
        <v>518</v>
      </c>
      <c r="Y474" s="770" t="s">
        <v>494</v>
      </c>
      <c r="Z474" s="770" t="s">
        <v>499</v>
      </c>
      <c r="AA474" s="770" t="s">
        <v>616</v>
      </c>
      <c r="AB474" s="770" t="s">
        <v>493</v>
      </c>
      <c r="AC474" s="770" t="s">
        <v>103</v>
      </c>
      <c r="AD474" s="770" t="s">
        <v>501</v>
      </c>
      <c r="AE474" s="784" t="s">
        <v>502</v>
      </c>
      <c r="AF474" s="771">
        <v>82.08236412</v>
      </c>
      <c r="AG474" s="771">
        <v>35.16143056</v>
      </c>
      <c r="AH474" s="771">
        <v>155.7731464</v>
      </c>
      <c r="AI474" s="772" t="s">
        <v>233</v>
      </c>
      <c r="AK474" s="769" t="s">
        <v>518</v>
      </c>
      <c r="AL474" s="770" t="s">
        <v>494</v>
      </c>
      <c r="AM474" s="770" t="s">
        <v>499</v>
      </c>
      <c r="AN474" s="770" t="s">
        <v>616</v>
      </c>
      <c r="AO474" s="770" t="s">
        <v>493</v>
      </c>
      <c r="AP474" s="770" t="s">
        <v>504</v>
      </c>
      <c r="AQ474" s="770" t="s">
        <v>501</v>
      </c>
      <c r="AR474" s="784" t="s">
        <v>502</v>
      </c>
      <c r="AS474" s="771">
        <v>1934.701283</v>
      </c>
      <c r="AT474" s="771">
        <v>828.7634685</v>
      </c>
      <c r="AU474" s="771">
        <v>3671.610941</v>
      </c>
      <c r="AV474" s="989" t="s">
        <v>233</v>
      </c>
      <c r="AW474" s="714"/>
    </row>
    <row r="475">
      <c r="A475" s="761"/>
      <c r="B475" s="769" t="s">
        <v>493</v>
      </c>
      <c r="C475" s="770" t="s">
        <v>615</v>
      </c>
      <c r="D475" s="770" t="s">
        <v>494</v>
      </c>
      <c r="E475" s="770" t="s">
        <v>512</v>
      </c>
      <c r="F475" s="770" t="s">
        <v>519</v>
      </c>
      <c r="G475" s="770" t="s">
        <v>103</v>
      </c>
      <c r="H475" s="770">
        <v>2019.0</v>
      </c>
      <c r="I475" s="771">
        <v>12842.02885</v>
      </c>
      <c r="J475" s="771">
        <v>16670.61899</v>
      </c>
      <c r="K475" s="772">
        <v>9856.068264</v>
      </c>
      <c r="M475" s="769" t="s">
        <v>493</v>
      </c>
      <c r="N475" s="770" t="s">
        <v>615</v>
      </c>
      <c r="O475" s="770" t="s">
        <v>494</v>
      </c>
      <c r="P475" s="770" t="s">
        <v>512</v>
      </c>
      <c r="Q475" s="770" t="s">
        <v>519</v>
      </c>
      <c r="R475" s="770" t="s">
        <v>497</v>
      </c>
      <c r="S475" s="770">
        <v>2019.0</v>
      </c>
      <c r="T475" s="771">
        <v>6248.71595</v>
      </c>
      <c r="U475" s="771">
        <v>8111.64373</v>
      </c>
      <c r="V475" s="772">
        <v>4795.797588</v>
      </c>
      <c r="X475" s="769" t="s">
        <v>518</v>
      </c>
      <c r="Y475" s="770" t="s">
        <v>494</v>
      </c>
      <c r="Z475" s="770" t="s">
        <v>507</v>
      </c>
      <c r="AA475" s="770" t="s">
        <v>616</v>
      </c>
      <c r="AB475" s="770" t="s">
        <v>493</v>
      </c>
      <c r="AC475" s="770" t="s">
        <v>103</v>
      </c>
      <c r="AD475" s="770" t="s">
        <v>501</v>
      </c>
      <c r="AE475" s="784" t="s">
        <v>502</v>
      </c>
      <c r="AF475" s="771">
        <v>2613.800858</v>
      </c>
      <c r="AG475" s="771">
        <v>1511.891052</v>
      </c>
      <c r="AH475" s="771">
        <v>4110.212157</v>
      </c>
      <c r="AI475" s="772" t="s">
        <v>233</v>
      </c>
      <c r="AK475" s="769" t="s">
        <v>518</v>
      </c>
      <c r="AL475" s="770" t="s">
        <v>494</v>
      </c>
      <c r="AM475" s="770" t="s">
        <v>507</v>
      </c>
      <c r="AN475" s="770" t="s">
        <v>616</v>
      </c>
      <c r="AO475" s="770" t="s">
        <v>493</v>
      </c>
      <c r="AP475" s="770" t="s">
        <v>504</v>
      </c>
      <c r="AQ475" s="770" t="s">
        <v>501</v>
      </c>
      <c r="AR475" s="784" t="s">
        <v>502</v>
      </c>
      <c r="AS475" s="771">
        <v>1355.975511</v>
      </c>
      <c r="AT475" s="771">
        <v>784.331842</v>
      </c>
      <c r="AU475" s="771">
        <v>2132.276839</v>
      </c>
      <c r="AV475" s="989" t="s">
        <v>233</v>
      </c>
      <c r="AW475" s="714"/>
    </row>
    <row r="476">
      <c r="A476" s="761"/>
      <c r="B476" s="769" t="s">
        <v>493</v>
      </c>
      <c r="C476" s="770" t="s">
        <v>615</v>
      </c>
      <c r="D476" s="770" t="s">
        <v>494</v>
      </c>
      <c r="E476" s="770" t="s">
        <v>495</v>
      </c>
      <c r="F476" s="770" t="s">
        <v>521</v>
      </c>
      <c r="G476" s="770" t="s">
        <v>103</v>
      </c>
      <c r="H476" s="770">
        <v>2019.0</v>
      </c>
      <c r="I476" s="771">
        <v>2094.638852</v>
      </c>
      <c r="J476" s="771">
        <v>5081.795777</v>
      </c>
      <c r="K476" s="772">
        <v>623.7006381</v>
      </c>
      <c r="M476" s="769" t="s">
        <v>493</v>
      </c>
      <c r="N476" s="770" t="s">
        <v>615</v>
      </c>
      <c r="O476" s="770" t="s">
        <v>494</v>
      </c>
      <c r="P476" s="770" t="s">
        <v>495</v>
      </c>
      <c r="Q476" s="770" t="s">
        <v>521</v>
      </c>
      <c r="R476" s="770" t="s">
        <v>497</v>
      </c>
      <c r="S476" s="770">
        <v>2019.0</v>
      </c>
      <c r="T476" s="771">
        <v>12.55803541</v>
      </c>
      <c r="U476" s="771">
        <v>30.46700449</v>
      </c>
      <c r="V476" s="772">
        <v>3.739286459</v>
      </c>
      <c r="X476" s="769" t="s">
        <v>518</v>
      </c>
      <c r="Y476" s="770" t="s">
        <v>494</v>
      </c>
      <c r="Z476" s="770" t="s">
        <v>509</v>
      </c>
      <c r="AA476" s="770" t="s">
        <v>616</v>
      </c>
      <c r="AB476" s="770" t="s">
        <v>493</v>
      </c>
      <c r="AC476" s="770" t="s">
        <v>103</v>
      </c>
      <c r="AD476" s="770" t="s">
        <v>501</v>
      </c>
      <c r="AE476" s="784" t="s">
        <v>502</v>
      </c>
      <c r="AF476" s="771">
        <v>216.62302</v>
      </c>
      <c r="AG476" s="771">
        <v>115.0397958</v>
      </c>
      <c r="AH476" s="771">
        <v>371.5940962</v>
      </c>
      <c r="AI476" s="772" t="s">
        <v>233</v>
      </c>
      <c r="AK476" s="769" t="s">
        <v>518</v>
      </c>
      <c r="AL476" s="770" t="s">
        <v>494</v>
      </c>
      <c r="AM476" s="770" t="s">
        <v>509</v>
      </c>
      <c r="AN476" s="770" t="s">
        <v>616</v>
      </c>
      <c r="AO476" s="770" t="s">
        <v>493</v>
      </c>
      <c r="AP476" s="770" t="s">
        <v>504</v>
      </c>
      <c r="AQ476" s="770" t="s">
        <v>501</v>
      </c>
      <c r="AR476" s="784" t="s">
        <v>502</v>
      </c>
      <c r="AS476" s="771">
        <v>1741.033977</v>
      </c>
      <c r="AT476" s="771">
        <v>924.5933015</v>
      </c>
      <c r="AU476" s="771">
        <v>2986.561388</v>
      </c>
      <c r="AV476" s="989" t="s">
        <v>233</v>
      </c>
      <c r="AW476" s="714"/>
    </row>
    <row r="477">
      <c r="A477" s="761"/>
      <c r="B477" s="769" t="s">
        <v>493</v>
      </c>
      <c r="C477" s="770" t="s">
        <v>615</v>
      </c>
      <c r="D477" s="770" t="s">
        <v>494</v>
      </c>
      <c r="E477" s="770" t="s">
        <v>505</v>
      </c>
      <c r="F477" s="770" t="s">
        <v>521</v>
      </c>
      <c r="G477" s="770" t="s">
        <v>103</v>
      </c>
      <c r="H477" s="770">
        <v>2019.0</v>
      </c>
      <c r="I477" s="771">
        <v>0.0</v>
      </c>
      <c r="J477" s="771">
        <v>0.0</v>
      </c>
      <c r="K477" s="772">
        <v>0.0</v>
      </c>
      <c r="M477" s="769" t="s">
        <v>493</v>
      </c>
      <c r="N477" s="770" t="s">
        <v>615</v>
      </c>
      <c r="O477" s="770" t="s">
        <v>494</v>
      </c>
      <c r="P477" s="770" t="s">
        <v>505</v>
      </c>
      <c r="Q477" s="770" t="s">
        <v>521</v>
      </c>
      <c r="R477" s="770" t="s">
        <v>497</v>
      </c>
      <c r="S477" s="770">
        <v>2019.0</v>
      </c>
      <c r="T477" s="771">
        <v>0.0</v>
      </c>
      <c r="U477" s="771">
        <v>0.0</v>
      </c>
      <c r="V477" s="772">
        <v>0.0</v>
      </c>
      <c r="X477" s="769" t="s">
        <v>518</v>
      </c>
      <c r="Y477" s="770" t="s">
        <v>494</v>
      </c>
      <c r="Z477" s="770" t="s">
        <v>513</v>
      </c>
      <c r="AA477" s="770" t="s">
        <v>616</v>
      </c>
      <c r="AB477" s="770" t="s">
        <v>493</v>
      </c>
      <c r="AC477" s="770" t="s">
        <v>103</v>
      </c>
      <c r="AD477" s="770" t="s">
        <v>501</v>
      </c>
      <c r="AE477" s="784" t="s">
        <v>502</v>
      </c>
      <c r="AF477" s="771">
        <v>5897.697688</v>
      </c>
      <c r="AG477" s="771">
        <v>3934.1097</v>
      </c>
      <c r="AH477" s="771">
        <v>8505.275135</v>
      </c>
      <c r="AI477" s="772" t="s">
        <v>233</v>
      </c>
      <c r="AK477" s="769" t="s">
        <v>518</v>
      </c>
      <c r="AL477" s="770" t="s">
        <v>494</v>
      </c>
      <c r="AM477" s="770" t="s">
        <v>513</v>
      </c>
      <c r="AN477" s="770" t="s">
        <v>616</v>
      </c>
      <c r="AO477" s="770" t="s">
        <v>493</v>
      </c>
      <c r="AP477" s="770" t="s">
        <v>504</v>
      </c>
      <c r="AQ477" s="770" t="s">
        <v>501</v>
      </c>
      <c r="AR477" s="784" t="s">
        <v>502</v>
      </c>
      <c r="AS477" s="771">
        <v>622.5948952</v>
      </c>
      <c r="AT477" s="771">
        <v>415.3072514</v>
      </c>
      <c r="AU477" s="771">
        <v>897.865771</v>
      </c>
      <c r="AV477" s="989" t="s">
        <v>233</v>
      </c>
      <c r="AW477" s="714"/>
    </row>
    <row r="478">
      <c r="A478" s="761"/>
      <c r="B478" s="769" t="s">
        <v>493</v>
      </c>
      <c r="C478" s="770" t="s">
        <v>615</v>
      </c>
      <c r="D478" s="770" t="s">
        <v>494</v>
      </c>
      <c r="E478" s="770" t="s">
        <v>508</v>
      </c>
      <c r="F478" s="770" t="s">
        <v>521</v>
      </c>
      <c r="G478" s="770" t="s">
        <v>103</v>
      </c>
      <c r="H478" s="770">
        <v>2019.0</v>
      </c>
      <c r="I478" s="771">
        <v>398.7476505</v>
      </c>
      <c r="J478" s="771">
        <v>974.6059402</v>
      </c>
      <c r="K478" s="772">
        <v>117.2132592</v>
      </c>
      <c r="M478" s="769" t="s">
        <v>493</v>
      </c>
      <c r="N478" s="770" t="s">
        <v>615</v>
      </c>
      <c r="O478" s="770" t="s">
        <v>494</v>
      </c>
      <c r="P478" s="770" t="s">
        <v>508</v>
      </c>
      <c r="Q478" s="770" t="s">
        <v>521</v>
      </c>
      <c r="R478" s="770" t="s">
        <v>497</v>
      </c>
      <c r="S478" s="770">
        <v>2019.0</v>
      </c>
      <c r="T478" s="771">
        <v>12.36414384</v>
      </c>
      <c r="U478" s="771">
        <v>30.22003519</v>
      </c>
      <c r="V478" s="772">
        <v>3.6344831</v>
      </c>
      <c r="X478" s="769" t="s">
        <v>519</v>
      </c>
      <c r="Y478" s="770" t="s">
        <v>494</v>
      </c>
      <c r="Z478" s="770" t="s">
        <v>499</v>
      </c>
      <c r="AA478" s="770" t="s">
        <v>616</v>
      </c>
      <c r="AB478" s="770" t="s">
        <v>493</v>
      </c>
      <c r="AC478" s="770" t="s">
        <v>103</v>
      </c>
      <c r="AD478" s="770" t="s">
        <v>501</v>
      </c>
      <c r="AE478" s="784" t="s">
        <v>502</v>
      </c>
      <c r="AF478" s="771">
        <v>5856.248019</v>
      </c>
      <c r="AG478" s="771">
        <v>4872.969734</v>
      </c>
      <c r="AH478" s="771">
        <v>7106.699726</v>
      </c>
      <c r="AI478" s="772" t="s">
        <v>233</v>
      </c>
      <c r="AK478" s="769" t="s">
        <v>519</v>
      </c>
      <c r="AL478" s="770" t="s">
        <v>494</v>
      </c>
      <c r="AM478" s="770" t="s">
        <v>499</v>
      </c>
      <c r="AN478" s="770" t="s">
        <v>616</v>
      </c>
      <c r="AO478" s="770" t="s">
        <v>493</v>
      </c>
      <c r="AP478" s="770" t="s">
        <v>504</v>
      </c>
      <c r="AQ478" s="770" t="s">
        <v>501</v>
      </c>
      <c r="AR478" s="784" t="s">
        <v>502</v>
      </c>
      <c r="AS478" s="771">
        <v>138033.1899</v>
      </c>
      <c r="AT478" s="771">
        <v>114857.0816</v>
      </c>
      <c r="AU478" s="771">
        <v>167506.6407</v>
      </c>
      <c r="AV478" s="989" t="s">
        <v>233</v>
      </c>
      <c r="AW478" s="714"/>
    </row>
    <row r="479">
      <c r="A479" s="761"/>
      <c r="B479" s="769" t="s">
        <v>493</v>
      </c>
      <c r="C479" s="770" t="s">
        <v>615</v>
      </c>
      <c r="D479" s="770" t="s">
        <v>494</v>
      </c>
      <c r="E479" s="770" t="s">
        <v>512</v>
      </c>
      <c r="F479" s="770" t="s">
        <v>521</v>
      </c>
      <c r="G479" s="770" t="s">
        <v>103</v>
      </c>
      <c r="H479" s="770">
        <v>2019.0</v>
      </c>
      <c r="I479" s="771">
        <v>0.0</v>
      </c>
      <c r="J479" s="771">
        <v>0.0</v>
      </c>
      <c r="K479" s="772">
        <v>0.0</v>
      </c>
      <c r="M479" s="769" t="s">
        <v>493</v>
      </c>
      <c r="N479" s="770" t="s">
        <v>615</v>
      </c>
      <c r="O479" s="770" t="s">
        <v>494</v>
      </c>
      <c r="P479" s="770" t="s">
        <v>512</v>
      </c>
      <c r="Q479" s="770" t="s">
        <v>521</v>
      </c>
      <c r="R479" s="770" t="s">
        <v>497</v>
      </c>
      <c r="S479" s="770">
        <v>2019.0</v>
      </c>
      <c r="T479" s="771">
        <v>0.0</v>
      </c>
      <c r="U479" s="771">
        <v>0.0</v>
      </c>
      <c r="V479" s="772">
        <v>0.0</v>
      </c>
      <c r="X479" s="769" t="s">
        <v>519</v>
      </c>
      <c r="Y479" s="770" t="s">
        <v>494</v>
      </c>
      <c r="Z479" s="770" t="s">
        <v>507</v>
      </c>
      <c r="AA479" s="770" t="s">
        <v>616</v>
      </c>
      <c r="AB479" s="770" t="s">
        <v>493</v>
      </c>
      <c r="AC479" s="770" t="s">
        <v>103</v>
      </c>
      <c r="AD479" s="770" t="s">
        <v>501</v>
      </c>
      <c r="AE479" s="784" t="s">
        <v>502</v>
      </c>
      <c r="AF479" s="771">
        <v>46.42751383</v>
      </c>
      <c r="AG479" s="771">
        <v>27.44625354</v>
      </c>
      <c r="AH479" s="771">
        <v>74.50727014</v>
      </c>
      <c r="AI479" s="772" t="s">
        <v>233</v>
      </c>
      <c r="AK479" s="769" t="s">
        <v>519</v>
      </c>
      <c r="AL479" s="770" t="s">
        <v>494</v>
      </c>
      <c r="AM479" s="770" t="s">
        <v>507</v>
      </c>
      <c r="AN479" s="770" t="s">
        <v>616</v>
      </c>
      <c r="AO479" s="770" t="s">
        <v>493</v>
      </c>
      <c r="AP479" s="770" t="s">
        <v>504</v>
      </c>
      <c r="AQ479" s="770" t="s">
        <v>501</v>
      </c>
      <c r="AR479" s="784" t="s">
        <v>502</v>
      </c>
      <c r="AS479" s="771">
        <v>24.08545073</v>
      </c>
      <c r="AT479" s="771">
        <v>14.23844038</v>
      </c>
      <c r="AU479" s="771">
        <v>38.65253675</v>
      </c>
      <c r="AV479" s="989" t="s">
        <v>233</v>
      </c>
      <c r="AW479" s="714"/>
    </row>
    <row r="480">
      <c r="A480" s="761"/>
      <c r="B480" s="769" t="s">
        <v>493</v>
      </c>
      <c r="C480" s="770" t="s">
        <v>615</v>
      </c>
      <c r="D480" s="770" t="s">
        <v>494</v>
      </c>
      <c r="E480" s="770" t="s">
        <v>495</v>
      </c>
      <c r="F480" s="770" t="s">
        <v>523</v>
      </c>
      <c r="G480" s="770" t="s">
        <v>103</v>
      </c>
      <c r="H480" s="770">
        <v>2019.0</v>
      </c>
      <c r="I480" s="771">
        <v>4907.481828</v>
      </c>
      <c r="J480" s="771">
        <v>7238.988873</v>
      </c>
      <c r="K480" s="772">
        <v>3226.583411</v>
      </c>
      <c r="M480" s="769" t="s">
        <v>493</v>
      </c>
      <c r="N480" s="770" t="s">
        <v>615</v>
      </c>
      <c r="O480" s="770" t="s">
        <v>494</v>
      </c>
      <c r="P480" s="770" t="s">
        <v>495</v>
      </c>
      <c r="Q480" s="770" t="s">
        <v>523</v>
      </c>
      <c r="R480" s="770" t="s">
        <v>497</v>
      </c>
      <c r="S480" s="770">
        <v>2019.0</v>
      </c>
      <c r="T480" s="771">
        <v>29.42193615</v>
      </c>
      <c r="U480" s="771">
        <v>43.40007276</v>
      </c>
      <c r="V480" s="772">
        <v>19.34440807</v>
      </c>
      <c r="X480" s="769" t="s">
        <v>519</v>
      </c>
      <c r="Y480" s="770" t="s">
        <v>494</v>
      </c>
      <c r="Z480" s="770" t="s">
        <v>509</v>
      </c>
      <c r="AA480" s="770" t="s">
        <v>616</v>
      </c>
      <c r="AB480" s="770" t="s">
        <v>493</v>
      </c>
      <c r="AC480" s="770" t="s">
        <v>103</v>
      </c>
      <c r="AD480" s="770" t="s">
        <v>501</v>
      </c>
      <c r="AE480" s="784" t="s">
        <v>502</v>
      </c>
      <c r="AF480" s="771">
        <v>872.0518252</v>
      </c>
      <c r="AG480" s="771">
        <v>646.4811455</v>
      </c>
      <c r="AH480" s="771">
        <v>1120.806094</v>
      </c>
      <c r="AI480" s="772" t="s">
        <v>233</v>
      </c>
      <c r="AK480" s="769" t="s">
        <v>519</v>
      </c>
      <c r="AL480" s="770" t="s">
        <v>494</v>
      </c>
      <c r="AM480" s="770" t="s">
        <v>509</v>
      </c>
      <c r="AN480" s="770" t="s">
        <v>616</v>
      </c>
      <c r="AO480" s="770" t="s">
        <v>493</v>
      </c>
      <c r="AP480" s="770" t="s">
        <v>504</v>
      </c>
      <c r="AQ480" s="770" t="s">
        <v>501</v>
      </c>
      <c r="AR480" s="784" t="s">
        <v>502</v>
      </c>
      <c r="AS480" s="771">
        <v>7008.820472</v>
      </c>
      <c r="AT480" s="771">
        <v>5195.872718</v>
      </c>
      <c r="AU480" s="771">
        <v>9008.098452</v>
      </c>
      <c r="AV480" s="989" t="s">
        <v>233</v>
      </c>
      <c r="AW480" s="714"/>
    </row>
    <row r="481">
      <c r="A481" s="761"/>
      <c r="B481" s="769" t="s">
        <v>493</v>
      </c>
      <c r="C481" s="770" t="s">
        <v>615</v>
      </c>
      <c r="D481" s="770" t="s">
        <v>494</v>
      </c>
      <c r="E481" s="770" t="s">
        <v>505</v>
      </c>
      <c r="F481" s="770" t="s">
        <v>523</v>
      </c>
      <c r="G481" s="770" t="s">
        <v>103</v>
      </c>
      <c r="H481" s="770">
        <v>2019.0</v>
      </c>
      <c r="I481" s="771">
        <v>0.0</v>
      </c>
      <c r="J481" s="771">
        <v>0.0</v>
      </c>
      <c r="K481" s="772">
        <v>0.0</v>
      </c>
      <c r="M481" s="769" t="s">
        <v>493</v>
      </c>
      <c r="N481" s="770" t="s">
        <v>615</v>
      </c>
      <c r="O481" s="770" t="s">
        <v>494</v>
      </c>
      <c r="P481" s="770" t="s">
        <v>505</v>
      </c>
      <c r="Q481" s="770" t="s">
        <v>523</v>
      </c>
      <c r="R481" s="770" t="s">
        <v>497</v>
      </c>
      <c r="S481" s="770">
        <v>2019.0</v>
      </c>
      <c r="T481" s="771">
        <v>0.0</v>
      </c>
      <c r="U481" s="771">
        <v>0.0</v>
      </c>
      <c r="V481" s="772">
        <v>0.0</v>
      </c>
      <c r="X481" s="769" t="s">
        <v>519</v>
      </c>
      <c r="Y481" s="770" t="s">
        <v>494</v>
      </c>
      <c r="Z481" s="770" t="s">
        <v>513</v>
      </c>
      <c r="AA481" s="770" t="s">
        <v>616</v>
      </c>
      <c r="AB481" s="770" t="s">
        <v>493</v>
      </c>
      <c r="AC481" s="770" t="s">
        <v>103</v>
      </c>
      <c r="AD481" s="770" t="s">
        <v>501</v>
      </c>
      <c r="AE481" s="784" t="s">
        <v>502</v>
      </c>
      <c r="AF481" s="771">
        <v>6793.957632</v>
      </c>
      <c r="AG481" s="771">
        <v>5647.552137</v>
      </c>
      <c r="AH481" s="771">
        <v>8168.424066</v>
      </c>
      <c r="AI481" s="772" t="s">
        <v>233</v>
      </c>
      <c r="AK481" s="769" t="s">
        <v>519</v>
      </c>
      <c r="AL481" s="770" t="s">
        <v>494</v>
      </c>
      <c r="AM481" s="770" t="s">
        <v>513</v>
      </c>
      <c r="AN481" s="770" t="s">
        <v>616</v>
      </c>
      <c r="AO481" s="770" t="s">
        <v>493</v>
      </c>
      <c r="AP481" s="770" t="s">
        <v>504</v>
      </c>
      <c r="AQ481" s="770" t="s">
        <v>501</v>
      </c>
      <c r="AR481" s="784" t="s">
        <v>502</v>
      </c>
      <c r="AS481" s="771">
        <v>717.2092508</v>
      </c>
      <c r="AT481" s="771">
        <v>596.1880918</v>
      </c>
      <c r="AU481" s="771">
        <v>862.3058343</v>
      </c>
      <c r="AV481" s="989" t="s">
        <v>233</v>
      </c>
      <c r="AW481" s="714"/>
    </row>
    <row r="482">
      <c r="A482" s="761"/>
      <c r="B482" s="769" t="s">
        <v>493</v>
      </c>
      <c r="C482" s="770" t="s">
        <v>615</v>
      </c>
      <c r="D482" s="770" t="s">
        <v>494</v>
      </c>
      <c r="E482" s="770" t="s">
        <v>508</v>
      </c>
      <c r="F482" s="770" t="s">
        <v>523</v>
      </c>
      <c r="G482" s="770" t="s">
        <v>103</v>
      </c>
      <c r="H482" s="770">
        <v>2019.0</v>
      </c>
      <c r="I482" s="771">
        <v>2136.543022</v>
      </c>
      <c r="J482" s="771">
        <v>3283.476416</v>
      </c>
      <c r="K482" s="772">
        <v>1354.87316</v>
      </c>
      <c r="M482" s="769" t="s">
        <v>493</v>
      </c>
      <c r="N482" s="770" t="s">
        <v>615</v>
      </c>
      <c r="O482" s="770" t="s">
        <v>494</v>
      </c>
      <c r="P482" s="770" t="s">
        <v>508</v>
      </c>
      <c r="Q482" s="770" t="s">
        <v>523</v>
      </c>
      <c r="R482" s="770" t="s">
        <v>497</v>
      </c>
      <c r="S482" s="770">
        <v>2019.0</v>
      </c>
      <c r="T482" s="771">
        <v>66.2487295</v>
      </c>
      <c r="U482" s="771">
        <v>101.8121979</v>
      </c>
      <c r="V482" s="772">
        <v>42.01114818</v>
      </c>
      <c r="X482" s="769" t="s">
        <v>521</v>
      </c>
      <c r="Y482" s="770" t="s">
        <v>494</v>
      </c>
      <c r="Z482" s="770" t="s">
        <v>499</v>
      </c>
      <c r="AA482" s="770" t="s">
        <v>616</v>
      </c>
      <c r="AB482" s="770" t="s">
        <v>493</v>
      </c>
      <c r="AC482" s="770" t="s">
        <v>103</v>
      </c>
      <c r="AD482" s="770" t="s">
        <v>501</v>
      </c>
      <c r="AE482" s="784" t="s">
        <v>502</v>
      </c>
      <c r="AF482" s="771">
        <v>0.0</v>
      </c>
      <c r="AG482" s="771">
        <v>0.0</v>
      </c>
      <c r="AH482" s="771">
        <v>0.0</v>
      </c>
      <c r="AI482" s="772" t="s">
        <v>233</v>
      </c>
      <c r="AK482" s="769" t="s">
        <v>521</v>
      </c>
      <c r="AL482" s="770" t="s">
        <v>494</v>
      </c>
      <c r="AM482" s="770" t="s">
        <v>499</v>
      </c>
      <c r="AN482" s="770" t="s">
        <v>616</v>
      </c>
      <c r="AO482" s="770" t="s">
        <v>493</v>
      </c>
      <c r="AP482" s="770" t="s">
        <v>504</v>
      </c>
      <c r="AQ482" s="770" t="s">
        <v>501</v>
      </c>
      <c r="AR482" s="784" t="s">
        <v>502</v>
      </c>
      <c r="AS482" s="771">
        <v>0.0</v>
      </c>
      <c r="AT482" s="771">
        <v>0.0</v>
      </c>
      <c r="AU482" s="771">
        <v>0.0</v>
      </c>
      <c r="AV482" s="989" t="s">
        <v>233</v>
      </c>
      <c r="AW482" s="714"/>
    </row>
    <row r="483">
      <c r="A483" s="761"/>
      <c r="B483" s="769" t="s">
        <v>493</v>
      </c>
      <c r="C483" s="770" t="s">
        <v>615</v>
      </c>
      <c r="D483" s="770" t="s">
        <v>494</v>
      </c>
      <c r="E483" s="770" t="s">
        <v>512</v>
      </c>
      <c r="F483" s="770" t="s">
        <v>523</v>
      </c>
      <c r="G483" s="770" t="s">
        <v>103</v>
      </c>
      <c r="H483" s="770">
        <v>2019.0</v>
      </c>
      <c r="I483" s="771">
        <v>0.0</v>
      </c>
      <c r="J483" s="771">
        <v>0.0</v>
      </c>
      <c r="K483" s="772">
        <v>0.0</v>
      </c>
      <c r="M483" s="769" t="s">
        <v>493</v>
      </c>
      <c r="N483" s="770" t="s">
        <v>615</v>
      </c>
      <c r="O483" s="770" t="s">
        <v>494</v>
      </c>
      <c r="P483" s="770" t="s">
        <v>512</v>
      </c>
      <c r="Q483" s="770" t="s">
        <v>523</v>
      </c>
      <c r="R483" s="770" t="s">
        <v>497</v>
      </c>
      <c r="S483" s="770">
        <v>2019.0</v>
      </c>
      <c r="T483" s="771">
        <v>0.0</v>
      </c>
      <c r="U483" s="771">
        <v>0.0</v>
      </c>
      <c r="V483" s="772">
        <v>0.0</v>
      </c>
      <c r="X483" s="769" t="s">
        <v>521</v>
      </c>
      <c r="Y483" s="770" t="s">
        <v>494</v>
      </c>
      <c r="Z483" s="770" t="s">
        <v>507</v>
      </c>
      <c r="AA483" s="770" t="s">
        <v>616</v>
      </c>
      <c r="AB483" s="770" t="s">
        <v>493</v>
      </c>
      <c r="AC483" s="770" t="s">
        <v>103</v>
      </c>
      <c r="AD483" s="770" t="s">
        <v>501</v>
      </c>
      <c r="AE483" s="784" t="s">
        <v>502</v>
      </c>
      <c r="AF483" s="771">
        <v>69.54205506</v>
      </c>
      <c r="AG483" s="771">
        <v>21.75613824</v>
      </c>
      <c r="AH483" s="771">
        <v>170.8875249</v>
      </c>
      <c r="AI483" s="772" t="s">
        <v>233</v>
      </c>
      <c r="AK483" s="769" t="s">
        <v>521</v>
      </c>
      <c r="AL483" s="770" t="s">
        <v>494</v>
      </c>
      <c r="AM483" s="770" t="s">
        <v>507</v>
      </c>
      <c r="AN483" s="770" t="s">
        <v>616</v>
      </c>
      <c r="AO483" s="770" t="s">
        <v>493</v>
      </c>
      <c r="AP483" s="770" t="s">
        <v>504</v>
      </c>
      <c r="AQ483" s="770" t="s">
        <v>501</v>
      </c>
      <c r="AR483" s="784" t="s">
        <v>502</v>
      </c>
      <c r="AS483" s="771">
        <v>36.07670545</v>
      </c>
      <c r="AT483" s="771">
        <v>11.2865487</v>
      </c>
      <c r="AU483" s="771">
        <v>88.65223922</v>
      </c>
      <c r="AV483" s="989" t="s">
        <v>233</v>
      </c>
      <c r="AW483" s="714"/>
    </row>
    <row r="484">
      <c r="A484" s="761"/>
      <c r="B484" s="769" t="s">
        <v>493</v>
      </c>
      <c r="C484" s="770" t="s">
        <v>618</v>
      </c>
      <c r="D484" s="770" t="s">
        <v>494</v>
      </c>
      <c r="E484" s="770" t="s">
        <v>495</v>
      </c>
      <c r="F484" s="770" t="s">
        <v>496</v>
      </c>
      <c r="G484" s="770" t="s">
        <v>103</v>
      </c>
      <c r="H484" s="770">
        <v>2019.0</v>
      </c>
      <c r="I484" s="771">
        <v>1295.453947</v>
      </c>
      <c r="J484" s="771">
        <v>1812.289472</v>
      </c>
      <c r="K484" s="772">
        <v>927.8776396</v>
      </c>
      <c r="M484" s="769" t="s">
        <v>493</v>
      </c>
      <c r="N484" s="770" t="s">
        <v>618</v>
      </c>
      <c r="O484" s="770" t="s">
        <v>494</v>
      </c>
      <c r="P484" s="770" t="s">
        <v>495</v>
      </c>
      <c r="Q484" s="770" t="s">
        <v>496</v>
      </c>
      <c r="R484" s="770" t="s">
        <v>497</v>
      </c>
      <c r="S484" s="770">
        <v>2019.0</v>
      </c>
      <c r="T484" s="771">
        <v>641.241771</v>
      </c>
      <c r="U484" s="771">
        <v>897.0721904</v>
      </c>
      <c r="V484" s="772">
        <v>459.2937496</v>
      </c>
      <c r="X484" s="769" t="s">
        <v>521</v>
      </c>
      <c r="Y484" s="770" t="s">
        <v>494</v>
      </c>
      <c r="Z484" s="770" t="s">
        <v>509</v>
      </c>
      <c r="AA484" s="770" t="s">
        <v>616</v>
      </c>
      <c r="AB484" s="770" t="s">
        <v>493</v>
      </c>
      <c r="AC484" s="770" t="s">
        <v>103</v>
      </c>
      <c r="AD484" s="770" t="s">
        <v>501</v>
      </c>
      <c r="AE484" s="784" t="s">
        <v>502</v>
      </c>
      <c r="AF484" s="771">
        <v>0.0</v>
      </c>
      <c r="AG484" s="771">
        <v>0.0</v>
      </c>
      <c r="AH484" s="771">
        <v>0.0</v>
      </c>
      <c r="AI484" s="772" t="s">
        <v>233</v>
      </c>
      <c r="AK484" s="769" t="s">
        <v>521</v>
      </c>
      <c r="AL484" s="770" t="s">
        <v>494</v>
      </c>
      <c r="AM484" s="770" t="s">
        <v>509</v>
      </c>
      <c r="AN484" s="770" t="s">
        <v>616</v>
      </c>
      <c r="AO484" s="770" t="s">
        <v>493</v>
      </c>
      <c r="AP484" s="770" t="s">
        <v>504</v>
      </c>
      <c r="AQ484" s="770" t="s">
        <v>501</v>
      </c>
      <c r="AR484" s="784" t="s">
        <v>502</v>
      </c>
      <c r="AS484" s="771">
        <v>0.0</v>
      </c>
      <c r="AT484" s="771">
        <v>0.0</v>
      </c>
      <c r="AU484" s="771">
        <v>0.0</v>
      </c>
      <c r="AV484" s="989" t="s">
        <v>233</v>
      </c>
      <c r="AW484" s="714"/>
    </row>
    <row r="485">
      <c r="A485" s="761"/>
      <c r="B485" s="769" t="s">
        <v>493</v>
      </c>
      <c r="C485" s="770" t="s">
        <v>618</v>
      </c>
      <c r="D485" s="770" t="s">
        <v>494</v>
      </c>
      <c r="E485" s="770" t="s">
        <v>505</v>
      </c>
      <c r="F485" s="770" t="s">
        <v>496</v>
      </c>
      <c r="G485" s="770" t="s">
        <v>103</v>
      </c>
      <c r="H485" s="770">
        <v>2019.0</v>
      </c>
      <c r="I485" s="771">
        <v>554.6574456</v>
      </c>
      <c r="J485" s="771">
        <v>776.4228756</v>
      </c>
      <c r="K485" s="772">
        <v>396.9972701</v>
      </c>
      <c r="M485" s="769" t="s">
        <v>493</v>
      </c>
      <c r="N485" s="770" t="s">
        <v>618</v>
      </c>
      <c r="O485" s="770" t="s">
        <v>494</v>
      </c>
      <c r="P485" s="770" t="s">
        <v>505</v>
      </c>
      <c r="Q485" s="770" t="s">
        <v>496</v>
      </c>
      <c r="R485" s="770" t="s">
        <v>497</v>
      </c>
      <c r="S485" s="770">
        <v>2019.0</v>
      </c>
      <c r="T485" s="771">
        <v>68429.53213</v>
      </c>
      <c r="U485" s="771">
        <v>95789.31019</v>
      </c>
      <c r="V485" s="772">
        <v>48978.58609</v>
      </c>
      <c r="X485" s="769" t="s">
        <v>521</v>
      </c>
      <c r="Y485" s="770" t="s">
        <v>494</v>
      </c>
      <c r="Z485" s="770" t="s">
        <v>513</v>
      </c>
      <c r="AA485" s="770" t="s">
        <v>616</v>
      </c>
      <c r="AB485" s="770" t="s">
        <v>493</v>
      </c>
      <c r="AC485" s="770" t="s">
        <v>103</v>
      </c>
      <c r="AD485" s="770" t="s">
        <v>501</v>
      </c>
      <c r="AE485" s="784" t="s">
        <v>502</v>
      </c>
      <c r="AF485" s="771">
        <v>389.2271019</v>
      </c>
      <c r="AG485" s="771">
        <v>120.8530531</v>
      </c>
      <c r="AH485" s="771">
        <v>920.0550698</v>
      </c>
      <c r="AI485" s="772" t="s">
        <v>233</v>
      </c>
      <c r="AK485" s="769" t="s">
        <v>521</v>
      </c>
      <c r="AL485" s="770" t="s">
        <v>494</v>
      </c>
      <c r="AM485" s="770" t="s">
        <v>513</v>
      </c>
      <c r="AN485" s="770" t="s">
        <v>616</v>
      </c>
      <c r="AO485" s="770" t="s">
        <v>493</v>
      </c>
      <c r="AP485" s="770" t="s">
        <v>504</v>
      </c>
      <c r="AQ485" s="770" t="s">
        <v>501</v>
      </c>
      <c r="AR485" s="784" t="s">
        <v>502</v>
      </c>
      <c r="AS485" s="771">
        <v>41.08905196</v>
      </c>
      <c r="AT485" s="771">
        <v>12.75794351</v>
      </c>
      <c r="AU485" s="771">
        <v>97.12630591</v>
      </c>
      <c r="AV485" s="989" t="s">
        <v>233</v>
      </c>
      <c r="AW485" s="714"/>
    </row>
    <row r="486">
      <c r="A486" s="761"/>
      <c r="B486" s="769" t="s">
        <v>493</v>
      </c>
      <c r="C486" s="770" t="s">
        <v>618</v>
      </c>
      <c r="D486" s="770" t="s">
        <v>494</v>
      </c>
      <c r="E486" s="770" t="s">
        <v>508</v>
      </c>
      <c r="F486" s="770" t="s">
        <v>496</v>
      </c>
      <c r="G486" s="770" t="s">
        <v>103</v>
      </c>
      <c r="H486" s="770">
        <v>2019.0</v>
      </c>
      <c r="I486" s="771">
        <v>302.4549746</v>
      </c>
      <c r="J486" s="771">
        <v>424.9035948</v>
      </c>
      <c r="K486" s="772">
        <v>216.3108221</v>
      </c>
      <c r="M486" s="769" t="s">
        <v>493</v>
      </c>
      <c r="N486" s="770" t="s">
        <v>618</v>
      </c>
      <c r="O486" s="770" t="s">
        <v>494</v>
      </c>
      <c r="P486" s="770" t="s">
        <v>508</v>
      </c>
      <c r="Q486" s="770" t="s">
        <v>496</v>
      </c>
      <c r="R486" s="770" t="s">
        <v>497</v>
      </c>
      <c r="S486" s="770">
        <v>2019.0</v>
      </c>
      <c r="T486" s="771">
        <v>790.9445474</v>
      </c>
      <c r="U486" s="771">
        <v>1111.157725</v>
      </c>
      <c r="V486" s="772">
        <v>565.6705283</v>
      </c>
      <c r="X486" s="769" t="s">
        <v>523</v>
      </c>
      <c r="Y486" s="770" t="s">
        <v>494</v>
      </c>
      <c r="Z486" s="770" t="s">
        <v>507</v>
      </c>
      <c r="AA486" s="770" t="s">
        <v>616</v>
      </c>
      <c r="AB486" s="770" t="s">
        <v>493</v>
      </c>
      <c r="AC486" s="770" t="s">
        <v>103</v>
      </c>
      <c r="AD486" s="770" t="s">
        <v>501</v>
      </c>
      <c r="AE486" s="784" t="s">
        <v>502</v>
      </c>
      <c r="AF486" s="771">
        <v>93.88567595</v>
      </c>
      <c r="AG486" s="771">
        <v>47.01017432</v>
      </c>
      <c r="AH486" s="771">
        <v>173.2733991</v>
      </c>
      <c r="AI486" s="772" t="s">
        <v>233</v>
      </c>
      <c r="AK486" s="769" t="s">
        <v>523</v>
      </c>
      <c r="AL486" s="770" t="s">
        <v>494</v>
      </c>
      <c r="AM486" s="770" t="s">
        <v>507</v>
      </c>
      <c r="AN486" s="770" t="s">
        <v>616</v>
      </c>
      <c r="AO486" s="770" t="s">
        <v>493</v>
      </c>
      <c r="AP486" s="770" t="s">
        <v>504</v>
      </c>
      <c r="AQ486" s="770" t="s">
        <v>501</v>
      </c>
      <c r="AR486" s="784" t="s">
        <v>502</v>
      </c>
      <c r="AS486" s="771">
        <v>48.70557642</v>
      </c>
      <c r="AT486" s="771">
        <v>24.38772065</v>
      </c>
      <c r="AU486" s="771">
        <v>89.88997199</v>
      </c>
      <c r="AV486" s="989" t="s">
        <v>233</v>
      </c>
      <c r="AW486" s="714"/>
    </row>
    <row r="487">
      <c r="A487" s="761"/>
      <c r="B487" s="769" t="s">
        <v>493</v>
      </c>
      <c r="C487" s="770" t="s">
        <v>618</v>
      </c>
      <c r="D487" s="770" t="s">
        <v>494</v>
      </c>
      <c r="E487" s="770" t="s">
        <v>512</v>
      </c>
      <c r="F487" s="770" t="s">
        <v>496</v>
      </c>
      <c r="G487" s="770" t="s">
        <v>103</v>
      </c>
      <c r="H487" s="770">
        <v>2019.0</v>
      </c>
      <c r="I487" s="771">
        <v>125.6253428</v>
      </c>
      <c r="J487" s="771">
        <v>175.7030653</v>
      </c>
      <c r="K487" s="772">
        <v>89.85282113</v>
      </c>
      <c r="M487" s="769" t="s">
        <v>493</v>
      </c>
      <c r="N487" s="770" t="s">
        <v>618</v>
      </c>
      <c r="O487" s="770" t="s">
        <v>494</v>
      </c>
      <c r="P487" s="770" t="s">
        <v>512</v>
      </c>
      <c r="Q487" s="770" t="s">
        <v>496</v>
      </c>
      <c r="R487" s="770" t="s">
        <v>497</v>
      </c>
      <c r="S487" s="770">
        <v>2019.0</v>
      </c>
      <c r="T487" s="771">
        <v>5210.495408</v>
      </c>
      <c r="U487" s="771">
        <v>7287.542422</v>
      </c>
      <c r="V487" s="772">
        <v>3726.777587</v>
      </c>
      <c r="X487" s="769" t="s">
        <v>523</v>
      </c>
      <c r="Y487" s="770" t="s">
        <v>494</v>
      </c>
      <c r="Z487" s="770" t="s">
        <v>513</v>
      </c>
      <c r="AA487" s="770" t="s">
        <v>616</v>
      </c>
      <c r="AB487" s="770" t="s">
        <v>493</v>
      </c>
      <c r="AC487" s="770" t="s">
        <v>103</v>
      </c>
      <c r="AD487" s="770" t="s">
        <v>501</v>
      </c>
      <c r="AE487" s="784" t="s">
        <v>502</v>
      </c>
      <c r="AF487" s="771">
        <v>227.8693983</v>
      </c>
      <c r="AG487" s="771">
        <v>132.1733434</v>
      </c>
      <c r="AH487" s="771">
        <v>375.5440495</v>
      </c>
      <c r="AI487" s="772" t="s">
        <v>233</v>
      </c>
      <c r="AK487" s="769" t="s">
        <v>523</v>
      </c>
      <c r="AL487" s="770" t="s">
        <v>494</v>
      </c>
      <c r="AM487" s="770" t="s">
        <v>513</v>
      </c>
      <c r="AN487" s="770" t="s">
        <v>616</v>
      </c>
      <c r="AO487" s="770" t="s">
        <v>493</v>
      </c>
      <c r="AP487" s="770" t="s">
        <v>504</v>
      </c>
      <c r="AQ487" s="770" t="s">
        <v>501</v>
      </c>
      <c r="AR487" s="784" t="s">
        <v>502</v>
      </c>
      <c r="AS487" s="771">
        <v>24.05520453</v>
      </c>
      <c r="AT487" s="771">
        <v>13.95297847</v>
      </c>
      <c r="AU487" s="771">
        <v>39.64459023</v>
      </c>
      <c r="AV487" s="989" t="s">
        <v>233</v>
      </c>
      <c r="AW487" s="714"/>
    </row>
    <row r="488">
      <c r="A488" s="761"/>
      <c r="B488" s="769" t="s">
        <v>493</v>
      </c>
      <c r="C488" s="770" t="s">
        <v>618</v>
      </c>
      <c r="D488" s="770" t="s">
        <v>494</v>
      </c>
      <c r="E488" s="770" t="s">
        <v>495</v>
      </c>
      <c r="F488" s="770" t="s">
        <v>514</v>
      </c>
      <c r="G488" s="770" t="s">
        <v>103</v>
      </c>
      <c r="H488" s="770">
        <v>2019.0</v>
      </c>
      <c r="I488" s="771">
        <v>1100.429071</v>
      </c>
      <c r="J488" s="771">
        <v>1540.306431</v>
      </c>
      <c r="K488" s="772">
        <v>789.282103</v>
      </c>
      <c r="M488" s="769" t="s">
        <v>493</v>
      </c>
      <c r="N488" s="770" t="s">
        <v>618</v>
      </c>
      <c r="O488" s="770" t="s">
        <v>494</v>
      </c>
      <c r="P488" s="770" t="s">
        <v>495</v>
      </c>
      <c r="Q488" s="770" t="s">
        <v>514</v>
      </c>
      <c r="R488" s="770" t="s">
        <v>497</v>
      </c>
      <c r="S488" s="770">
        <v>2019.0</v>
      </c>
      <c r="T488" s="771">
        <v>544.7056516</v>
      </c>
      <c r="U488" s="771">
        <v>762.4422507</v>
      </c>
      <c r="V488" s="772">
        <v>390.6898076</v>
      </c>
      <c r="X488" s="769" t="s">
        <v>496</v>
      </c>
      <c r="Y488" s="770" t="s">
        <v>494</v>
      </c>
      <c r="Z488" s="770" t="s">
        <v>499</v>
      </c>
      <c r="AA488" s="770" t="s">
        <v>37</v>
      </c>
      <c r="AB488" s="770" t="s">
        <v>493</v>
      </c>
      <c r="AC488" s="770" t="s">
        <v>103</v>
      </c>
      <c r="AD488" s="770" t="s">
        <v>501</v>
      </c>
      <c r="AE488" s="784" t="s">
        <v>502</v>
      </c>
      <c r="AF488" s="771">
        <v>1489.287</v>
      </c>
      <c r="AG488" s="771">
        <v>1186.138285</v>
      </c>
      <c r="AH488" s="771">
        <v>1870.245123</v>
      </c>
      <c r="AI488" s="772" t="s">
        <v>233</v>
      </c>
      <c r="AK488" s="769" t="s">
        <v>496</v>
      </c>
      <c r="AL488" s="770" t="s">
        <v>494</v>
      </c>
      <c r="AM488" s="770" t="s">
        <v>499</v>
      </c>
      <c r="AN488" s="770" t="s">
        <v>37</v>
      </c>
      <c r="AO488" s="770" t="s">
        <v>493</v>
      </c>
      <c r="AP488" s="770" t="s">
        <v>504</v>
      </c>
      <c r="AQ488" s="770" t="s">
        <v>501</v>
      </c>
      <c r="AR488" s="784" t="s">
        <v>502</v>
      </c>
      <c r="AS488" s="771">
        <v>120125.1928</v>
      </c>
      <c r="AT488" s="771">
        <v>95673.35924</v>
      </c>
      <c r="AU488" s="771">
        <v>150853.0968</v>
      </c>
      <c r="AV488" s="989" t="s">
        <v>233</v>
      </c>
      <c r="AW488" s="714"/>
    </row>
    <row r="489">
      <c r="A489" s="761"/>
      <c r="B489" s="769" t="s">
        <v>493</v>
      </c>
      <c r="C489" s="770" t="s">
        <v>618</v>
      </c>
      <c r="D489" s="770" t="s">
        <v>494</v>
      </c>
      <c r="E489" s="770" t="s">
        <v>505</v>
      </c>
      <c r="F489" s="770" t="s">
        <v>514</v>
      </c>
      <c r="G489" s="770" t="s">
        <v>103</v>
      </c>
      <c r="H489" s="770">
        <v>2019.0</v>
      </c>
      <c r="I489" s="771">
        <v>499.2789841</v>
      </c>
      <c r="J489" s="771">
        <v>694.9840081</v>
      </c>
      <c r="K489" s="772">
        <v>355.9851415</v>
      </c>
      <c r="M489" s="769" t="s">
        <v>493</v>
      </c>
      <c r="N489" s="770" t="s">
        <v>618</v>
      </c>
      <c r="O489" s="770" t="s">
        <v>494</v>
      </c>
      <c r="P489" s="770" t="s">
        <v>505</v>
      </c>
      <c r="Q489" s="770" t="s">
        <v>514</v>
      </c>
      <c r="R489" s="770" t="s">
        <v>497</v>
      </c>
      <c r="S489" s="770">
        <v>2019.0</v>
      </c>
      <c r="T489" s="771">
        <v>61597.34725</v>
      </c>
      <c r="U489" s="771">
        <v>85741.98523</v>
      </c>
      <c r="V489" s="772">
        <v>43918.81308</v>
      </c>
      <c r="X489" s="769" t="s">
        <v>496</v>
      </c>
      <c r="Y489" s="770" t="s">
        <v>494</v>
      </c>
      <c r="Z489" s="770" t="s">
        <v>507</v>
      </c>
      <c r="AA489" s="770" t="s">
        <v>37</v>
      </c>
      <c r="AB489" s="770" t="s">
        <v>493</v>
      </c>
      <c r="AC489" s="770" t="s">
        <v>103</v>
      </c>
      <c r="AD489" s="770" t="s">
        <v>501</v>
      </c>
      <c r="AE489" s="784" t="s">
        <v>502</v>
      </c>
      <c r="AF489" s="771">
        <v>901.7446937</v>
      </c>
      <c r="AG489" s="771">
        <v>716.5700845</v>
      </c>
      <c r="AH489" s="771">
        <v>1135.535932</v>
      </c>
      <c r="AI489" s="772" t="s">
        <v>233</v>
      </c>
      <c r="AK489" s="769" t="s">
        <v>496</v>
      </c>
      <c r="AL489" s="770" t="s">
        <v>494</v>
      </c>
      <c r="AM489" s="770" t="s">
        <v>507</v>
      </c>
      <c r="AN489" s="770" t="s">
        <v>37</v>
      </c>
      <c r="AO489" s="770" t="s">
        <v>493</v>
      </c>
      <c r="AP489" s="770" t="s">
        <v>504</v>
      </c>
      <c r="AQ489" s="770" t="s">
        <v>501</v>
      </c>
      <c r="AR489" s="784" t="s">
        <v>502</v>
      </c>
      <c r="AS489" s="771">
        <v>1521.36698</v>
      </c>
      <c r="AT489" s="771">
        <v>1208.952016</v>
      </c>
      <c r="AU489" s="771">
        <v>1915.804864</v>
      </c>
      <c r="AV489" s="989" t="s">
        <v>233</v>
      </c>
      <c r="AW489" s="714"/>
    </row>
    <row r="490">
      <c r="A490" s="761"/>
      <c r="B490" s="769" t="s">
        <v>493</v>
      </c>
      <c r="C490" s="770" t="s">
        <v>618</v>
      </c>
      <c r="D490" s="770" t="s">
        <v>494</v>
      </c>
      <c r="E490" s="770" t="s">
        <v>508</v>
      </c>
      <c r="F490" s="770" t="s">
        <v>514</v>
      </c>
      <c r="G490" s="770" t="s">
        <v>103</v>
      </c>
      <c r="H490" s="770">
        <v>2019.0</v>
      </c>
      <c r="I490" s="771">
        <v>250.5203731</v>
      </c>
      <c r="J490" s="771">
        <v>352.3798396</v>
      </c>
      <c r="K490" s="772">
        <v>180.9390799</v>
      </c>
      <c r="M490" s="769" t="s">
        <v>493</v>
      </c>
      <c r="N490" s="770" t="s">
        <v>618</v>
      </c>
      <c r="O490" s="770" t="s">
        <v>494</v>
      </c>
      <c r="P490" s="770" t="s">
        <v>508</v>
      </c>
      <c r="Q490" s="770" t="s">
        <v>514</v>
      </c>
      <c r="R490" s="770" t="s">
        <v>497</v>
      </c>
      <c r="S490" s="770">
        <v>2019.0</v>
      </c>
      <c r="T490" s="771">
        <v>655.131308</v>
      </c>
      <c r="U490" s="771">
        <v>921.502161</v>
      </c>
      <c r="V490" s="772">
        <v>473.1705234</v>
      </c>
      <c r="X490" s="769" t="s">
        <v>496</v>
      </c>
      <c r="Y490" s="770" t="s">
        <v>494</v>
      </c>
      <c r="Z490" s="770" t="s">
        <v>509</v>
      </c>
      <c r="AA490" s="770" t="s">
        <v>37</v>
      </c>
      <c r="AB490" s="770" t="s">
        <v>493</v>
      </c>
      <c r="AC490" s="770" t="s">
        <v>103</v>
      </c>
      <c r="AD490" s="770" t="s">
        <v>501</v>
      </c>
      <c r="AE490" s="784" t="s">
        <v>502</v>
      </c>
      <c r="AF490" s="771">
        <v>256.7525313</v>
      </c>
      <c r="AG490" s="771">
        <v>202.0214788</v>
      </c>
      <c r="AH490" s="771">
        <v>325.6287913</v>
      </c>
      <c r="AI490" s="772" t="s">
        <v>233</v>
      </c>
      <c r="AK490" s="769" t="s">
        <v>496</v>
      </c>
      <c r="AL490" s="770" t="s">
        <v>494</v>
      </c>
      <c r="AM490" s="770" t="s">
        <v>509</v>
      </c>
      <c r="AN490" s="770" t="s">
        <v>37</v>
      </c>
      <c r="AO490" s="770" t="s">
        <v>493</v>
      </c>
      <c r="AP490" s="770" t="s">
        <v>504</v>
      </c>
      <c r="AQ490" s="770" t="s">
        <v>501</v>
      </c>
      <c r="AR490" s="784" t="s">
        <v>502</v>
      </c>
      <c r="AS490" s="771">
        <v>6991.153118</v>
      </c>
      <c r="AT490" s="771">
        <v>5500.873094</v>
      </c>
      <c r="AU490" s="771">
        <v>8866.595114</v>
      </c>
      <c r="AV490" s="989" t="s">
        <v>233</v>
      </c>
      <c r="AW490" s="714"/>
    </row>
    <row r="491">
      <c r="A491" s="761"/>
      <c r="B491" s="769" t="s">
        <v>493</v>
      </c>
      <c r="C491" s="770" t="s">
        <v>618</v>
      </c>
      <c r="D491" s="770" t="s">
        <v>494</v>
      </c>
      <c r="E491" s="770" t="s">
        <v>512</v>
      </c>
      <c r="F491" s="770" t="s">
        <v>514</v>
      </c>
      <c r="G491" s="770" t="s">
        <v>103</v>
      </c>
      <c r="H491" s="770">
        <v>2019.0</v>
      </c>
      <c r="I491" s="771">
        <v>107.4129179</v>
      </c>
      <c r="J491" s="771">
        <v>151.8826284</v>
      </c>
      <c r="K491" s="772">
        <v>76.18818069</v>
      </c>
      <c r="M491" s="769" t="s">
        <v>493</v>
      </c>
      <c r="N491" s="770" t="s">
        <v>618</v>
      </c>
      <c r="O491" s="770" t="s">
        <v>494</v>
      </c>
      <c r="P491" s="770" t="s">
        <v>512</v>
      </c>
      <c r="Q491" s="770" t="s">
        <v>514</v>
      </c>
      <c r="R491" s="770" t="s">
        <v>497</v>
      </c>
      <c r="S491" s="770">
        <v>2019.0</v>
      </c>
      <c r="T491" s="771">
        <v>4455.108367</v>
      </c>
      <c r="U491" s="771">
        <v>6299.554854</v>
      </c>
      <c r="V491" s="772">
        <v>3160.016576</v>
      </c>
      <c r="X491" s="769" t="s">
        <v>496</v>
      </c>
      <c r="Y491" s="770" t="s">
        <v>494</v>
      </c>
      <c r="Z491" s="770" t="s">
        <v>513</v>
      </c>
      <c r="AA491" s="770" t="s">
        <v>37</v>
      </c>
      <c r="AB491" s="770" t="s">
        <v>493</v>
      </c>
      <c r="AC491" s="770" t="s">
        <v>103</v>
      </c>
      <c r="AD491" s="770" t="s">
        <v>501</v>
      </c>
      <c r="AE491" s="784" t="s">
        <v>502</v>
      </c>
      <c r="AF491" s="771">
        <v>3662.544731</v>
      </c>
      <c r="AG491" s="771">
        <v>2903.675519</v>
      </c>
      <c r="AH491" s="771">
        <v>4624.707667</v>
      </c>
      <c r="AI491" s="772" t="s">
        <v>233</v>
      </c>
      <c r="AK491" s="769" t="s">
        <v>496</v>
      </c>
      <c r="AL491" s="770" t="s">
        <v>494</v>
      </c>
      <c r="AM491" s="770" t="s">
        <v>513</v>
      </c>
      <c r="AN491" s="770" t="s">
        <v>37</v>
      </c>
      <c r="AO491" s="770" t="s">
        <v>493</v>
      </c>
      <c r="AP491" s="770" t="s">
        <v>504</v>
      </c>
      <c r="AQ491" s="770" t="s">
        <v>501</v>
      </c>
      <c r="AR491" s="784" t="s">
        <v>502</v>
      </c>
      <c r="AS491" s="771">
        <v>1097.602879</v>
      </c>
      <c r="AT491" s="771">
        <v>870.1825764</v>
      </c>
      <c r="AU491" s="771">
        <v>1385.946882</v>
      </c>
      <c r="AV491" s="989" t="s">
        <v>233</v>
      </c>
      <c r="AW491" s="714"/>
    </row>
    <row r="492">
      <c r="A492" s="761"/>
      <c r="B492" s="769" t="s">
        <v>493</v>
      </c>
      <c r="C492" s="770" t="s">
        <v>618</v>
      </c>
      <c r="D492" s="770" t="s">
        <v>494</v>
      </c>
      <c r="E492" s="770" t="s">
        <v>495</v>
      </c>
      <c r="F492" s="770" t="s">
        <v>518</v>
      </c>
      <c r="G492" s="770" t="s">
        <v>103</v>
      </c>
      <c r="H492" s="770">
        <v>2019.0</v>
      </c>
      <c r="I492" s="771">
        <v>90.94526985</v>
      </c>
      <c r="J492" s="771">
        <v>189.8772344</v>
      </c>
      <c r="K492" s="772">
        <v>32.40792107</v>
      </c>
      <c r="M492" s="769" t="s">
        <v>493</v>
      </c>
      <c r="N492" s="770" t="s">
        <v>618</v>
      </c>
      <c r="O492" s="770" t="s">
        <v>494</v>
      </c>
      <c r="P492" s="770" t="s">
        <v>495</v>
      </c>
      <c r="Q492" s="770" t="s">
        <v>518</v>
      </c>
      <c r="R492" s="770" t="s">
        <v>497</v>
      </c>
      <c r="S492" s="770">
        <v>2019.0</v>
      </c>
      <c r="T492" s="771">
        <v>45.01735165</v>
      </c>
      <c r="U492" s="771">
        <v>93.98806828</v>
      </c>
      <c r="V492" s="772">
        <v>16.04172247</v>
      </c>
      <c r="X492" s="769" t="s">
        <v>514</v>
      </c>
      <c r="Y492" s="770" t="s">
        <v>494</v>
      </c>
      <c r="Z492" s="770" t="s">
        <v>499</v>
      </c>
      <c r="AA492" s="770" t="s">
        <v>37</v>
      </c>
      <c r="AB492" s="770" t="s">
        <v>493</v>
      </c>
      <c r="AC492" s="770" t="s">
        <v>103</v>
      </c>
      <c r="AD492" s="770" t="s">
        <v>501</v>
      </c>
      <c r="AE492" s="784" t="s">
        <v>502</v>
      </c>
      <c r="AF492" s="771">
        <v>1368.3101</v>
      </c>
      <c r="AG492" s="771">
        <v>1087.819057</v>
      </c>
      <c r="AH492" s="771">
        <v>1731.435677</v>
      </c>
      <c r="AI492" s="772" t="s">
        <v>233</v>
      </c>
      <c r="AK492" s="769" t="s">
        <v>514</v>
      </c>
      <c r="AL492" s="770" t="s">
        <v>494</v>
      </c>
      <c r="AM492" s="770" t="s">
        <v>499</v>
      </c>
      <c r="AN492" s="770" t="s">
        <v>37</v>
      </c>
      <c r="AO492" s="770" t="s">
        <v>493</v>
      </c>
      <c r="AP492" s="770" t="s">
        <v>504</v>
      </c>
      <c r="AQ492" s="770" t="s">
        <v>501</v>
      </c>
      <c r="AR492" s="784" t="s">
        <v>502</v>
      </c>
      <c r="AS492" s="771">
        <v>110367.2526</v>
      </c>
      <c r="AT492" s="771">
        <v>87742.97633</v>
      </c>
      <c r="AU492" s="771">
        <v>139656.7918</v>
      </c>
      <c r="AV492" s="989" t="s">
        <v>233</v>
      </c>
      <c r="AW492" s="714"/>
    </row>
    <row r="493">
      <c r="A493" s="761"/>
      <c r="B493" s="769" t="s">
        <v>493</v>
      </c>
      <c r="C493" s="770" t="s">
        <v>618</v>
      </c>
      <c r="D493" s="770" t="s">
        <v>494</v>
      </c>
      <c r="E493" s="770" t="s">
        <v>505</v>
      </c>
      <c r="F493" s="770" t="s">
        <v>518</v>
      </c>
      <c r="G493" s="770" t="s">
        <v>103</v>
      </c>
      <c r="H493" s="770">
        <v>2019.0</v>
      </c>
      <c r="I493" s="771">
        <v>2.189141234</v>
      </c>
      <c r="J493" s="771">
        <v>5.40257125</v>
      </c>
      <c r="K493" s="772">
        <v>0.7451595775</v>
      </c>
      <c r="M493" s="769" t="s">
        <v>493</v>
      </c>
      <c r="N493" s="770" t="s">
        <v>618</v>
      </c>
      <c r="O493" s="770" t="s">
        <v>494</v>
      </c>
      <c r="P493" s="770" t="s">
        <v>505</v>
      </c>
      <c r="Q493" s="770" t="s">
        <v>518</v>
      </c>
      <c r="R493" s="770" t="s">
        <v>497</v>
      </c>
      <c r="S493" s="770">
        <v>2019.0</v>
      </c>
      <c r="T493" s="771">
        <v>270.0800496</v>
      </c>
      <c r="U493" s="771">
        <v>666.5292711</v>
      </c>
      <c r="V493" s="772">
        <v>91.93227577</v>
      </c>
      <c r="X493" s="769" t="s">
        <v>514</v>
      </c>
      <c r="Y493" s="770" t="s">
        <v>494</v>
      </c>
      <c r="Z493" s="770" t="s">
        <v>507</v>
      </c>
      <c r="AA493" s="770" t="s">
        <v>37</v>
      </c>
      <c r="AB493" s="770" t="s">
        <v>493</v>
      </c>
      <c r="AC493" s="770" t="s">
        <v>103</v>
      </c>
      <c r="AD493" s="770" t="s">
        <v>501</v>
      </c>
      <c r="AE493" s="784" t="s">
        <v>502</v>
      </c>
      <c r="AF493" s="771">
        <v>767.0200692</v>
      </c>
      <c r="AG493" s="771">
        <v>601.0214831</v>
      </c>
      <c r="AH493" s="771">
        <v>969.4637693</v>
      </c>
      <c r="AI493" s="772" t="s">
        <v>233</v>
      </c>
      <c r="AK493" s="769" t="s">
        <v>514</v>
      </c>
      <c r="AL493" s="770" t="s">
        <v>494</v>
      </c>
      <c r="AM493" s="770" t="s">
        <v>507</v>
      </c>
      <c r="AN493" s="770" t="s">
        <v>37</v>
      </c>
      <c r="AO493" s="770" t="s">
        <v>493</v>
      </c>
      <c r="AP493" s="770" t="s">
        <v>504</v>
      </c>
      <c r="AQ493" s="770" t="s">
        <v>501</v>
      </c>
      <c r="AR493" s="784" t="s">
        <v>502</v>
      </c>
      <c r="AS493" s="771">
        <v>1294.06806</v>
      </c>
      <c r="AT493" s="771">
        <v>1014.005677</v>
      </c>
      <c r="AU493" s="771">
        <v>1635.618349</v>
      </c>
      <c r="AV493" s="989" t="s">
        <v>233</v>
      </c>
      <c r="AW493" s="714"/>
    </row>
    <row r="494">
      <c r="A494" s="761"/>
      <c r="B494" s="769" t="s">
        <v>493</v>
      </c>
      <c r="C494" s="770" t="s">
        <v>618</v>
      </c>
      <c r="D494" s="770" t="s">
        <v>494</v>
      </c>
      <c r="E494" s="770" t="s">
        <v>508</v>
      </c>
      <c r="F494" s="770" t="s">
        <v>518</v>
      </c>
      <c r="G494" s="770" t="s">
        <v>103</v>
      </c>
      <c r="H494" s="770">
        <v>2019.0</v>
      </c>
      <c r="I494" s="771">
        <v>48.30523041</v>
      </c>
      <c r="J494" s="771">
        <v>104.9066471</v>
      </c>
      <c r="K494" s="772">
        <v>15.11875844</v>
      </c>
      <c r="M494" s="769" t="s">
        <v>493</v>
      </c>
      <c r="N494" s="770" t="s">
        <v>618</v>
      </c>
      <c r="O494" s="770" t="s">
        <v>494</v>
      </c>
      <c r="P494" s="770" t="s">
        <v>508</v>
      </c>
      <c r="Q494" s="770" t="s">
        <v>518</v>
      </c>
      <c r="R494" s="770" t="s">
        <v>497</v>
      </c>
      <c r="S494" s="770">
        <v>2019.0</v>
      </c>
      <c r="T494" s="771">
        <v>126.3221365</v>
      </c>
      <c r="U494" s="771">
        <v>274.3394802</v>
      </c>
      <c r="V494" s="772">
        <v>39.53679244</v>
      </c>
      <c r="X494" s="769" t="s">
        <v>514</v>
      </c>
      <c r="Y494" s="770" t="s">
        <v>494</v>
      </c>
      <c r="Z494" s="770" t="s">
        <v>509</v>
      </c>
      <c r="AA494" s="770" t="s">
        <v>37</v>
      </c>
      <c r="AB494" s="770" t="s">
        <v>493</v>
      </c>
      <c r="AC494" s="770" t="s">
        <v>103</v>
      </c>
      <c r="AD494" s="770" t="s">
        <v>501</v>
      </c>
      <c r="AE494" s="784" t="s">
        <v>502</v>
      </c>
      <c r="AF494" s="771">
        <v>226.9085233</v>
      </c>
      <c r="AG494" s="771">
        <v>177.4036141</v>
      </c>
      <c r="AH494" s="771">
        <v>289.5520093</v>
      </c>
      <c r="AI494" s="772" t="s">
        <v>233</v>
      </c>
      <c r="AK494" s="769" t="s">
        <v>514</v>
      </c>
      <c r="AL494" s="770" t="s">
        <v>494</v>
      </c>
      <c r="AM494" s="770" t="s">
        <v>509</v>
      </c>
      <c r="AN494" s="770" t="s">
        <v>37</v>
      </c>
      <c r="AO494" s="770" t="s">
        <v>493</v>
      </c>
      <c r="AP494" s="770" t="s">
        <v>504</v>
      </c>
      <c r="AQ494" s="770" t="s">
        <v>501</v>
      </c>
      <c r="AR494" s="784" t="s">
        <v>502</v>
      </c>
      <c r="AS494" s="771">
        <v>6178.526155</v>
      </c>
      <c r="AT494" s="771">
        <v>4830.549569</v>
      </c>
      <c r="AU494" s="771">
        <v>7884.255014</v>
      </c>
      <c r="AV494" s="989" t="s">
        <v>233</v>
      </c>
      <c r="AW494" s="714"/>
    </row>
    <row r="495">
      <c r="A495" s="761"/>
      <c r="B495" s="769" t="s">
        <v>493</v>
      </c>
      <c r="C495" s="770" t="s">
        <v>618</v>
      </c>
      <c r="D495" s="770" t="s">
        <v>494</v>
      </c>
      <c r="E495" s="770" t="s">
        <v>512</v>
      </c>
      <c r="F495" s="770" t="s">
        <v>518</v>
      </c>
      <c r="G495" s="770" t="s">
        <v>103</v>
      </c>
      <c r="H495" s="770">
        <v>2019.0</v>
      </c>
      <c r="I495" s="771">
        <v>4.763472984</v>
      </c>
      <c r="J495" s="771">
        <v>11.97234454</v>
      </c>
      <c r="K495" s="772">
        <v>1.487802027</v>
      </c>
      <c r="M495" s="769" t="s">
        <v>493</v>
      </c>
      <c r="N495" s="770" t="s">
        <v>618</v>
      </c>
      <c r="O495" s="770" t="s">
        <v>494</v>
      </c>
      <c r="P495" s="770" t="s">
        <v>512</v>
      </c>
      <c r="Q495" s="770" t="s">
        <v>518</v>
      </c>
      <c r="R495" s="770" t="s">
        <v>497</v>
      </c>
      <c r="S495" s="770">
        <v>2019.0</v>
      </c>
      <c r="T495" s="771">
        <v>197.5720309</v>
      </c>
      <c r="U495" s="771">
        <v>496.5705557</v>
      </c>
      <c r="V495" s="772">
        <v>61.70877193</v>
      </c>
      <c r="X495" s="769" t="s">
        <v>514</v>
      </c>
      <c r="Y495" s="770" t="s">
        <v>494</v>
      </c>
      <c r="Z495" s="770" t="s">
        <v>513</v>
      </c>
      <c r="AA495" s="770" t="s">
        <v>37</v>
      </c>
      <c r="AB495" s="770" t="s">
        <v>493</v>
      </c>
      <c r="AC495" s="770" t="s">
        <v>103</v>
      </c>
      <c r="AD495" s="770" t="s">
        <v>501</v>
      </c>
      <c r="AE495" s="784" t="s">
        <v>502</v>
      </c>
      <c r="AF495" s="771">
        <v>3246.562606</v>
      </c>
      <c r="AG495" s="771">
        <v>2553.59138</v>
      </c>
      <c r="AH495" s="771">
        <v>4077.417722</v>
      </c>
      <c r="AI495" s="772" t="s">
        <v>233</v>
      </c>
      <c r="AK495" s="769" t="s">
        <v>514</v>
      </c>
      <c r="AL495" s="770" t="s">
        <v>494</v>
      </c>
      <c r="AM495" s="770" t="s">
        <v>513</v>
      </c>
      <c r="AN495" s="770" t="s">
        <v>37</v>
      </c>
      <c r="AO495" s="770" t="s">
        <v>493</v>
      </c>
      <c r="AP495" s="770" t="s">
        <v>504</v>
      </c>
      <c r="AQ495" s="770" t="s">
        <v>501</v>
      </c>
      <c r="AR495" s="784" t="s">
        <v>502</v>
      </c>
      <c r="AS495" s="771">
        <v>972.9400529</v>
      </c>
      <c r="AT495" s="771">
        <v>765.2682648</v>
      </c>
      <c r="AU495" s="771">
        <v>1221.933317</v>
      </c>
      <c r="AV495" s="989" t="s">
        <v>233</v>
      </c>
      <c r="AW495" s="714"/>
    </row>
    <row r="496">
      <c r="A496" s="761"/>
      <c r="B496" s="786" t="s">
        <v>493</v>
      </c>
      <c r="C496" s="787" t="s">
        <v>618</v>
      </c>
      <c r="D496" s="787" t="s">
        <v>494</v>
      </c>
      <c r="E496" s="787" t="s">
        <v>495</v>
      </c>
      <c r="F496" s="787" t="s">
        <v>519</v>
      </c>
      <c r="G496" s="787" t="s">
        <v>103</v>
      </c>
      <c r="H496" s="788">
        <v>2019.0</v>
      </c>
      <c r="I496" s="789">
        <v>507.4424233</v>
      </c>
      <c r="J496" s="789">
        <v>711.171497</v>
      </c>
      <c r="K496" s="790">
        <v>354.2796078</v>
      </c>
      <c r="M496" s="786" t="s">
        <v>493</v>
      </c>
      <c r="N496" s="787" t="s">
        <v>618</v>
      </c>
      <c r="O496" s="787" t="s">
        <v>494</v>
      </c>
      <c r="P496" s="787" t="s">
        <v>495</v>
      </c>
      <c r="Q496" s="787" t="s">
        <v>519</v>
      </c>
      <c r="R496" s="787" t="s">
        <v>497</v>
      </c>
      <c r="S496" s="788">
        <v>2019.0</v>
      </c>
      <c r="T496" s="789">
        <v>251.1808921</v>
      </c>
      <c r="U496" s="789">
        <v>352.025536</v>
      </c>
      <c r="V496" s="790">
        <v>175.3662363</v>
      </c>
      <c r="X496" s="769" t="s">
        <v>518</v>
      </c>
      <c r="Y496" s="770" t="s">
        <v>494</v>
      </c>
      <c r="Z496" s="770" t="s">
        <v>499</v>
      </c>
      <c r="AA496" s="770" t="s">
        <v>37</v>
      </c>
      <c r="AB496" s="770" t="s">
        <v>493</v>
      </c>
      <c r="AC496" s="770" t="s">
        <v>103</v>
      </c>
      <c r="AD496" s="770" t="s">
        <v>501</v>
      </c>
      <c r="AE496" s="784" t="s">
        <v>502</v>
      </c>
      <c r="AF496" s="771">
        <v>11.53787961</v>
      </c>
      <c r="AG496" s="771">
        <v>4.780096751</v>
      </c>
      <c r="AH496" s="771">
        <v>23.8095241</v>
      </c>
      <c r="AI496" s="772" t="s">
        <v>233</v>
      </c>
      <c r="AK496" s="769" t="s">
        <v>518</v>
      </c>
      <c r="AL496" s="770" t="s">
        <v>494</v>
      </c>
      <c r="AM496" s="770" t="s">
        <v>499</v>
      </c>
      <c r="AN496" s="770" t="s">
        <v>37</v>
      </c>
      <c r="AO496" s="770" t="s">
        <v>493</v>
      </c>
      <c r="AP496" s="770" t="s">
        <v>504</v>
      </c>
      <c r="AQ496" s="770" t="s">
        <v>501</v>
      </c>
      <c r="AR496" s="784" t="s">
        <v>502</v>
      </c>
      <c r="AS496" s="771">
        <v>930.6399725</v>
      </c>
      <c r="AT496" s="771">
        <v>385.560368</v>
      </c>
      <c r="AU496" s="771">
        <v>1920.465077</v>
      </c>
      <c r="AV496" s="989" t="s">
        <v>233</v>
      </c>
      <c r="AW496" s="714"/>
    </row>
    <row r="497">
      <c r="A497" s="761"/>
      <c r="B497" s="776" t="s">
        <v>493</v>
      </c>
      <c r="C497" s="777" t="s">
        <v>618</v>
      </c>
      <c r="D497" s="777" t="s">
        <v>494</v>
      </c>
      <c r="E497" s="777" t="s">
        <v>505</v>
      </c>
      <c r="F497" s="777" t="s">
        <v>519</v>
      </c>
      <c r="G497" s="777" t="s">
        <v>103</v>
      </c>
      <c r="H497" s="778">
        <v>2019.0</v>
      </c>
      <c r="I497" s="780">
        <v>444.7728785</v>
      </c>
      <c r="J497" s="780">
        <v>622.1475476</v>
      </c>
      <c r="K497" s="782">
        <v>313.7422313</v>
      </c>
      <c r="M497" s="776" t="s">
        <v>493</v>
      </c>
      <c r="N497" s="777" t="s">
        <v>618</v>
      </c>
      <c r="O497" s="777" t="s">
        <v>494</v>
      </c>
      <c r="P497" s="777" t="s">
        <v>505</v>
      </c>
      <c r="Q497" s="777" t="s">
        <v>519</v>
      </c>
      <c r="R497" s="777" t="s">
        <v>497</v>
      </c>
      <c r="S497" s="778">
        <v>2019.0</v>
      </c>
      <c r="T497" s="780">
        <v>54872.78719</v>
      </c>
      <c r="U497" s="780">
        <v>76755.96161</v>
      </c>
      <c r="V497" s="782">
        <v>38707.19534</v>
      </c>
      <c r="X497" s="769" t="s">
        <v>518</v>
      </c>
      <c r="Y497" s="770" t="s">
        <v>494</v>
      </c>
      <c r="Z497" s="770" t="s">
        <v>507</v>
      </c>
      <c r="AA497" s="770" t="s">
        <v>37</v>
      </c>
      <c r="AB497" s="770" t="s">
        <v>493</v>
      </c>
      <c r="AC497" s="770" t="s">
        <v>103</v>
      </c>
      <c r="AD497" s="770" t="s">
        <v>501</v>
      </c>
      <c r="AE497" s="784" t="s">
        <v>502</v>
      </c>
      <c r="AF497" s="771">
        <v>190.850842</v>
      </c>
      <c r="AG497" s="771">
        <v>85.86509666</v>
      </c>
      <c r="AH497" s="771">
        <v>327.1547513</v>
      </c>
      <c r="AI497" s="772" t="s">
        <v>233</v>
      </c>
      <c r="AK497" s="769" t="s">
        <v>518</v>
      </c>
      <c r="AL497" s="770" t="s">
        <v>494</v>
      </c>
      <c r="AM497" s="770" t="s">
        <v>507</v>
      </c>
      <c r="AN497" s="770" t="s">
        <v>37</v>
      </c>
      <c r="AO497" s="770" t="s">
        <v>493</v>
      </c>
      <c r="AP497" s="770" t="s">
        <v>504</v>
      </c>
      <c r="AQ497" s="770" t="s">
        <v>501</v>
      </c>
      <c r="AR497" s="784" t="s">
        <v>502</v>
      </c>
      <c r="AS497" s="771">
        <v>321.9915473</v>
      </c>
      <c r="AT497" s="771">
        <v>144.8661951</v>
      </c>
      <c r="AU497" s="771">
        <v>551.9549373</v>
      </c>
      <c r="AV497" s="989" t="s">
        <v>233</v>
      </c>
      <c r="AW497" s="714"/>
    </row>
    <row r="498">
      <c r="A498" s="761"/>
      <c r="B498" s="776" t="s">
        <v>493</v>
      </c>
      <c r="C498" s="777" t="s">
        <v>618</v>
      </c>
      <c r="D498" s="777" t="s">
        <v>494</v>
      </c>
      <c r="E498" s="777" t="s">
        <v>508</v>
      </c>
      <c r="F498" s="777" t="s">
        <v>519</v>
      </c>
      <c r="G498" s="777" t="s">
        <v>103</v>
      </c>
      <c r="H498" s="778">
        <v>2019.0</v>
      </c>
      <c r="I498" s="780">
        <v>8.173783345</v>
      </c>
      <c r="J498" s="780">
        <v>16.16376459</v>
      </c>
      <c r="K498" s="782">
        <v>3.707535147</v>
      </c>
      <c r="M498" s="776" t="s">
        <v>493</v>
      </c>
      <c r="N498" s="777" t="s">
        <v>618</v>
      </c>
      <c r="O498" s="777" t="s">
        <v>494</v>
      </c>
      <c r="P498" s="777" t="s">
        <v>508</v>
      </c>
      <c r="Q498" s="777" t="s">
        <v>519</v>
      </c>
      <c r="R498" s="777" t="s">
        <v>497</v>
      </c>
      <c r="S498" s="778">
        <v>2019.0</v>
      </c>
      <c r="T498" s="780">
        <v>21.37511336</v>
      </c>
      <c r="U498" s="780">
        <v>42.26956915</v>
      </c>
      <c r="V498" s="782">
        <v>9.695508273</v>
      </c>
      <c r="X498" s="769" t="s">
        <v>518</v>
      </c>
      <c r="Y498" s="770" t="s">
        <v>494</v>
      </c>
      <c r="Z498" s="770" t="s">
        <v>509</v>
      </c>
      <c r="AA498" s="770" t="s">
        <v>37</v>
      </c>
      <c r="AB498" s="770" t="s">
        <v>493</v>
      </c>
      <c r="AC498" s="770" t="s">
        <v>103</v>
      </c>
      <c r="AD498" s="770" t="s">
        <v>501</v>
      </c>
      <c r="AE498" s="784" t="s">
        <v>502</v>
      </c>
      <c r="AF498" s="771">
        <v>17.78068877</v>
      </c>
      <c r="AG498" s="771">
        <v>7.95053612</v>
      </c>
      <c r="AH498" s="771">
        <v>33.3363879</v>
      </c>
      <c r="AI498" s="772" t="s">
        <v>233</v>
      </c>
      <c r="AK498" s="769" t="s">
        <v>518</v>
      </c>
      <c r="AL498" s="770" t="s">
        <v>494</v>
      </c>
      <c r="AM498" s="770" t="s">
        <v>509</v>
      </c>
      <c r="AN498" s="770" t="s">
        <v>37</v>
      </c>
      <c r="AO498" s="770" t="s">
        <v>493</v>
      </c>
      <c r="AP498" s="770" t="s">
        <v>504</v>
      </c>
      <c r="AQ498" s="770" t="s">
        <v>501</v>
      </c>
      <c r="AR498" s="784" t="s">
        <v>502</v>
      </c>
      <c r="AS498" s="771">
        <v>484.1530369</v>
      </c>
      <c r="AT498" s="771">
        <v>216.4863384</v>
      </c>
      <c r="AU498" s="771">
        <v>907.7214975</v>
      </c>
      <c r="AV498" s="989" t="s">
        <v>233</v>
      </c>
      <c r="AW498" s="714"/>
    </row>
    <row r="499">
      <c r="A499" s="761"/>
      <c r="B499" s="786" t="s">
        <v>493</v>
      </c>
      <c r="C499" s="787" t="s">
        <v>618</v>
      </c>
      <c r="D499" s="787" t="s">
        <v>494</v>
      </c>
      <c r="E499" s="787" t="s">
        <v>512</v>
      </c>
      <c r="F499" s="787" t="s">
        <v>519</v>
      </c>
      <c r="G499" s="787" t="s">
        <v>103</v>
      </c>
      <c r="H499" s="788">
        <v>2019.0</v>
      </c>
      <c r="I499" s="789">
        <v>53.41843098</v>
      </c>
      <c r="J499" s="789">
        <v>80.68840116</v>
      </c>
      <c r="K499" s="790">
        <v>31.70572147</v>
      </c>
      <c r="M499" s="786" t="s">
        <v>493</v>
      </c>
      <c r="N499" s="787" t="s">
        <v>618</v>
      </c>
      <c r="O499" s="787" t="s">
        <v>494</v>
      </c>
      <c r="P499" s="787" t="s">
        <v>512</v>
      </c>
      <c r="Q499" s="787" t="s">
        <v>519</v>
      </c>
      <c r="R499" s="787" t="s">
        <v>497</v>
      </c>
      <c r="S499" s="788">
        <v>2019.0</v>
      </c>
      <c r="T499" s="789">
        <v>2215.6078</v>
      </c>
      <c r="U499" s="789">
        <v>3346.669823</v>
      </c>
      <c r="V499" s="790">
        <v>1315.041316</v>
      </c>
      <c r="X499" s="769" t="s">
        <v>518</v>
      </c>
      <c r="Y499" s="770" t="s">
        <v>494</v>
      </c>
      <c r="Z499" s="770" t="s">
        <v>513</v>
      </c>
      <c r="AA499" s="770" t="s">
        <v>37</v>
      </c>
      <c r="AB499" s="770" t="s">
        <v>493</v>
      </c>
      <c r="AC499" s="770" t="s">
        <v>103</v>
      </c>
      <c r="AD499" s="770" t="s">
        <v>501</v>
      </c>
      <c r="AE499" s="784" t="s">
        <v>502</v>
      </c>
      <c r="AF499" s="771">
        <v>358.9317813</v>
      </c>
      <c r="AG499" s="771">
        <v>182.2879708</v>
      </c>
      <c r="AH499" s="771">
        <v>583.5052687</v>
      </c>
      <c r="AI499" s="772" t="s">
        <v>233</v>
      </c>
      <c r="AK499" s="769" t="s">
        <v>518</v>
      </c>
      <c r="AL499" s="770" t="s">
        <v>494</v>
      </c>
      <c r="AM499" s="770" t="s">
        <v>513</v>
      </c>
      <c r="AN499" s="770" t="s">
        <v>37</v>
      </c>
      <c r="AO499" s="770" t="s">
        <v>493</v>
      </c>
      <c r="AP499" s="770" t="s">
        <v>504</v>
      </c>
      <c r="AQ499" s="770" t="s">
        <v>501</v>
      </c>
      <c r="AR499" s="784" t="s">
        <v>502</v>
      </c>
      <c r="AS499" s="771">
        <v>107.5658007</v>
      </c>
      <c r="AT499" s="771">
        <v>54.62863018</v>
      </c>
      <c r="AU499" s="771">
        <v>174.8666869</v>
      </c>
      <c r="AV499" s="989" t="s">
        <v>233</v>
      </c>
      <c r="AW499" s="714"/>
    </row>
    <row r="500">
      <c r="A500" s="761"/>
      <c r="B500" s="769" t="s">
        <v>493</v>
      </c>
      <c r="C500" s="770" t="s">
        <v>618</v>
      </c>
      <c r="D500" s="770" t="s">
        <v>494</v>
      </c>
      <c r="E500" s="770" t="s">
        <v>495</v>
      </c>
      <c r="F500" s="770" t="s">
        <v>521</v>
      </c>
      <c r="G500" s="770" t="s">
        <v>103</v>
      </c>
      <c r="H500" s="770">
        <v>2019.0</v>
      </c>
      <c r="I500" s="771">
        <v>17.00725953</v>
      </c>
      <c r="J500" s="771">
        <v>41.79871286</v>
      </c>
      <c r="K500" s="772">
        <v>4.620904219</v>
      </c>
      <c r="M500" s="769" t="s">
        <v>493</v>
      </c>
      <c r="N500" s="770" t="s">
        <v>618</v>
      </c>
      <c r="O500" s="770" t="s">
        <v>494</v>
      </c>
      <c r="P500" s="770" t="s">
        <v>495</v>
      </c>
      <c r="Q500" s="770" t="s">
        <v>521</v>
      </c>
      <c r="R500" s="770" t="s">
        <v>497</v>
      </c>
      <c r="S500" s="770">
        <v>2019.0</v>
      </c>
      <c r="T500" s="771">
        <v>8.418489319</v>
      </c>
      <c r="U500" s="771">
        <v>20.6901069</v>
      </c>
      <c r="V500" s="772">
        <v>2.287319291</v>
      </c>
      <c r="X500" s="769" t="s">
        <v>519</v>
      </c>
      <c r="Y500" s="770" t="s">
        <v>494</v>
      </c>
      <c r="Z500" s="770" t="s">
        <v>499</v>
      </c>
      <c r="AA500" s="770" t="s">
        <v>37</v>
      </c>
      <c r="AB500" s="770" t="s">
        <v>493</v>
      </c>
      <c r="AC500" s="770" t="s">
        <v>103</v>
      </c>
      <c r="AD500" s="770" t="s">
        <v>501</v>
      </c>
      <c r="AE500" s="784" t="s">
        <v>502</v>
      </c>
      <c r="AF500" s="771">
        <v>1116.024653</v>
      </c>
      <c r="AG500" s="771">
        <v>863.4178794</v>
      </c>
      <c r="AH500" s="771">
        <v>1428.784632</v>
      </c>
      <c r="AI500" s="772" t="s">
        <v>233</v>
      </c>
      <c r="AK500" s="769" t="s">
        <v>519</v>
      </c>
      <c r="AL500" s="770" t="s">
        <v>494</v>
      </c>
      <c r="AM500" s="770" t="s">
        <v>499</v>
      </c>
      <c r="AN500" s="770" t="s">
        <v>37</v>
      </c>
      <c r="AO500" s="770" t="s">
        <v>493</v>
      </c>
      <c r="AP500" s="770" t="s">
        <v>504</v>
      </c>
      <c r="AQ500" s="770" t="s">
        <v>501</v>
      </c>
      <c r="AR500" s="784" t="s">
        <v>502</v>
      </c>
      <c r="AS500" s="771">
        <v>90018.02653</v>
      </c>
      <c r="AT500" s="771">
        <v>69642.88229</v>
      </c>
      <c r="AU500" s="771">
        <v>115245.1001</v>
      </c>
      <c r="AV500" s="989" t="s">
        <v>233</v>
      </c>
      <c r="AW500" s="714"/>
    </row>
    <row r="501">
      <c r="A501" s="761"/>
      <c r="B501" s="769" t="s">
        <v>493</v>
      </c>
      <c r="C501" s="770" t="s">
        <v>618</v>
      </c>
      <c r="D501" s="770" t="s">
        <v>494</v>
      </c>
      <c r="E501" s="770" t="s">
        <v>505</v>
      </c>
      <c r="F501" s="770" t="s">
        <v>521</v>
      </c>
      <c r="G501" s="770" t="s">
        <v>103</v>
      </c>
      <c r="H501" s="770">
        <v>2019.0</v>
      </c>
      <c r="I501" s="771">
        <v>0.0</v>
      </c>
      <c r="J501" s="771">
        <v>0.0</v>
      </c>
      <c r="K501" s="772">
        <v>0.0</v>
      </c>
      <c r="M501" s="769" t="s">
        <v>493</v>
      </c>
      <c r="N501" s="770" t="s">
        <v>618</v>
      </c>
      <c r="O501" s="770" t="s">
        <v>494</v>
      </c>
      <c r="P501" s="770" t="s">
        <v>505</v>
      </c>
      <c r="Q501" s="770" t="s">
        <v>521</v>
      </c>
      <c r="R501" s="770" t="s">
        <v>497</v>
      </c>
      <c r="S501" s="770">
        <v>2019.0</v>
      </c>
      <c r="T501" s="771">
        <v>0.0</v>
      </c>
      <c r="U501" s="771">
        <v>0.0</v>
      </c>
      <c r="V501" s="772">
        <v>0.0</v>
      </c>
      <c r="X501" s="769" t="s">
        <v>519</v>
      </c>
      <c r="Y501" s="770" t="s">
        <v>494</v>
      </c>
      <c r="Z501" s="770" t="s">
        <v>507</v>
      </c>
      <c r="AA501" s="770" t="s">
        <v>37</v>
      </c>
      <c r="AB501" s="770" t="s">
        <v>493</v>
      </c>
      <c r="AC501" s="770" t="s">
        <v>103</v>
      </c>
      <c r="AD501" s="770" t="s">
        <v>501</v>
      </c>
      <c r="AE501" s="784" t="s">
        <v>502</v>
      </c>
      <c r="AF501" s="771">
        <v>5.609303214</v>
      </c>
      <c r="AG501" s="771">
        <v>2.84112339</v>
      </c>
      <c r="AH501" s="771">
        <v>9.252134084</v>
      </c>
      <c r="AI501" s="772" t="s">
        <v>233</v>
      </c>
      <c r="AK501" s="769" t="s">
        <v>519</v>
      </c>
      <c r="AL501" s="770" t="s">
        <v>494</v>
      </c>
      <c r="AM501" s="770" t="s">
        <v>507</v>
      </c>
      <c r="AN501" s="770" t="s">
        <v>37</v>
      </c>
      <c r="AO501" s="770" t="s">
        <v>493</v>
      </c>
      <c r="AP501" s="770" t="s">
        <v>504</v>
      </c>
      <c r="AQ501" s="770" t="s">
        <v>501</v>
      </c>
      <c r="AR501" s="784" t="s">
        <v>502</v>
      </c>
      <c r="AS501" s="771">
        <v>9.463663882</v>
      </c>
      <c r="AT501" s="771">
        <v>4.793364841</v>
      </c>
      <c r="AU501" s="771">
        <v>15.6096192</v>
      </c>
      <c r="AV501" s="989" t="s">
        <v>233</v>
      </c>
      <c r="AW501" s="714"/>
    </row>
    <row r="502">
      <c r="A502" s="761"/>
      <c r="B502" s="769" t="s">
        <v>493</v>
      </c>
      <c r="C502" s="770" t="s">
        <v>618</v>
      </c>
      <c r="D502" s="770" t="s">
        <v>494</v>
      </c>
      <c r="E502" s="770" t="s">
        <v>508</v>
      </c>
      <c r="F502" s="770" t="s">
        <v>521</v>
      </c>
      <c r="G502" s="770" t="s">
        <v>103</v>
      </c>
      <c r="H502" s="770">
        <v>2019.0</v>
      </c>
      <c r="I502" s="771">
        <v>4.632128748</v>
      </c>
      <c r="J502" s="771">
        <v>11.6517582</v>
      </c>
      <c r="K502" s="772">
        <v>1.222047506</v>
      </c>
      <c r="M502" s="769" t="s">
        <v>493</v>
      </c>
      <c r="N502" s="770" t="s">
        <v>618</v>
      </c>
      <c r="O502" s="770" t="s">
        <v>494</v>
      </c>
      <c r="P502" s="770" t="s">
        <v>508</v>
      </c>
      <c r="Q502" s="770" t="s">
        <v>521</v>
      </c>
      <c r="R502" s="770" t="s">
        <v>497</v>
      </c>
      <c r="S502" s="770">
        <v>2019.0</v>
      </c>
      <c r="T502" s="771">
        <v>12.11339632</v>
      </c>
      <c r="U502" s="771">
        <v>30.47030266</v>
      </c>
      <c r="V502" s="772">
        <v>3.195754385</v>
      </c>
      <c r="X502" s="769" t="s">
        <v>519</v>
      </c>
      <c r="Y502" s="770" t="s">
        <v>494</v>
      </c>
      <c r="Z502" s="770" t="s">
        <v>509</v>
      </c>
      <c r="AA502" s="770" t="s">
        <v>37</v>
      </c>
      <c r="AB502" s="770" t="s">
        <v>493</v>
      </c>
      <c r="AC502" s="770" t="s">
        <v>103</v>
      </c>
      <c r="AD502" s="770" t="s">
        <v>501</v>
      </c>
      <c r="AE502" s="784" t="s">
        <v>502</v>
      </c>
      <c r="AF502" s="771">
        <v>86.7536971</v>
      </c>
      <c r="AG502" s="771">
        <v>53.1708387</v>
      </c>
      <c r="AH502" s="771">
        <v>121.8873021</v>
      </c>
      <c r="AI502" s="772" t="s">
        <v>233</v>
      </c>
      <c r="AK502" s="769" t="s">
        <v>519</v>
      </c>
      <c r="AL502" s="770" t="s">
        <v>494</v>
      </c>
      <c r="AM502" s="770" t="s">
        <v>509</v>
      </c>
      <c r="AN502" s="770" t="s">
        <v>37</v>
      </c>
      <c r="AO502" s="770" t="s">
        <v>493</v>
      </c>
      <c r="AP502" s="770" t="s">
        <v>504</v>
      </c>
      <c r="AQ502" s="770" t="s">
        <v>501</v>
      </c>
      <c r="AR502" s="784" t="s">
        <v>502</v>
      </c>
      <c r="AS502" s="771">
        <v>2362.229408</v>
      </c>
      <c r="AT502" s="771">
        <v>1447.796728</v>
      </c>
      <c r="AU502" s="771">
        <v>3318.887598</v>
      </c>
      <c r="AV502" s="989" t="s">
        <v>233</v>
      </c>
      <c r="AW502" s="714"/>
    </row>
    <row r="503">
      <c r="A503" s="761"/>
      <c r="B503" s="769" t="s">
        <v>493</v>
      </c>
      <c r="C503" s="770" t="s">
        <v>618</v>
      </c>
      <c r="D503" s="770" t="s">
        <v>494</v>
      </c>
      <c r="E503" s="770" t="s">
        <v>512</v>
      </c>
      <c r="F503" s="770" t="s">
        <v>521</v>
      </c>
      <c r="G503" s="770" t="s">
        <v>103</v>
      </c>
      <c r="H503" s="770">
        <v>2019.0</v>
      </c>
      <c r="I503" s="771">
        <v>0.0</v>
      </c>
      <c r="J503" s="771">
        <v>0.0</v>
      </c>
      <c r="K503" s="772">
        <v>0.0</v>
      </c>
      <c r="M503" s="769" t="s">
        <v>493</v>
      </c>
      <c r="N503" s="770" t="s">
        <v>618</v>
      </c>
      <c r="O503" s="770" t="s">
        <v>494</v>
      </c>
      <c r="P503" s="770" t="s">
        <v>512</v>
      </c>
      <c r="Q503" s="770" t="s">
        <v>521</v>
      </c>
      <c r="R503" s="770" t="s">
        <v>497</v>
      </c>
      <c r="S503" s="770">
        <v>2019.0</v>
      </c>
      <c r="T503" s="771">
        <v>0.0</v>
      </c>
      <c r="U503" s="771">
        <v>0.0</v>
      </c>
      <c r="V503" s="772">
        <v>0.0</v>
      </c>
      <c r="X503" s="769" t="s">
        <v>519</v>
      </c>
      <c r="Y503" s="770" t="s">
        <v>494</v>
      </c>
      <c r="Z503" s="770" t="s">
        <v>513</v>
      </c>
      <c r="AA503" s="770" t="s">
        <v>37</v>
      </c>
      <c r="AB503" s="770" t="s">
        <v>493</v>
      </c>
      <c r="AC503" s="770" t="s">
        <v>103</v>
      </c>
      <c r="AD503" s="770" t="s">
        <v>501</v>
      </c>
      <c r="AE503" s="784" t="s">
        <v>502</v>
      </c>
      <c r="AF503" s="771">
        <v>1209.444206</v>
      </c>
      <c r="AG503" s="771">
        <v>937.8377676</v>
      </c>
      <c r="AH503" s="771">
        <v>1548.672305</v>
      </c>
      <c r="AI503" s="772" t="s">
        <v>233</v>
      </c>
      <c r="AK503" s="769" t="s">
        <v>519</v>
      </c>
      <c r="AL503" s="770" t="s">
        <v>494</v>
      </c>
      <c r="AM503" s="770" t="s">
        <v>513</v>
      </c>
      <c r="AN503" s="770" t="s">
        <v>37</v>
      </c>
      <c r="AO503" s="770" t="s">
        <v>493</v>
      </c>
      <c r="AP503" s="770" t="s">
        <v>504</v>
      </c>
      <c r="AQ503" s="770" t="s">
        <v>501</v>
      </c>
      <c r="AR503" s="784" t="s">
        <v>502</v>
      </c>
      <c r="AS503" s="771">
        <v>362.4500285</v>
      </c>
      <c r="AT503" s="771">
        <v>281.0541603</v>
      </c>
      <c r="AU503" s="771">
        <v>464.110968</v>
      </c>
      <c r="AV503" s="989" t="s">
        <v>233</v>
      </c>
      <c r="AW503" s="714"/>
    </row>
    <row r="504">
      <c r="A504" s="761"/>
      <c r="B504" s="769" t="s">
        <v>493</v>
      </c>
      <c r="C504" s="770" t="s">
        <v>618</v>
      </c>
      <c r="D504" s="770" t="s">
        <v>494</v>
      </c>
      <c r="E504" s="770" t="s">
        <v>495</v>
      </c>
      <c r="F504" s="770" t="s">
        <v>523</v>
      </c>
      <c r="G504" s="770" t="s">
        <v>103</v>
      </c>
      <c r="H504" s="770">
        <v>2019.0</v>
      </c>
      <c r="I504" s="771">
        <v>12.22455056</v>
      </c>
      <c r="J504" s="771">
        <v>23.28670727</v>
      </c>
      <c r="K504" s="772">
        <v>4.999907569</v>
      </c>
      <c r="M504" s="769" t="s">
        <v>493</v>
      </c>
      <c r="N504" s="770" t="s">
        <v>618</v>
      </c>
      <c r="O504" s="770" t="s">
        <v>494</v>
      </c>
      <c r="P504" s="770" t="s">
        <v>495</v>
      </c>
      <c r="Q504" s="770" t="s">
        <v>523</v>
      </c>
      <c r="R504" s="770" t="s">
        <v>497</v>
      </c>
      <c r="S504" s="770">
        <v>2019.0</v>
      </c>
      <c r="T504" s="771">
        <v>6.051077666</v>
      </c>
      <c r="U504" s="771">
        <v>11.5267775</v>
      </c>
      <c r="V504" s="772">
        <v>2.474923629</v>
      </c>
      <c r="X504" s="769" t="s">
        <v>521</v>
      </c>
      <c r="Y504" s="770" t="s">
        <v>494</v>
      </c>
      <c r="Z504" s="770" t="s">
        <v>499</v>
      </c>
      <c r="AA504" s="770" t="s">
        <v>37</v>
      </c>
      <c r="AB504" s="770" t="s">
        <v>493</v>
      </c>
      <c r="AC504" s="770" t="s">
        <v>103</v>
      </c>
      <c r="AD504" s="770" t="s">
        <v>501</v>
      </c>
      <c r="AE504" s="784" t="s">
        <v>502</v>
      </c>
      <c r="AF504" s="771">
        <v>0.0</v>
      </c>
      <c r="AG504" s="771">
        <v>0.0</v>
      </c>
      <c r="AH504" s="771">
        <v>0.0</v>
      </c>
      <c r="AI504" s="772" t="s">
        <v>233</v>
      </c>
      <c r="AK504" s="769" t="s">
        <v>521</v>
      </c>
      <c r="AL504" s="770" t="s">
        <v>494</v>
      </c>
      <c r="AM504" s="770" t="s">
        <v>499</v>
      </c>
      <c r="AN504" s="770" t="s">
        <v>37</v>
      </c>
      <c r="AO504" s="770" t="s">
        <v>493</v>
      </c>
      <c r="AP504" s="770" t="s">
        <v>504</v>
      </c>
      <c r="AQ504" s="770" t="s">
        <v>501</v>
      </c>
      <c r="AR504" s="784" t="s">
        <v>502</v>
      </c>
      <c r="AS504" s="771">
        <v>0.0</v>
      </c>
      <c r="AT504" s="771">
        <v>0.0</v>
      </c>
      <c r="AU504" s="771">
        <v>0.0</v>
      </c>
      <c r="AV504" s="989" t="s">
        <v>233</v>
      </c>
      <c r="AW504" s="714"/>
    </row>
    <row r="505">
      <c r="A505" s="761"/>
      <c r="B505" s="769" t="s">
        <v>493</v>
      </c>
      <c r="C505" s="770" t="s">
        <v>618</v>
      </c>
      <c r="D505" s="770" t="s">
        <v>494</v>
      </c>
      <c r="E505" s="770" t="s">
        <v>505</v>
      </c>
      <c r="F505" s="770" t="s">
        <v>523</v>
      </c>
      <c r="G505" s="770" t="s">
        <v>103</v>
      </c>
      <c r="H505" s="770">
        <v>2019.0</v>
      </c>
      <c r="I505" s="771">
        <v>0.0</v>
      </c>
      <c r="J505" s="771">
        <v>0.0</v>
      </c>
      <c r="K505" s="772">
        <v>0.0</v>
      </c>
      <c r="M505" s="769" t="s">
        <v>493</v>
      </c>
      <c r="N505" s="770" t="s">
        <v>618</v>
      </c>
      <c r="O505" s="770" t="s">
        <v>494</v>
      </c>
      <c r="P505" s="770" t="s">
        <v>505</v>
      </c>
      <c r="Q505" s="770" t="s">
        <v>523</v>
      </c>
      <c r="R505" s="770" t="s">
        <v>497</v>
      </c>
      <c r="S505" s="770">
        <v>2019.0</v>
      </c>
      <c r="T505" s="771">
        <v>0.0</v>
      </c>
      <c r="U505" s="771">
        <v>0.0</v>
      </c>
      <c r="V505" s="772">
        <v>0.0</v>
      </c>
      <c r="X505" s="769" t="s">
        <v>521</v>
      </c>
      <c r="Y505" s="770" t="s">
        <v>494</v>
      </c>
      <c r="Z505" s="770" t="s">
        <v>507</v>
      </c>
      <c r="AA505" s="770" t="s">
        <v>37</v>
      </c>
      <c r="AB505" s="770" t="s">
        <v>493</v>
      </c>
      <c r="AC505" s="770" t="s">
        <v>103</v>
      </c>
      <c r="AD505" s="770" t="s">
        <v>501</v>
      </c>
      <c r="AE505" s="784" t="s">
        <v>502</v>
      </c>
      <c r="AF505" s="771">
        <v>2.477968916</v>
      </c>
      <c r="AG505" s="771">
        <v>0.6963371678</v>
      </c>
      <c r="AH505" s="771">
        <v>6.019562737</v>
      </c>
      <c r="AI505" s="772" t="s">
        <v>233</v>
      </c>
      <c r="AK505" s="769" t="s">
        <v>521</v>
      </c>
      <c r="AL505" s="770" t="s">
        <v>494</v>
      </c>
      <c r="AM505" s="770" t="s">
        <v>507</v>
      </c>
      <c r="AN505" s="770" t="s">
        <v>37</v>
      </c>
      <c r="AO505" s="770" t="s">
        <v>493</v>
      </c>
      <c r="AP505" s="770" t="s">
        <v>504</v>
      </c>
      <c r="AQ505" s="770" t="s">
        <v>501</v>
      </c>
      <c r="AR505" s="784" t="s">
        <v>502</v>
      </c>
      <c r="AS505" s="771">
        <v>4.180673435</v>
      </c>
      <c r="AT505" s="771">
        <v>1.17481631</v>
      </c>
      <c r="AU505" s="771">
        <v>10.15582797</v>
      </c>
      <c r="AV505" s="989" t="s">
        <v>233</v>
      </c>
      <c r="AW505" s="714"/>
    </row>
    <row r="506">
      <c r="A506" s="761"/>
      <c r="B506" s="769" t="s">
        <v>493</v>
      </c>
      <c r="C506" s="770" t="s">
        <v>618</v>
      </c>
      <c r="D506" s="770" t="s">
        <v>494</v>
      </c>
      <c r="E506" s="770" t="s">
        <v>508</v>
      </c>
      <c r="F506" s="770" t="s">
        <v>523</v>
      </c>
      <c r="G506" s="770" t="s">
        <v>103</v>
      </c>
      <c r="H506" s="770">
        <v>2019.0</v>
      </c>
      <c r="I506" s="771">
        <v>6.038417796</v>
      </c>
      <c r="J506" s="771">
        <v>12.66796218</v>
      </c>
      <c r="K506" s="772">
        <v>2.213247618</v>
      </c>
      <c r="M506" s="769" t="s">
        <v>493</v>
      </c>
      <c r="N506" s="770" t="s">
        <v>618</v>
      </c>
      <c r="O506" s="770" t="s">
        <v>494</v>
      </c>
      <c r="P506" s="770" t="s">
        <v>508</v>
      </c>
      <c r="Q506" s="770" t="s">
        <v>523</v>
      </c>
      <c r="R506" s="770" t="s">
        <v>497</v>
      </c>
      <c r="S506" s="770">
        <v>2019.0</v>
      </c>
      <c r="T506" s="771">
        <v>15.79095744</v>
      </c>
      <c r="U506" s="771">
        <v>33.12775934</v>
      </c>
      <c r="V506" s="772">
        <v>5.787823917</v>
      </c>
      <c r="X506" s="769" t="s">
        <v>521</v>
      </c>
      <c r="Y506" s="770" t="s">
        <v>494</v>
      </c>
      <c r="Z506" s="770" t="s">
        <v>509</v>
      </c>
      <c r="AA506" s="770" t="s">
        <v>37</v>
      </c>
      <c r="AB506" s="770" t="s">
        <v>493</v>
      </c>
      <c r="AC506" s="770" t="s">
        <v>103</v>
      </c>
      <c r="AD506" s="770" t="s">
        <v>501</v>
      </c>
      <c r="AE506" s="784" t="s">
        <v>502</v>
      </c>
      <c r="AF506" s="771">
        <v>0.0</v>
      </c>
      <c r="AG506" s="771">
        <v>0.0</v>
      </c>
      <c r="AH506" s="771">
        <v>0.0</v>
      </c>
      <c r="AI506" s="772" t="s">
        <v>233</v>
      </c>
      <c r="AK506" s="769" t="s">
        <v>521</v>
      </c>
      <c r="AL506" s="770" t="s">
        <v>494</v>
      </c>
      <c r="AM506" s="770" t="s">
        <v>509</v>
      </c>
      <c r="AN506" s="770" t="s">
        <v>37</v>
      </c>
      <c r="AO506" s="770" t="s">
        <v>493</v>
      </c>
      <c r="AP506" s="770" t="s">
        <v>504</v>
      </c>
      <c r="AQ506" s="770" t="s">
        <v>501</v>
      </c>
      <c r="AR506" s="784" t="s">
        <v>502</v>
      </c>
      <c r="AS506" s="771">
        <v>0.0</v>
      </c>
      <c r="AT506" s="771">
        <v>0.0</v>
      </c>
      <c r="AU506" s="771">
        <v>0.0</v>
      </c>
      <c r="AV506" s="989" t="s">
        <v>233</v>
      </c>
      <c r="AW506" s="714"/>
    </row>
    <row r="507">
      <c r="A507" s="761"/>
      <c r="B507" s="769" t="s">
        <v>493</v>
      </c>
      <c r="C507" s="770" t="s">
        <v>618</v>
      </c>
      <c r="D507" s="770" t="s">
        <v>494</v>
      </c>
      <c r="E507" s="770" t="s">
        <v>512</v>
      </c>
      <c r="F507" s="770" t="s">
        <v>523</v>
      </c>
      <c r="G507" s="770" t="s">
        <v>103</v>
      </c>
      <c r="H507" s="770">
        <v>2019.0</v>
      </c>
      <c r="I507" s="771">
        <v>0.0</v>
      </c>
      <c r="J507" s="771">
        <v>0.0</v>
      </c>
      <c r="K507" s="772">
        <v>0.0</v>
      </c>
      <c r="M507" s="769" t="s">
        <v>493</v>
      </c>
      <c r="N507" s="770" t="s">
        <v>618</v>
      </c>
      <c r="O507" s="770" t="s">
        <v>494</v>
      </c>
      <c r="P507" s="770" t="s">
        <v>512</v>
      </c>
      <c r="Q507" s="770" t="s">
        <v>523</v>
      </c>
      <c r="R507" s="770" t="s">
        <v>497</v>
      </c>
      <c r="S507" s="770">
        <v>2019.0</v>
      </c>
      <c r="T507" s="771">
        <v>0.0</v>
      </c>
      <c r="U507" s="771">
        <v>0.0</v>
      </c>
      <c r="V507" s="772">
        <v>0.0</v>
      </c>
      <c r="X507" s="769" t="s">
        <v>521</v>
      </c>
      <c r="Y507" s="770" t="s">
        <v>494</v>
      </c>
      <c r="Z507" s="770" t="s">
        <v>513</v>
      </c>
      <c r="AA507" s="770" t="s">
        <v>37</v>
      </c>
      <c r="AB507" s="770" t="s">
        <v>493</v>
      </c>
      <c r="AC507" s="770" t="s">
        <v>103</v>
      </c>
      <c r="AD507" s="770" t="s">
        <v>501</v>
      </c>
      <c r="AE507" s="784" t="s">
        <v>502</v>
      </c>
      <c r="AF507" s="771">
        <v>12.10947664</v>
      </c>
      <c r="AG507" s="771">
        <v>3.201551117</v>
      </c>
      <c r="AH507" s="771">
        <v>32.69320816</v>
      </c>
      <c r="AI507" s="772" t="s">
        <v>233</v>
      </c>
      <c r="AK507" s="769" t="s">
        <v>521</v>
      </c>
      <c r="AL507" s="770" t="s">
        <v>494</v>
      </c>
      <c r="AM507" s="770" t="s">
        <v>513</v>
      </c>
      <c r="AN507" s="770" t="s">
        <v>37</v>
      </c>
      <c r="AO507" s="770" t="s">
        <v>493</v>
      </c>
      <c r="AP507" s="770" t="s">
        <v>504</v>
      </c>
      <c r="AQ507" s="770" t="s">
        <v>501</v>
      </c>
      <c r="AR507" s="784" t="s">
        <v>502</v>
      </c>
      <c r="AS507" s="771">
        <v>3.629005897</v>
      </c>
      <c r="AT507" s="771">
        <v>0.9594508687</v>
      </c>
      <c r="AU507" s="771">
        <v>9.797603043</v>
      </c>
      <c r="AV507" s="989" t="s">
        <v>233</v>
      </c>
      <c r="AW507" s="714"/>
    </row>
    <row r="508">
      <c r="A508" s="761"/>
      <c r="B508" s="769" t="s">
        <v>493</v>
      </c>
      <c r="C508" s="770" t="s">
        <v>619</v>
      </c>
      <c r="D508" s="770" t="s">
        <v>494</v>
      </c>
      <c r="E508" s="770" t="s">
        <v>495</v>
      </c>
      <c r="F508" s="770" t="s">
        <v>496</v>
      </c>
      <c r="G508" s="770" t="s">
        <v>103</v>
      </c>
      <c r="H508" s="770">
        <v>2019.0</v>
      </c>
      <c r="I508" s="771">
        <v>2708.489567</v>
      </c>
      <c r="J508" s="771">
        <v>3680.23079</v>
      </c>
      <c r="K508" s="772">
        <v>1989.422755</v>
      </c>
      <c r="M508" s="769" t="s">
        <v>493</v>
      </c>
      <c r="N508" s="770" t="s">
        <v>619</v>
      </c>
      <c r="O508" s="770" t="s">
        <v>494</v>
      </c>
      <c r="P508" s="770" t="s">
        <v>495</v>
      </c>
      <c r="Q508" s="770" t="s">
        <v>496</v>
      </c>
      <c r="R508" s="770" t="s">
        <v>497</v>
      </c>
      <c r="S508" s="770">
        <v>2019.0</v>
      </c>
      <c r="T508" s="771">
        <v>821.7655964</v>
      </c>
      <c r="U508" s="771">
        <v>1116.595422</v>
      </c>
      <c r="V508" s="772">
        <v>603.5981075</v>
      </c>
      <c r="X508" s="769" t="s">
        <v>523</v>
      </c>
      <c r="Y508" s="770" t="s">
        <v>494</v>
      </c>
      <c r="Z508" s="770" t="s">
        <v>507</v>
      </c>
      <c r="AA508" s="770" t="s">
        <v>37</v>
      </c>
      <c r="AB508" s="770" t="s">
        <v>493</v>
      </c>
      <c r="AC508" s="770" t="s">
        <v>103</v>
      </c>
      <c r="AD508" s="770" t="s">
        <v>501</v>
      </c>
      <c r="AE508" s="784" t="s">
        <v>502</v>
      </c>
      <c r="AF508" s="771">
        <v>8.749991978</v>
      </c>
      <c r="AG508" s="771">
        <v>3.960441631</v>
      </c>
      <c r="AH508" s="771">
        <v>16.37407036</v>
      </c>
      <c r="AI508" s="772" t="s">
        <v>233</v>
      </c>
      <c r="AK508" s="769" t="s">
        <v>523</v>
      </c>
      <c r="AL508" s="770" t="s">
        <v>494</v>
      </c>
      <c r="AM508" s="770" t="s">
        <v>507</v>
      </c>
      <c r="AN508" s="770" t="s">
        <v>37</v>
      </c>
      <c r="AO508" s="770" t="s">
        <v>493</v>
      </c>
      <c r="AP508" s="770" t="s">
        <v>504</v>
      </c>
      <c r="AQ508" s="770" t="s">
        <v>501</v>
      </c>
      <c r="AR508" s="784" t="s">
        <v>502</v>
      </c>
      <c r="AS508" s="771">
        <v>14.7624366</v>
      </c>
      <c r="AT508" s="771">
        <v>6.681808237</v>
      </c>
      <c r="AU508" s="771">
        <v>27.62530253</v>
      </c>
      <c r="AV508" s="989" t="s">
        <v>233</v>
      </c>
      <c r="AW508" s="714"/>
    </row>
    <row r="509">
      <c r="A509" s="761"/>
      <c r="B509" s="769" t="s">
        <v>493</v>
      </c>
      <c r="C509" s="770" t="s">
        <v>619</v>
      </c>
      <c r="D509" s="770" t="s">
        <v>494</v>
      </c>
      <c r="E509" s="770" t="s">
        <v>505</v>
      </c>
      <c r="F509" s="770" t="s">
        <v>496</v>
      </c>
      <c r="G509" s="770" t="s">
        <v>103</v>
      </c>
      <c r="H509" s="770">
        <v>2019.0</v>
      </c>
      <c r="I509" s="771">
        <v>1244.184915</v>
      </c>
      <c r="J509" s="771">
        <v>1702.326632</v>
      </c>
      <c r="K509" s="772">
        <v>912.1745645</v>
      </c>
      <c r="M509" s="769" t="s">
        <v>493</v>
      </c>
      <c r="N509" s="770" t="s">
        <v>619</v>
      </c>
      <c r="O509" s="770" t="s">
        <v>494</v>
      </c>
      <c r="P509" s="770" t="s">
        <v>505</v>
      </c>
      <c r="Q509" s="770" t="s">
        <v>496</v>
      </c>
      <c r="R509" s="770" t="s">
        <v>497</v>
      </c>
      <c r="S509" s="770">
        <v>2019.0</v>
      </c>
      <c r="T509" s="771">
        <v>92008.85361</v>
      </c>
      <c r="U509" s="771">
        <v>125888.9415</v>
      </c>
      <c r="V509" s="772">
        <v>67456.32018</v>
      </c>
      <c r="X509" s="769" t="s">
        <v>523</v>
      </c>
      <c r="Y509" s="770" t="s">
        <v>494</v>
      </c>
      <c r="Z509" s="770" t="s">
        <v>513</v>
      </c>
      <c r="AA509" s="770" t="s">
        <v>37</v>
      </c>
      <c r="AB509" s="770" t="s">
        <v>493</v>
      </c>
      <c r="AC509" s="770" t="s">
        <v>103</v>
      </c>
      <c r="AD509" s="770" t="s">
        <v>501</v>
      </c>
      <c r="AE509" s="784" t="s">
        <v>502</v>
      </c>
      <c r="AF509" s="771">
        <v>14.90612651</v>
      </c>
      <c r="AG509" s="771">
        <v>6.979620047</v>
      </c>
      <c r="AH509" s="771">
        <v>25.60215484</v>
      </c>
      <c r="AI509" s="772" t="s">
        <v>233</v>
      </c>
      <c r="AK509" s="769" t="s">
        <v>523</v>
      </c>
      <c r="AL509" s="770" t="s">
        <v>494</v>
      </c>
      <c r="AM509" s="770" t="s">
        <v>513</v>
      </c>
      <c r="AN509" s="770" t="s">
        <v>37</v>
      </c>
      <c r="AO509" s="770" t="s">
        <v>493</v>
      </c>
      <c r="AP509" s="770" t="s">
        <v>504</v>
      </c>
      <c r="AQ509" s="770" t="s">
        <v>501</v>
      </c>
      <c r="AR509" s="784" t="s">
        <v>502</v>
      </c>
      <c r="AS509" s="771">
        <v>4.467114691</v>
      </c>
      <c r="AT509" s="771">
        <v>2.091674402</v>
      </c>
      <c r="AU509" s="771">
        <v>7.67253397</v>
      </c>
      <c r="AV509" s="989" t="s">
        <v>233</v>
      </c>
      <c r="AW509" s="714"/>
    </row>
    <row r="510">
      <c r="A510" s="761"/>
      <c r="B510" s="769" t="s">
        <v>493</v>
      </c>
      <c r="C510" s="770" t="s">
        <v>619</v>
      </c>
      <c r="D510" s="770" t="s">
        <v>494</v>
      </c>
      <c r="E510" s="770" t="s">
        <v>508</v>
      </c>
      <c r="F510" s="770" t="s">
        <v>496</v>
      </c>
      <c r="G510" s="770" t="s">
        <v>103</v>
      </c>
      <c r="H510" s="770">
        <v>2019.0</v>
      </c>
      <c r="I510" s="771">
        <v>536.8728649</v>
      </c>
      <c r="J510" s="771">
        <v>732.46945</v>
      </c>
      <c r="K510" s="772">
        <v>394.2716929</v>
      </c>
      <c r="M510" s="769" t="s">
        <v>493</v>
      </c>
      <c r="N510" s="770" t="s">
        <v>619</v>
      </c>
      <c r="O510" s="770" t="s">
        <v>494</v>
      </c>
      <c r="P510" s="770" t="s">
        <v>508</v>
      </c>
      <c r="Q510" s="770" t="s">
        <v>496</v>
      </c>
      <c r="R510" s="770" t="s">
        <v>497</v>
      </c>
      <c r="S510" s="770">
        <v>2019.0</v>
      </c>
      <c r="T510" s="771">
        <v>846.8928487</v>
      </c>
      <c r="U510" s="771">
        <v>1155.437683</v>
      </c>
      <c r="V510" s="772">
        <v>621.9459001</v>
      </c>
      <c r="X510" s="769" t="s">
        <v>496</v>
      </c>
      <c r="Y510" s="770" t="s">
        <v>494</v>
      </c>
      <c r="Z510" s="770" t="s">
        <v>499</v>
      </c>
      <c r="AA510" s="770" t="s">
        <v>620</v>
      </c>
      <c r="AB510" s="770" t="s">
        <v>493</v>
      </c>
      <c r="AC510" s="770" t="s">
        <v>103</v>
      </c>
      <c r="AD510" s="770" t="s">
        <v>501</v>
      </c>
      <c r="AE510" s="784" t="s">
        <v>502</v>
      </c>
      <c r="AF510" s="771">
        <v>1530.692037</v>
      </c>
      <c r="AG510" s="771">
        <v>1153.30232</v>
      </c>
      <c r="AH510" s="771">
        <v>2042.944561</v>
      </c>
      <c r="AI510" s="772" t="s">
        <v>233</v>
      </c>
      <c r="AK510" s="769" t="s">
        <v>496</v>
      </c>
      <c r="AL510" s="770" t="s">
        <v>494</v>
      </c>
      <c r="AM510" s="770" t="s">
        <v>499</v>
      </c>
      <c r="AN510" s="770" t="s">
        <v>620</v>
      </c>
      <c r="AO510" s="770" t="s">
        <v>493</v>
      </c>
      <c r="AP510" s="770" t="s">
        <v>504</v>
      </c>
      <c r="AQ510" s="770" t="s">
        <v>501</v>
      </c>
      <c r="AR510" s="784" t="s">
        <v>502</v>
      </c>
      <c r="AS510" s="771">
        <v>104364.9668</v>
      </c>
      <c r="AT510" s="771">
        <v>78633.94814</v>
      </c>
      <c r="AU510" s="771">
        <v>139291.1415</v>
      </c>
      <c r="AV510" s="989" t="s">
        <v>233</v>
      </c>
      <c r="AW510" s="714"/>
    </row>
    <row r="511">
      <c r="A511" s="761"/>
      <c r="B511" s="769" t="s">
        <v>493</v>
      </c>
      <c r="C511" s="770" t="s">
        <v>619</v>
      </c>
      <c r="D511" s="770" t="s">
        <v>494</v>
      </c>
      <c r="E511" s="770" t="s">
        <v>512</v>
      </c>
      <c r="F511" s="770" t="s">
        <v>496</v>
      </c>
      <c r="G511" s="770" t="s">
        <v>103</v>
      </c>
      <c r="H511" s="770">
        <v>2019.0</v>
      </c>
      <c r="I511" s="771">
        <v>161.3914099</v>
      </c>
      <c r="J511" s="771">
        <v>220.6694283</v>
      </c>
      <c r="K511" s="772">
        <v>118.3618768</v>
      </c>
      <c r="M511" s="769" t="s">
        <v>493</v>
      </c>
      <c r="N511" s="770" t="s">
        <v>619</v>
      </c>
      <c r="O511" s="770" t="s">
        <v>494</v>
      </c>
      <c r="P511" s="770" t="s">
        <v>512</v>
      </c>
      <c r="Q511" s="770" t="s">
        <v>496</v>
      </c>
      <c r="R511" s="770" t="s">
        <v>497</v>
      </c>
      <c r="S511" s="770">
        <v>2019.0</v>
      </c>
      <c r="T511" s="771">
        <v>4021.370519</v>
      </c>
      <c r="U511" s="771">
        <v>5498.393838</v>
      </c>
      <c r="V511" s="772">
        <v>2949.208773</v>
      </c>
      <c r="X511" s="769" t="s">
        <v>496</v>
      </c>
      <c r="Y511" s="770" t="s">
        <v>494</v>
      </c>
      <c r="Z511" s="770" t="s">
        <v>507</v>
      </c>
      <c r="AA511" s="770" t="s">
        <v>620</v>
      </c>
      <c r="AB511" s="770" t="s">
        <v>493</v>
      </c>
      <c r="AC511" s="770" t="s">
        <v>103</v>
      </c>
      <c r="AD511" s="770" t="s">
        <v>501</v>
      </c>
      <c r="AE511" s="784" t="s">
        <v>502</v>
      </c>
      <c r="AF511" s="771">
        <v>742.9089615</v>
      </c>
      <c r="AG511" s="771">
        <v>556.7463373</v>
      </c>
      <c r="AH511" s="771">
        <v>995.806928</v>
      </c>
      <c r="AI511" s="772" t="s">
        <v>233</v>
      </c>
      <c r="AK511" s="769" t="s">
        <v>496</v>
      </c>
      <c r="AL511" s="770" t="s">
        <v>494</v>
      </c>
      <c r="AM511" s="770" t="s">
        <v>507</v>
      </c>
      <c r="AN511" s="770" t="s">
        <v>620</v>
      </c>
      <c r="AO511" s="770" t="s">
        <v>493</v>
      </c>
      <c r="AP511" s="770" t="s">
        <v>504</v>
      </c>
      <c r="AQ511" s="770" t="s">
        <v>501</v>
      </c>
      <c r="AR511" s="784" t="s">
        <v>502</v>
      </c>
      <c r="AS511" s="771">
        <v>1063.657108</v>
      </c>
      <c r="AT511" s="771">
        <v>797.1194719</v>
      </c>
      <c r="AU511" s="771">
        <v>1425.742819</v>
      </c>
      <c r="AV511" s="989" t="s">
        <v>233</v>
      </c>
      <c r="AW511" s="714"/>
    </row>
    <row r="512">
      <c r="A512" s="761"/>
      <c r="B512" s="769" t="s">
        <v>493</v>
      </c>
      <c r="C512" s="770" t="s">
        <v>619</v>
      </c>
      <c r="D512" s="770" t="s">
        <v>494</v>
      </c>
      <c r="E512" s="770" t="s">
        <v>495</v>
      </c>
      <c r="F512" s="770" t="s">
        <v>514</v>
      </c>
      <c r="G512" s="770" t="s">
        <v>103</v>
      </c>
      <c r="H512" s="770">
        <v>2019.0</v>
      </c>
      <c r="I512" s="771">
        <v>2265.381486</v>
      </c>
      <c r="J512" s="771">
        <v>3099.83735</v>
      </c>
      <c r="K512" s="772">
        <v>1686.780138</v>
      </c>
      <c r="M512" s="769" t="s">
        <v>493</v>
      </c>
      <c r="N512" s="770" t="s">
        <v>619</v>
      </c>
      <c r="O512" s="770" t="s">
        <v>494</v>
      </c>
      <c r="P512" s="770" t="s">
        <v>495</v>
      </c>
      <c r="Q512" s="770" t="s">
        <v>514</v>
      </c>
      <c r="R512" s="770" t="s">
        <v>497</v>
      </c>
      <c r="S512" s="770">
        <v>2019.0</v>
      </c>
      <c r="T512" s="771">
        <v>687.3249912</v>
      </c>
      <c r="U512" s="771">
        <v>940.5019388</v>
      </c>
      <c r="V512" s="772">
        <v>511.7752356</v>
      </c>
      <c r="X512" s="769" t="s">
        <v>496</v>
      </c>
      <c r="Y512" s="770" t="s">
        <v>494</v>
      </c>
      <c r="Z512" s="770" t="s">
        <v>509</v>
      </c>
      <c r="AA512" s="770" t="s">
        <v>620</v>
      </c>
      <c r="AB512" s="770" t="s">
        <v>493</v>
      </c>
      <c r="AC512" s="770" t="s">
        <v>103</v>
      </c>
      <c r="AD512" s="770" t="s">
        <v>501</v>
      </c>
      <c r="AE512" s="784" t="s">
        <v>502</v>
      </c>
      <c r="AF512" s="771">
        <v>235.1648999</v>
      </c>
      <c r="AG512" s="771">
        <v>176.2603141</v>
      </c>
      <c r="AH512" s="771">
        <v>314.3309605</v>
      </c>
      <c r="AI512" s="772" t="s">
        <v>233</v>
      </c>
      <c r="AK512" s="769" t="s">
        <v>496</v>
      </c>
      <c r="AL512" s="770" t="s">
        <v>494</v>
      </c>
      <c r="AM512" s="770" t="s">
        <v>509</v>
      </c>
      <c r="AN512" s="770" t="s">
        <v>620</v>
      </c>
      <c r="AO512" s="770" t="s">
        <v>493</v>
      </c>
      <c r="AP512" s="770" t="s">
        <v>504</v>
      </c>
      <c r="AQ512" s="770" t="s">
        <v>501</v>
      </c>
      <c r="AR512" s="784" t="s">
        <v>502</v>
      </c>
      <c r="AS512" s="771">
        <v>5406.869791</v>
      </c>
      <c r="AT512" s="771">
        <v>4052.545971</v>
      </c>
      <c r="AU512" s="771">
        <v>7227.041857</v>
      </c>
      <c r="AV512" s="989" t="s">
        <v>233</v>
      </c>
      <c r="AW512" s="714"/>
    </row>
    <row r="513">
      <c r="A513" s="761"/>
      <c r="B513" s="769" t="s">
        <v>493</v>
      </c>
      <c r="C513" s="770" t="s">
        <v>619</v>
      </c>
      <c r="D513" s="770" t="s">
        <v>494</v>
      </c>
      <c r="E513" s="770" t="s">
        <v>505</v>
      </c>
      <c r="F513" s="770" t="s">
        <v>514</v>
      </c>
      <c r="G513" s="770" t="s">
        <v>103</v>
      </c>
      <c r="H513" s="770">
        <v>2019.0</v>
      </c>
      <c r="I513" s="771">
        <v>1152.361238</v>
      </c>
      <c r="J513" s="771">
        <v>1559.014397</v>
      </c>
      <c r="K513" s="772">
        <v>838.6966599</v>
      </c>
      <c r="M513" s="769" t="s">
        <v>493</v>
      </c>
      <c r="N513" s="770" t="s">
        <v>619</v>
      </c>
      <c r="O513" s="770" t="s">
        <v>494</v>
      </c>
      <c r="P513" s="770" t="s">
        <v>505</v>
      </c>
      <c r="Q513" s="770" t="s">
        <v>514</v>
      </c>
      <c r="R513" s="770" t="s">
        <v>497</v>
      </c>
      <c r="S513" s="770">
        <v>2019.0</v>
      </c>
      <c r="T513" s="771">
        <v>85218.39094</v>
      </c>
      <c r="U513" s="771">
        <v>115290.8428</v>
      </c>
      <c r="V513" s="772">
        <v>62022.54769</v>
      </c>
      <c r="X513" s="769" t="s">
        <v>496</v>
      </c>
      <c r="Y513" s="770" t="s">
        <v>494</v>
      </c>
      <c r="Z513" s="770" t="s">
        <v>513</v>
      </c>
      <c r="AA513" s="770" t="s">
        <v>620</v>
      </c>
      <c r="AB513" s="770" t="s">
        <v>493</v>
      </c>
      <c r="AC513" s="770" t="s">
        <v>103</v>
      </c>
      <c r="AD513" s="770" t="s">
        <v>501</v>
      </c>
      <c r="AE513" s="784" t="s">
        <v>502</v>
      </c>
      <c r="AF513" s="771">
        <v>3309.956355</v>
      </c>
      <c r="AG513" s="771">
        <v>2483.086161</v>
      </c>
      <c r="AH513" s="771">
        <v>4426.612943</v>
      </c>
      <c r="AI513" s="772" t="s">
        <v>233</v>
      </c>
      <c r="AK513" s="769" t="s">
        <v>496</v>
      </c>
      <c r="AL513" s="770" t="s">
        <v>494</v>
      </c>
      <c r="AM513" s="770" t="s">
        <v>513</v>
      </c>
      <c r="AN513" s="770" t="s">
        <v>620</v>
      </c>
      <c r="AO513" s="770" t="s">
        <v>493</v>
      </c>
      <c r="AP513" s="770" t="s">
        <v>504</v>
      </c>
      <c r="AQ513" s="770" t="s">
        <v>501</v>
      </c>
      <c r="AR513" s="784" t="s">
        <v>502</v>
      </c>
      <c r="AS513" s="771">
        <v>890.4354289</v>
      </c>
      <c r="AT513" s="771">
        <v>667.9930649</v>
      </c>
      <c r="AU513" s="771">
        <v>1190.835338</v>
      </c>
      <c r="AV513" s="989" t="s">
        <v>233</v>
      </c>
      <c r="AW513" s="714"/>
    </row>
    <row r="514">
      <c r="A514" s="761"/>
      <c r="B514" s="769" t="s">
        <v>493</v>
      </c>
      <c r="C514" s="770" t="s">
        <v>619</v>
      </c>
      <c r="D514" s="770" t="s">
        <v>494</v>
      </c>
      <c r="E514" s="770" t="s">
        <v>508</v>
      </c>
      <c r="F514" s="770" t="s">
        <v>514</v>
      </c>
      <c r="G514" s="770" t="s">
        <v>103</v>
      </c>
      <c r="H514" s="770">
        <v>2019.0</v>
      </c>
      <c r="I514" s="771">
        <v>414.6899493</v>
      </c>
      <c r="J514" s="771">
        <v>569.2252873</v>
      </c>
      <c r="K514" s="772">
        <v>298.7697135</v>
      </c>
      <c r="M514" s="769" t="s">
        <v>493</v>
      </c>
      <c r="N514" s="770" t="s">
        <v>619</v>
      </c>
      <c r="O514" s="770" t="s">
        <v>494</v>
      </c>
      <c r="P514" s="770" t="s">
        <v>508</v>
      </c>
      <c r="Q514" s="770" t="s">
        <v>514</v>
      </c>
      <c r="R514" s="770" t="s">
        <v>497</v>
      </c>
      <c r="S514" s="770">
        <v>2019.0</v>
      </c>
      <c r="T514" s="771">
        <v>654.1547832</v>
      </c>
      <c r="U514" s="771">
        <v>897.9273432</v>
      </c>
      <c r="V514" s="772">
        <v>471.2958139</v>
      </c>
      <c r="X514" s="769" t="s">
        <v>514</v>
      </c>
      <c r="Y514" s="770" t="s">
        <v>494</v>
      </c>
      <c r="Z514" s="770" t="s">
        <v>499</v>
      </c>
      <c r="AA514" s="770" t="s">
        <v>620</v>
      </c>
      <c r="AB514" s="770" t="s">
        <v>493</v>
      </c>
      <c r="AC514" s="770" t="s">
        <v>103</v>
      </c>
      <c r="AD514" s="770" t="s">
        <v>501</v>
      </c>
      <c r="AE514" s="784" t="s">
        <v>502</v>
      </c>
      <c r="AF514" s="771">
        <v>1403.240785</v>
      </c>
      <c r="AG514" s="771">
        <v>1039.229149</v>
      </c>
      <c r="AH514" s="771">
        <v>1866.07884</v>
      </c>
      <c r="AI514" s="772" t="s">
        <v>233</v>
      </c>
      <c r="AK514" s="769" t="s">
        <v>514</v>
      </c>
      <c r="AL514" s="770" t="s">
        <v>494</v>
      </c>
      <c r="AM514" s="770" t="s">
        <v>499</v>
      </c>
      <c r="AN514" s="770" t="s">
        <v>620</v>
      </c>
      <c r="AO514" s="770" t="s">
        <v>493</v>
      </c>
      <c r="AP514" s="770" t="s">
        <v>504</v>
      </c>
      <c r="AQ514" s="770" t="s">
        <v>501</v>
      </c>
      <c r="AR514" s="784" t="s">
        <v>502</v>
      </c>
      <c r="AS514" s="771">
        <v>95675.14189</v>
      </c>
      <c r="AT514" s="771">
        <v>70856.26173</v>
      </c>
      <c r="AU514" s="771">
        <v>127232.1613</v>
      </c>
      <c r="AV514" s="989" t="s">
        <v>233</v>
      </c>
      <c r="AW514" s="714"/>
    </row>
    <row r="515">
      <c r="A515" s="761"/>
      <c r="B515" s="769" t="s">
        <v>493</v>
      </c>
      <c r="C515" s="770" t="s">
        <v>619</v>
      </c>
      <c r="D515" s="770" t="s">
        <v>494</v>
      </c>
      <c r="E515" s="770" t="s">
        <v>512</v>
      </c>
      <c r="F515" s="770" t="s">
        <v>514</v>
      </c>
      <c r="G515" s="770" t="s">
        <v>103</v>
      </c>
      <c r="H515" s="770">
        <v>2019.0</v>
      </c>
      <c r="I515" s="771">
        <v>139.8623596</v>
      </c>
      <c r="J515" s="771">
        <v>193.1725581</v>
      </c>
      <c r="K515" s="772">
        <v>102.5976669</v>
      </c>
      <c r="M515" s="769" t="s">
        <v>493</v>
      </c>
      <c r="N515" s="770" t="s">
        <v>619</v>
      </c>
      <c r="O515" s="770" t="s">
        <v>494</v>
      </c>
      <c r="P515" s="770" t="s">
        <v>512</v>
      </c>
      <c r="Q515" s="770" t="s">
        <v>514</v>
      </c>
      <c r="R515" s="770" t="s">
        <v>497</v>
      </c>
      <c r="S515" s="770">
        <v>2019.0</v>
      </c>
      <c r="T515" s="771">
        <v>3484.93374</v>
      </c>
      <c r="U515" s="771">
        <v>4813.257601</v>
      </c>
      <c r="V515" s="772">
        <v>2556.413836</v>
      </c>
      <c r="X515" s="769" t="s">
        <v>514</v>
      </c>
      <c r="Y515" s="770" t="s">
        <v>494</v>
      </c>
      <c r="Z515" s="770" t="s">
        <v>507</v>
      </c>
      <c r="AA515" s="770" t="s">
        <v>620</v>
      </c>
      <c r="AB515" s="770" t="s">
        <v>493</v>
      </c>
      <c r="AC515" s="770" t="s">
        <v>103</v>
      </c>
      <c r="AD515" s="770" t="s">
        <v>501</v>
      </c>
      <c r="AE515" s="784" t="s">
        <v>502</v>
      </c>
      <c r="AF515" s="771">
        <v>650.2549204</v>
      </c>
      <c r="AG515" s="771">
        <v>488.8279045</v>
      </c>
      <c r="AH515" s="771">
        <v>874.6576344</v>
      </c>
      <c r="AI515" s="772" t="s">
        <v>233</v>
      </c>
      <c r="AK515" s="769" t="s">
        <v>514</v>
      </c>
      <c r="AL515" s="770" t="s">
        <v>494</v>
      </c>
      <c r="AM515" s="770" t="s">
        <v>507</v>
      </c>
      <c r="AN515" s="770" t="s">
        <v>620</v>
      </c>
      <c r="AO515" s="770" t="s">
        <v>493</v>
      </c>
      <c r="AP515" s="770" t="s">
        <v>504</v>
      </c>
      <c r="AQ515" s="770" t="s">
        <v>501</v>
      </c>
      <c r="AR515" s="784" t="s">
        <v>502</v>
      </c>
      <c r="AS515" s="771">
        <v>931.0000336</v>
      </c>
      <c r="AT515" s="771">
        <v>699.8775115</v>
      </c>
      <c r="AU515" s="771">
        <v>1252.287774</v>
      </c>
      <c r="AV515" s="989" t="s">
        <v>233</v>
      </c>
      <c r="AW515" s="714"/>
    </row>
    <row r="516">
      <c r="A516" s="761"/>
      <c r="B516" s="786" t="s">
        <v>493</v>
      </c>
      <c r="C516" s="787" t="s">
        <v>619</v>
      </c>
      <c r="D516" s="787" t="s">
        <v>494</v>
      </c>
      <c r="E516" s="787" t="s">
        <v>495</v>
      </c>
      <c r="F516" s="787" t="s">
        <v>518</v>
      </c>
      <c r="G516" s="787" t="s">
        <v>103</v>
      </c>
      <c r="H516" s="788">
        <v>2019.0</v>
      </c>
      <c r="I516" s="789">
        <v>200.1680776</v>
      </c>
      <c r="J516" s="789">
        <v>338.4688334</v>
      </c>
      <c r="K516" s="790">
        <v>105.8321403</v>
      </c>
      <c r="M516" s="786" t="s">
        <v>493</v>
      </c>
      <c r="N516" s="787" t="s">
        <v>619</v>
      </c>
      <c r="O516" s="787" t="s">
        <v>494</v>
      </c>
      <c r="P516" s="787" t="s">
        <v>495</v>
      </c>
      <c r="Q516" s="787" t="s">
        <v>518</v>
      </c>
      <c r="R516" s="787" t="s">
        <v>497</v>
      </c>
      <c r="S516" s="788">
        <v>2019.0</v>
      </c>
      <c r="T516" s="789">
        <v>60.73172357</v>
      </c>
      <c r="U516" s="789">
        <v>102.6926764</v>
      </c>
      <c r="V516" s="790">
        <v>32.10985672</v>
      </c>
      <c r="X516" s="769" t="s">
        <v>514</v>
      </c>
      <c r="Y516" s="770" t="s">
        <v>494</v>
      </c>
      <c r="Z516" s="770" t="s">
        <v>509</v>
      </c>
      <c r="AA516" s="770" t="s">
        <v>620</v>
      </c>
      <c r="AB516" s="770" t="s">
        <v>493</v>
      </c>
      <c r="AC516" s="770" t="s">
        <v>103</v>
      </c>
      <c r="AD516" s="770" t="s">
        <v>501</v>
      </c>
      <c r="AE516" s="784" t="s">
        <v>502</v>
      </c>
      <c r="AF516" s="771">
        <v>210.1885965</v>
      </c>
      <c r="AG516" s="771">
        <v>157.4071337</v>
      </c>
      <c r="AH516" s="771">
        <v>282.2355922</v>
      </c>
      <c r="AI516" s="772" t="s">
        <v>233</v>
      </c>
      <c r="AK516" s="769" t="s">
        <v>514</v>
      </c>
      <c r="AL516" s="770" t="s">
        <v>494</v>
      </c>
      <c r="AM516" s="770" t="s">
        <v>509</v>
      </c>
      <c r="AN516" s="770" t="s">
        <v>620</v>
      </c>
      <c r="AO516" s="770" t="s">
        <v>493</v>
      </c>
      <c r="AP516" s="770" t="s">
        <v>504</v>
      </c>
      <c r="AQ516" s="770" t="s">
        <v>501</v>
      </c>
      <c r="AR516" s="784" t="s">
        <v>502</v>
      </c>
      <c r="AS516" s="771">
        <v>4832.619042</v>
      </c>
      <c r="AT516" s="771">
        <v>3619.076981</v>
      </c>
      <c r="AU516" s="771">
        <v>6489.110825</v>
      </c>
      <c r="AV516" s="989" t="s">
        <v>233</v>
      </c>
      <c r="AW516" s="714"/>
    </row>
    <row r="517">
      <c r="A517" s="761"/>
      <c r="B517" s="776" t="s">
        <v>493</v>
      </c>
      <c r="C517" s="777" t="s">
        <v>619</v>
      </c>
      <c r="D517" s="777" t="s">
        <v>494</v>
      </c>
      <c r="E517" s="777" t="s">
        <v>505</v>
      </c>
      <c r="F517" s="777" t="s">
        <v>518</v>
      </c>
      <c r="G517" s="777" t="s">
        <v>103</v>
      </c>
      <c r="H517" s="778">
        <v>2019.0</v>
      </c>
      <c r="I517" s="780">
        <v>4.154869467</v>
      </c>
      <c r="J517" s="780">
        <v>8.436030143</v>
      </c>
      <c r="K517" s="782">
        <v>1.660249937</v>
      </c>
      <c r="M517" s="776" t="s">
        <v>493</v>
      </c>
      <c r="N517" s="777" t="s">
        <v>619</v>
      </c>
      <c r="O517" s="777" t="s">
        <v>494</v>
      </c>
      <c r="P517" s="777" t="s">
        <v>505</v>
      </c>
      <c r="Q517" s="777" t="s">
        <v>518</v>
      </c>
      <c r="R517" s="777" t="s">
        <v>497</v>
      </c>
      <c r="S517" s="778">
        <v>2019.0</v>
      </c>
      <c r="T517" s="780">
        <v>307.2572027</v>
      </c>
      <c r="U517" s="780">
        <v>623.8537803</v>
      </c>
      <c r="V517" s="782">
        <v>122.7773232</v>
      </c>
      <c r="X517" s="769" t="s">
        <v>514</v>
      </c>
      <c r="Y517" s="770" t="s">
        <v>494</v>
      </c>
      <c r="Z517" s="770" t="s">
        <v>513</v>
      </c>
      <c r="AA517" s="770" t="s">
        <v>620</v>
      </c>
      <c r="AB517" s="770" t="s">
        <v>493</v>
      </c>
      <c r="AC517" s="770" t="s">
        <v>103</v>
      </c>
      <c r="AD517" s="770" t="s">
        <v>501</v>
      </c>
      <c r="AE517" s="784" t="s">
        <v>502</v>
      </c>
      <c r="AF517" s="771">
        <v>2999.312129</v>
      </c>
      <c r="AG517" s="771">
        <v>2245.81062</v>
      </c>
      <c r="AH517" s="771">
        <v>4003.990858</v>
      </c>
      <c r="AI517" s="772" t="s">
        <v>233</v>
      </c>
      <c r="AK517" s="769" t="s">
        <v>514</v>
      </c>
      <c r="AL517" s="770" t="s">
        <v>494</v>
      </c>
      <c r="AM517" s="770" t="s">
        <v>513</v>
      </c>
      <c r="AN517" s="770" t="s">
        <v>620</v>
      </c>
      <c r="AO517" s="770" t="s">
        <v>493</v>
      </c>
      <c r="AP517" s="770" t="s">
        <v>504</v>
      </c>
      <c r="AQ517" s="770" t="s">
        <v>501</v>
      </c>
      <c r="AR517" s="784" t="s">
        <v>502</v>
      </c>
      <c r="AS517" s="771">
        <v>806.8667666</v>
      </c>
      <c r="AT517" s="771">
        <v>604.1618464</v>
      </c>
      <c r="AU517" s="771">
        <v>1077.142698</v>
      </c>
      <c r="AV517" s="989" t="s">
        <v>233</v>
      </c>
      <c r="AW517" s="714"/>
    </row>
    <row r="518">
      <c r="A518" s="761"/>
      <c r="B518" s="776" t="s">
        <v>493</v>
      </c>
      <c r="C518" s="777" t="s">
        <v>619</v>
      </c>
      <c r="D518" s="777" t="s">
        <v>494</v>
      </c>
      <c r="E518" s="777" t="s">
        <v>508</v>
      </c>
      <c r="F518" s="777" t="s">
        <v>518</v>
      </c>
      <c r="G518" s="777" t="s">
        <v>103</v>
      </c>
      <c r="H518" s="778">
        <v>2019.0</v>
      </c>
      <c r="I518" s="780">
        <v>79.26525101</v>
      </c>
      <c r="J518" s="780">
        <v>142.6272523</v>
      </c>
      <c r="K518" s="782">
        <v>35.20327428</v>
      </c>
      <c r="M518" s="776" t="s">
        <v>493</v>
      </c>
      <c r="N518" s="777" t="s">
        <v>619</v>
      </c>
      <c r="O518" s="777" t="s">
        <v>494</v>
      </c>
      <c r="P518" s="777" t="s">
        <v>508</v>
      </c>
      <c r="Q518" s="777" t="s">
        <v>518</v>
      </c>
      <c r="R518" s="777" t="s">
        <v>497</v>
      </c>
      <c r="S518" s="778">
        <v>2019.0</v>
      </c>
      <c r="T518" s="780">
        <v>125.0373759</v>
      </c>
      <c r="U518" s="780">
        <v>224.9880892</v>
      </c>
      <c r="V518" s="782">
        <v>55.5315852</v>
      </c>
      <c r="X518" s="769" t="s">
        <v>518</v>
      </c>
      <c r="Y518" s="770" t="s">
        <v>494</v>
      </c>
      <c r="Z518" s="770" t="s">
        <v>499</v>
      </c>
      <c r="AA518" s="770" t="s">
        <v>620</v>
      </c>
      <c r="AB518" s="770" t="s">
        <v>493</v>
      </c>
      <c r="AC518" s="770" t="s">
        <v>103</v>
      </c>
      <c r="AD518" s="770" t="s">
        <v>501</v>
      </c>
      <c r="AE518" s="784" t="s">
        <v>502</v>
      </c>
      <c r="AF518" s="771">
        <v>11.15613706</v>
      </c>
      <c r="AG518" s="771">
        <v>4.622509619</v>
      </c>
      <c r="AH518" s="771">
        <v>23.47227943</v>
      </c>
      <c r="AI518" s="772" t="s">
        <v>233</v>
      </c>
      <c r="AK518" s="769" t="s">
        <v>518</v>
      </c>
      <c r="AL518" s="770" t="s">
        <v>494</v>
      </c>
      <c r="AM518" s="770" t="s">
        <v>499</v>
      </c>
      <c r="AN518" s="770" t="s">
        <v>620</v>
      </c>
      <c r="AO518" s="770" t="s">
        <v>493</v>
      </c>
      <c r="AP518" s="770" t="s">
        <v>504</v>
      </c>
      <c r="AQ518" s="770" t="s">
        <v>501</v>
      </c>
      <c r="AR518" s="784" t="s">
        <v>502</v>
      </c>
      <c r="AS518" s="771">
        <v>760.642798</v>
      </c>
      <c r="AT518" s="771">
        <v>315.1699043</v>
      </c>
      <c r="AU518" s="771">
        <v>1600.376564</v>
      </c>
      <c r="AV518" s="989" t="s">
        <v>233</v>
      </c>
      <c r="AW518" s="714"/>
    </row>
    <row r="519">
      <c r="A519" s="761"/>
      <c r="B519" s="786" t="s">
        <v>493</v>
      </c>
      <c r="C519" s="787" t="s">
        <v>619</v>
      </c>
      <c r="D519" s="787" t="s">
        <v>494</v>
      </c>
      <c r="E519" s="787" t="s">
        <v>512</v>
      </c>
      <c r="F519" s="787" t="s">
        <v>518</v>
      </c>
      <c r="G519" s="787" t="s">
        <v>103</v>
      </c>
      <c r="H519" s="788">
        <v>2019.0</v>
      </c>
      <c r="I519" s="789">
        <v>6.232588792</v>
      </c>
      <c r="J519" s="789">
        <v>14.89518451</v>
      </c>
      <c r="K519" s="790">
        <v>2.070990184</v>
      </c>
      <c r="M519" s="786" t="s">
        <v>493</v>
      </c>
      <c r="N519" s="787" t="s">
        <v>619</v>
      </c>
      <c r="O519" s="787" t="s">
        <v>494</v>
      </c>
      <c r="P519" s="787" t="s">
        <v>512</v>
      </c>
      <c r="Q519" s="787" t="s">
        <v>518</v>
      </c>
      <c r="R519" s="787" t="s">
        <v>497</v>
      </c>
      <c r="S519" s="788">
        <v>2019.0</v>
      </c>
      <c r="T519" s="789">
        <v>155.2966719</v>
      </c>
      <c r="U519" s="789">
        <v>371.1415367</v>
      </c>
      <c r="V519" s="790">
        <v>51.60261553</v>
      </c>
      <c r="X519" s="769" t="s">
        <v>518</v>
      </c>
      <c r="Y519" s="770" t="s">
        <v>494</v>
      </c>
      <c r="Z519" s="770" t="s">
        <v>507</v>
      </c>
      <c r="AA519" s="770" t="s">
        <v>620</v>
      </c>
      <c r="AB519" s="770" t="s">
        <v>493</v>
      </c>
      <c r="AC519" s="770" t="s">
        <v>103</v>
      </c>
      <c r="AD519" s="770" t="s">
        <v>501</v>
      </c>
      <c r="AE519" s="784" t="s">
        <v>502</v>
      </c>
      <c r="AF519" s="771">
        <v>118.9044127</v>
      </c>
      <c r="AG519" s="771">
        <v>50.50802977</v>
      </c>
      <c r="AH519" s="771">
        <v>214.4537362</v>
      </c>
      <c r="AI519" s="772" t="s">
        <v>233</v>
      </c>
      <c r="AK519" s="769" t="s">
        <v>518</v>
      </c>
      <c r="AL519" s="770" t="s">
        <v>494</v>
      </c>
      <c r="AM519" s="770" t="s">
        <v>507</v>
      </c>
      <c r="AN519" s="770" t="s">
        <v>620</v>
      </c>
      <c r="AO519" s="770" t="s">
        <v>493</v>
      </c>
      <c r="AP519" s="770" t="s">
        <v>504</v>
      </c>
      <c r="AQ519" s="770" t="s">
        <v>501</v>
      </c>
      <c r="AR519" s="784" t="s">
        <v>502</v>
      </c>
      <c r="AS519" s="771">
        <v>170.2409451</v>
      </c>
      <c r="AT519" s="771">
        <v>72.31468143</v>
      </c>
      <c r="AU519" s="771">
        <v>307.0433292</v>
      </c>
      <c r="AV519" s="989" t="s">
        <v>233</v>
      </c>
      <c r="AW519" s="714"/>
    </row>
    <row r="520">
      <c r="A520" s="761"/>
      <c r="B520" s="786" t="s">
        <v>493</v>
      </c>
      <c r="C520" s="787" t="s">
        <v>619</v>
      </c>
      <c r="D520" s="787" t="s">
        <v>494</v>
      </c>
      <c r="E520" s="787" t="s">
        <v>495</v>
      </c>
      <c r="F520" s="787" t="s">
        <v>519</v>
      </c>
      <c r="G520" s="787" t="s">
        <v>103</v>
      </c>
      <c r="H520" s="788">
        <v>2019.0</v>
      </c>
      <c r="I520" s="789">
        <v>1142.703654</v>
      </c>
      <c r="J520" s="789">
        <v>1565.267732</v>
      </c>
      <c r="K520" s="790">
        <v>827.0556742</v>
      </c>
      <c r="M520" s="786" t="s">
        <v>493</v>
      </c>
      <c r="N520" s="787" t="s">
        <v>619</v>
      </c>
      <c r="O520" s="787" t="s">
        <v>494</v>
      </c>
      <c r="P520" s="787" t="s">
        <v>495</v>
      </c>
      <c r="Q520" s="787" t="s">
        <v>519</v>
      </c>
      <c r="R520" s="787" t="s">
        <v>497</v>
      </c>
      <c r="S520" s="788">
        <v>2019.0</v>
      </c>
      <c r="T520" s="789">
        <v>346.7004494</v>
      </c>
      <c r="U520" s="789">
        <v>474.907929</v>
      </c>
      <c r="V520" s="790">
        <v>250.9317029</v>
      </c>
      <c r="X520" s="769" t="s">
        <v>518</v>
      </c>
      <c r="Y520" s="770" t="s">
        <v>494</v>
      </c>
      <c r="Z520" s="770" t="s">
        <v>509</v>
      </c>
      <c r="AA520" s="770" t="s">
        <v>620</v>
      </c>
      <c r="AB520" s="770" t="s">
        <v>493</v>
      </c>
      <c r="AC520" s="770" t="s">
        <v>103</v>
      </c>
      <c r="AD520" s="770" t="s">
        <v>501</v>
      </c>
      <c r="AE520" s="784" t="s">
        <v>502</v>
      </c>
      <c r="AF520" s="771">
        <v>13.29400697</v>
      </c>
      <c r="AG520" s="771">
        <v>6.237546896</v>
      </c>
      <c r="AH520" s="771">
        <v>24.57164718</v>
      </c>
      <c r="AI520" s="772" t="s">
        <v>233</v>
      </c>
      <c r="AK520" s="769" t="s">
        <v>518</v>
      </c>
      <c r="AL520" s="770" t="s">
        <v>494</v>
      </c>
      <c r="AM520" s="770" t="s">
        <v>509</v>
      </c>
      <c r="AN520" s="770" t="s">
        <v>620</v>
      </c>
      <c r="AO520" s="770" t="s">
        <v>493</v>
      </c>
      <c r="AP520" s="770" t="s">
        <v>504</v>
      </c>
      <c r="AQ520" s="770" t="s">
        <v>501</v>
      </c>
      <c r="AR520" s="784" t="s">
        <v>502</v>
      </c>
      <c r="AS520" s="771">
        <v>305.6534574</v>
      </c>
      <c r="AT520" s="771">
        <v>143.4125752</v>
      </c>
      <c r="AU520" s="771">
        <v>564.9469667</v>
      </c>
      <c r="AV520" s="989" t="s">
        <v>233</v>
      </c>
      <c r="AW520" s="714"/>
    </row>
    <row r="521">
      <c r="A521" s="761"/>
      <c r="B521" s="776" t="s">
        <v>493</v>
      </c>
      <c r="C521" s="777" t="s">
        <v>619</v>
      </c>
      <c r="D521" s="777" t="s">
        <v>494</v>
      </c>
      <c r="E521" s="777" t="s">
        <v>505</v>
      </c>
      <c r="F521" s="777" t="s">
        <v>519</v>
      </c>
      <c r="G521" s="777" t="s">
        <v>103</v>
      </c>
      <c r="H521" s="778">
        <v>2019.0</v>
      </c>
      <c r="I521" s="780">
        <v>1022.748394</v>
      </c>
      <c r="J521" s="780">
        <v>1392.505736</v>
      </c>
      <c r="K521" s="782">
        <v>748.7653008</v>
      </c>
      <c r="M521" s="776" t="s">
        <v>493</v>
      </c>
      <c r="N521" s="777" t="s">
        <v>619</v>
      </c>
      <c r="O521" s="777" t="s">
        <v>494</v>
      </c>
      <c r="P521" s="777" t="s">
        <v>505</v>
      </c>
      <c r="Q521" s="777" t="s">
        <v>519</v>
      </c>
      <c r="R521" s="777" t="s">
        <v>497</v>
      </c>
      <c r="S521" s="778">
        <v>2019.0</v>
      </c>
      <c r="T521" s="780">
        <v>75633.37746</v>
      </c>
      <c r="U521" s="780">
        <v>102977.3427</v>
      </c>
      <c r="V521" s="782">
        <v>55372.02399</v>
      </c>
      <c r="X521" s="769" t="s">
        <v>518</v>
      </c>
      <c r="Y521" s="770" t="s">
        <v>494</v>
      </c>
      <c r="Z521" s="770" t="s">
        <v>513</v>
      </c>
      <c r="AA521" s="770" t="s">
        <v>620</v>
      </c>
      <c r="AB521" s="770" t="s">
        <v>493</v>
      </c>
      <c r="AC521" s="770" t="s">
        <v>103</v>
      </c>
      <c r="AD521" s="770" t="s">
        <v>501</v>
      </c>
      <c r="AE521" s="784" t="s">
        <v>502</v>
      </c>
      <c r="AF521" s="771">
        <v>207.4333742</v>
      </c>
      <c r="AG521" s="771">
        <v>100.2463498</v>
      </c>
      <c r="AH521" s="771">
        <v>354.7112137</v>
      </c>
      <c r="AI521" s="772" t="s">
        <v>233</v>
      </c>
      <c r="AK521" s="769" t="s">
        <v>518</v>
      </c>
      <c r="AL521" s="770" t="s">
        <v>494</v>
      </c>
      <c r="AM521" s="770" t="s">
        <v>513</v>
      </c>
      <c r="AN521" s="770" t="s">
        <v>620</v>
      </c>
      <c r="AO521" s="770" t="s">
        <v>493</v>
      </c>
      <c r="AP521" s="770" t="s">
        <v>504</v>
      </c>
      <c r="AQ521" s="770" t="s">
        <v>501</v>
      </c>
      <c r="AR521" s="784" t="s">
        <v>502</v>
      </c>
      <c r="AS521" s="771">
        <v>55.80316044</v>
      </c>
      <c r="AT521" s="771">
        <v>26.96799954</v>
      </c>
      <c r="AU521" s="771">
        <v>95.42344304</v>
      </c>
      <c r="AV521" s="989" t="s">
        <v>233</v>
      </c>
      <c r="AW521" s="714"/>
    </row>
    <row r="522">
      <c r="A522" s="761"/>
      <c r="B522" s="776" t="s">
        <v>493</v>
      </c>
      <c r="C522" s="777" t="s">
        <v>619</v>
      </c>
      <c r="D522" s="777" t="s">
        <v>494</v>
      </c>
      <c r="E522" s="777" t="s">
        <v>508</v>
      </c>
      <c r="F522" s="777" t="s">
        <v>519</v>
      </c>
      <c r="G522" s="777" t="s">
        <v>103</v>
      </c>
      <c r="H522" s="778">
        <v>2019.0</v>
      </c>
      <c r="I522" s="780">
        <v>27.00036252</v>
      </c>
      <c r="J522" s="780">
        <v>58.58780248</v>
      </c>
      <c r="K522" s="782">
        <v>12.41067137</v>
      </c>
      <c r="M522" s="776" t="s">
        <v>493</v>
      </c>
      <c r="N522" s="777" t="s">
        <v>619</v>
      </c>
      <c r="O522" s="777" t="s">
        <v>494</v>
      </c>
      <c r="P522" s="777" t="s">
        <v>508</v>
      </c>
      <c r="Q522" s="777" t="s">
        <v>519</v>
      </c>
      <c r="R522" s="777" t="s">
        <v>497</v>
      </c>
      <c r="S522" s="778">
        <v>2019.0</v>
      </c>
      <c r="T522" s="780">
        <v>42.59186006</v>
      </c>
      <c r="U522" s="780">
        <v>92.41962891</v>
      </c>
      <c r="V522" s="782">
        <v>19.57727707</v>
      </c>
      <c r="X522" s="769" t="s">
        <v>519</v>
      </c>
      <c r="Y522" s="770" t="s">
        <v>494</v>
      </c>
      <c r="Z522" s="770" t="s">
        <v>499</v>
      </c>
      <c r="AA522" s="770" t="s">
        <v>620</v>
      </c>
      <c r="AB522" s="770" t="s">
        <v>493</v>
      </c>
      <c r="AC522" s="770" t="s">
        <v>103</v>
      </c>
      <c r="AD522" s="770" t="s">
        <v>501</v>
      </c>
      <c r="AE522" s="784" t="s">
        <v>502</v>
      </c>
      <c r="AF522" s="771">
        <v>1139.048892</v>
      </c>
      <c r="AG522" s="771">
        <v>842.7336635</v>
      </c>
      <c r="AH522" s="771">
        <v>1523.184167</v>
      </c>
      <c r="AI522" s="772" t="s">
        <v>233</v>
      </c>
      <c r="AK522" s="769" t="s">
        <v>519</v>
      </c>
      <c r="AL522" s="770" t="s">
        <v>494</v>
      </c>
      <c r="AM522" s="770" t="s">
        <v>499</v>
      </c>
      <c r="AN522" s="770" t="s">
        <v>620</v>
      </c>
      <c r="AO522" s="770" t="s">
        <v>493</v>
      </c>
      <c r="AP522" s="770" t="s">
        <v>504</v>
      </c>
      <c r="AQ522" s="770" t="s">
        <v>501</v>
      </c>
      <c r="AR522" s="784" t="s">
        <v>502</v>
      </c>
      <c r="AS522" s="771">
        <v>77662.12724</v>
      </c>
      <c r="AT522" s="771">
        <v>57458.89353</v>
      </c>
      <c r="AU522" s="771">
        <v>103853.0685</v>
      </c>
      <c r="AV522" s="989" t="s">
        <v>233</v>
      </c>
      <c r="AW522" s="714"/>
    </row>
    <row r="523">
      <c r="A523" s="761"/>
      <c r="B523" s="786" t="s">
        <v>493</v>
      </c>
      <c r="C523" s="787" t="s">
        <v>619</v>
      </c>
      <c r="D523" s="787" t="s">
        <v>494</v>
      </c>
      <c r="E523" s="787" t="s">
        <v>512</v>
      </c>
      <c r="F523" s="787" t="s">
        <v>519</v>
      </c>
      <c r="G523" s="787" t="s">
        <v>103</v>
      </c>
      <c r="H523" s="788">
        <v>2019.0</v>
      </c>
      <c r="I523" s="789">
        <v>88.09486967</v>
      </c>
      <c r="J523" s="789">
        <v>125.0899378</v>
      </c>
      <c r="K523" s="790">
        <v>59.08336048</v>
      </c>
      <c r="M523" s="786" t="s">
        <v>493</v>
      </c>
      <c r="N523" s="787" t="s">
        <v>619</v>
      </c>
      <c r="O523" s="787" t="s">
        <v>494</v>
      </c>
      <c r="P523" s="787" t="s">
        <v>512</v>
      </c>
      <c r="Q523" s="787" t="s">
        <v>519</v>
      </c>
      <c r="R523" s="787" t="s">
        <v>497</v>
      </c>
      <c r="S523" s="788">
        <v>2019.0</v>
      </c>
      <c r="T523" s="789">
        <v>2195.049365</v>
      </c>
      <c r="U523" s="789">
        <v>3116.851068</v>
      </c>
      <c r="V523" s="790">
        <v>1472.17305</v>
      </c>
      <c r="X523" s="769" t="s">
        <v>519</v>
      </c>
      <c r="Y523" s="770" t="s">
        <v>494</v>
      </c>
      <c r="Z523" s="770" t="s">
        <v>507</v>
      </c>
      <c r="AA523" s="770" t="s">
        <v>620</v>
      </c>
      <c r="AB523" s="770" t="s">
        <v>493</v>
      </c>
      <c r="AC523" s="770" t="s">
        <v>103</v>
      </c>
      <c r="AD523" s="770" t="s">
        <v>501</v>
      </c>
      <c r="AE523" s="784" t="s">
        <v>502</v>
      </c>
      <c r="AF523" s="771">
        <v>4.739522331</v>
      </c>
      <c r="AG523" s="771">
        <v>2.36389275</v>
      </c>
      <c r="AH523" s="771">
        <v>8.579707357</v>
      </c>
      <c r="AI523" s="772" t="s">
        <v>233</v>
      </c>
      <c r="AK523" s="769" t="s">
        <v>519</v>
      </c>
      <c r="AL523" s="770" t="s">
        <v>494</v>
      </c>
      <c r="AM523" s="770" t="s">
        <v>507</v>
      </c>
      <c r="AN523" s="770" t="s">
        <v>620</v>
      </c>
      <c r="AO523" s="770" t="s">
        <v>493</v>
      </c>
      <c r="AP523" s="770" t="s">
        <v>504</v>
      </c>
      <c r="AQ523" s="770" t="s">
        <v>501</v>
      </c>
      <c r="AR523" s="784" t="s">
        <v>502</v>
      </c>
      <c r="AS523" s="771">
        <v>6.78579325</v>
      </c>
      <c r="AT523" s="771">
        <v>3.384494544</v>
      </c>
      <c r="AU523" s="771">
        <v>12.2839637</v>
      </c>
      <c r="AV523" s="989" t="s">
        <v>233</v>
      </c>
      <c r="AW523" s="714"/>
    </row>
    <row r="524">
      <c r="A524" s="761"/>
      <c r="B524" s="786" t="s">
        <v>493</v>
      </c>
      <c r="C524" s="787" t="s">
        <v>619</v>
      </c>
      <c r="D524" s="787" t="s">
        <v>494</v>
      </c>
      <c r="E524" s="787" t="s">
        <v>495</v>
      </c>
      <c r="F524" s="787" t="s">
        <v>521</v>
      </c>
      <c r="G524" s="787" t="s">
        <v>103</v>
      </c>
      <c r="H524" s="788">
        <v>2019.0</v>
      </c>
      <c r="I524" s="789">
        <v>26.38084378</v>
      </c>
      <c r="J524" s="789">
        <v>64.27892682</v>
      </c>
      <c r="K524" s="790">
        <v>7.70664528</v>
      </c>
      <c r="M524" s="786" t="s">
        <v>493</v>
      </c>
      <c r="N524" s="787" t="s">
        <v>619</v>
      </c>
      <c r="O524" s="787" t="s">
        <v>494</v>
      </c>
      <c r="P524" s="787" t="s">
        <v>495</v>
      </c>
      <c r="Q524" s="787" t="s">
        <v>521</v>
      </c>
      <c r="R524" s="787" t="s">
        <v>497</v>
      </c>
      <c r="S524" s="788">
        <v>2019.0</v>
      </c>
      <c r="T524" s="789">
        <v>8.004044059</v>
      </c>
      <c r="U524" s="789">
        <v>19.50246044</v>
      </c>
      <c r="V524" s="790">
        <v>2.338224239</v>
      </c>
      <c r="X524" s="769" t="s">
        <v>519</v>
      </c>
      <c r="Y524" s="770" t="s">
        <v>494</v>
      </c>
      <c r="Z524" s="770" t="s">
        <v>509</v>
      </c>
      <c r="AA524" s="770" t="s">
        <v>620</v>
      </c>
      <c r="AB524" s="770" t="s">
        <v>493</v>
      </c>
      <c r="AC524" s="770" t="s">
        <v>103</v>
      </c>
      <c r="AD524" s="770" t="s">
        <v>501</v>
      </c>
      <c r="AE524" s="784" t="s">
        <v>502</v>
      </c>
      <c r="AF524" s="771">
        <v>71.39748172</v>
      </c>
      <c r="AG524" s="771">
        <v>44.51800631</v>
      </c>
      <c r="AH524" s="771">
        <v>106.5901777</v>
      </c>
      <c r="AI524" s="772" t="s">
        <v>233</v>
      </c>
      <c r="AK524" s="769" t="s">
        <v>519</v>
      </c>
      <c r="AL524" s="770" t="s">
        <v>494</v>
      </c>
      <c r="AM524" s="770" t="s">
        <v>509</v>
      </c>
      <c r="AN524" s="770" t="s">
        <v>620</v>
      </c>
      <c r="AO524" s="770" t="s">
        <v>493</v>
      </c>
      <c r="AP524" s="770" t="s">
        <v>504</v>
      </c>
      <c r="AQ524" s="770" t="s">
        <v>501</v>
      </c>
      <c r="AR524" s="784" t="s">
        <v>502</v>
      </c>
      <c r="AS524" s="771">
        <v>1641.558274</v>
      </c>
      <c r="AT524" s="771">
        <v>1023.550128</v>
      </c>
      <c r="AU524" s="771">
        <v>2450.702515</v>
      </c>
      <c r="AV524" s="989" t="s">
        <v>233</v>
      </c>
      <c r="AW524" s="714"/>
    </row>
    <row r="525">
      <c r="A525" s="761"/>
      <c r="B525" s="776" t="s">
        <v>493</v>
      </c>
      <c r="C525" s="777" t="s">
        <v>619</v>
      </c>
      <c r="D525" s="777" t="s">
        <v>494</v>
      </c>
      <c r="E525" s="777" t="s">
        <v>505</v>
      </c>
      <c r="F525" s="777" t="s">
        <v>521</v>
      </c>
      <c r="G525" s="777" t="s">
        <v>103</v>
      </c>
      <c r="H525" s="778">
        <v>2019.0</v>
      </c>
      <c r="I525" s="780">
        <v>0.0</v>
      </c>
      <c r="J525" s="780">
        <v>0.0</v>
      </c>
      <c r="K525" s="782">
        <v>0.0</v>
      </c>
      <c r="M525" s="776" t="s">
        <v>493</v>
      </c>
      <c r="N525" s="777" t="s">
        <v>619</v>
      </c>
      <c r="O525" s="777" t="s">
        <v>494</v>
      </c>
      <c r="P525" s="777" t="s">
        <v>505</v>
      </c>
      <c r="Q525" s="777" t="s">
        <v>521</v>
      </c>
      <c r="R525" s="777" t="s">
        <v>497</v>
      </c>
      <c r="S525" s="778">
        <v>2019.0</v>
      </c>
      <c r="T525" s="780">
        <v>0.0</v>
      </c>
      <c r="U525" s="780">
        <v>0.0</v>
      </c>
      <c r="V525" s="782">
        <v>0.0</v>
      </c>
      <c r="X525" s="769" t="s">
        <v>519</v>
      </c>
      <c r="Y525" s="770" t="s">
        <v>494</v>
      </c>
      <c r="Z525" s="770" t="s">
        <v>513</v>
      </c>
      <c r="AA525" s="770" t="s">
        <v>620</v>
      </c>
      <c r="AB525" s="770" t="s">
        <v>493</v>
      </c>
      <c r="AC525" s="770" t="s">
        <v>103</v>
      </c>
      <c r="AD525" s="770" t="s">
        <v>501</v>
      </c>
      <c r="AE525" s="784" t="s">
        <v>502</v>
      </c>
      <c r="AF525" s="771">
        <v>1215.744486</v>
      </c>
      <c r="AG525" s="771">
        <v>902.5040757</v>
      </c>
      <c r="AH525" s="771">
        <v>1628.707841</v>
      </c>
      <c r="AI525" s="772" t="s">
        <v>233</v>
      </c>
      <c r="AK525" s="769" t="s">
        <v>519</v>
      </c>
      <c r="AL525" s="770" t="s">
        <v>494</v>
      </c>
      <c r="AM525" s="770" t="s">
        <v>513</v>
      </c>
      <c r="AN525" s="770" t="s">
        <v>620</v>
      </c>
      <c r="AO525" s="770" t="s">
        <v>493</v>
      </c>
      <c r="AP525" s="770" t="s">
        <v>504</v>
      </c>
      <c r="AQ525" s="770" t="s">
        <v>501</v>
      </c>
      <c r="AR525" s="784" t="s">
        <v>502</v>
      </c>
      <c r="AS525" s="771">
        <v>327.0562651</v>
      </c>
      <c r="AT525" s="771">
        <v>242.7891844</v>
      </c>
      <c r="AU525" s="771">
        <v>438.1505402</v>
      </c>
      <c r="AV525" s="989" t="s">
        <v>233</v>
      </c>
      <c r="AW525" s="714"/>
    </row>
    <row r="526">
      <c r="A526" s="761"/>
      <c r="B526" s="776" t="s">
        <v>493</v>
      </c>
      <c r="C526" s="777" t="s">
        <v>619</v>
      </c>
      <c r="D526" s="777" t="s">
        <v>494</v>
      </c>
      <c r="E526" s="777" t="s">
        <v>508</v>
      </c>
      <c r="F526" s="777" t="s">
        <v>521</v>
      </c>
      <c r="G526" s="777" t="s">
        <v>103</v>
      </c>
      <c r="H526" s="778">
        <v>2019.0</v>
      </c>
      <c r="I526" s="780">
        <v>6.454824564</v>
      </c>
      <c r="J526" s="780">
        <v>15.91449441</v>
      </c>
      <c r="K526" s="782">
        <v>1.84373316</v>
      </c>
      <c r="M526" s="776" t="s">
        <v>493</v>
      </c>
      <c r="N526" s="777" t="s">
        <v>619</v>
      </c>
      <c r="O526" s="777" t="s">
        <v>494</v>
      </c>
      <c r="P526" s="777" t="s">
        <v>508</v>
      </c>
      <c r="Q526" s="777" t="s">
        <v>521</v>
      </c>
      <c r="R526" s="777" t="s">
        <v>497</v>
      </c>
      <c r="S526" s="778">
        <v>2019.0</v>
      </c>
      <c r="T526" s="780">
        <v>10.18219605</v>
      </c>
      <c r="U526" s="780">
        <v>25.10440067</v>
      </c>
      <c r="V526" s="782">
        <v>2.90840631</v>
      </c>
      <c r="X526" s="769" t="s">
        <v>521</v>
      </c>
      <c r="Y526" s="770" t="s">
        <v>494</v>
      </c>
      <c r="Z526" s="770" t="s">
        <v>499</v>
      </c>
      <c r="AA526" s="770" t="s">
        <v>620</v>
      </c>
      <c r="AB526" s="770" t="s">
        <v>493</v>
      </c>
      <c r="AC526" s="770" t="s">
        <v>103</v>
      </c>
      <c r="AD526" s="770" t="s">
        <v>501</v>
      </c>
      <c r="AE526" s="784" t="s">
        <v>502</v>
      </c>
      <c r="AF526" s="771">
        <v>0.0</v>
      </c>
      <c r="AG526" s="771">
        <v>0.0</v>
      </c>
      <c r="AH526" s="771">
        <v>0.0</v>
      </c>
      <c r="AI526" s="772" t="s">
        <v>233</v>
      </c>
      <c r="AK526" s="769" t="s">
        <v>521</v>
      </c>
      <c r="AL526" s="770" t="s">
        <v>494</v>
      </c>
      <c r="AM526" s="770" t="s">
        <v>499</v>
      </c>
      <c r="AN526" s="770" t="s">
        <v>620</v>
      </c>
      <c r="AO526" s="770" t="s">
        <v>493</v>
      </c>
      <c r="AP526" s="770" t="s">
        <v>504</v>
      </c>
      <c r="AQ526" s="770" t="s">
        <v>501</v>
      </c>
      <c r="AR526" s="784" t="s">
        <v>502</v>
      </c>
      <c r="AS526" s="771">
        <v>0.0</v>
      </c>
      <c r="AT526" s="771">
        <v>0.0</v>
      </c>
      <c r="AU526" s="771">
        <v>0.0</v>
      </c>
      <c r="AV526" s="989" t="s">
        <v>233</v>
      </c>
      <c r="AW526" s="714"/>
    </row>
    <row r="527">
      <c r="A527" s="761"/>
      <c r="B527" s="786" t="s">
        <v>493</v>
      </c>
      <c r="C527" s="787" t="s">
        <v>619</v>
      </c>
      <c r="D527" s="787" t="s">
        <v>494</v>
      </c>
      <c r="E527" s="787" t="s">
        <v>512</v>
      </c>
      <c r="F527" s="787" t="s">
        <v>521</v>
      </c>
      <c r="G527" s="787" t="s">
        <v>103</v>
      </c>
      <c r="H527" s="788">
        <v>2019.0</v>
      </c>
      <c r="I527" s="789">
        <v>0.0</v>
      </c>
      <c r="J527" s="789">
        <v>0.0</v>
      </c>
      <c r="K527" s="790">
        <v>0.0</v>
      </c>
      <c r="M527" s="786" t="s">
        <v>493</v>
      </c>
      <c r="N527" s="787" t="s">
        <v>619</v>
      </c>
      <c r="O527" s="787" t="s">
        <v>494</v>
      </c>
      <c r="P527" s="787" t="s">
        <v>512</v>
      </c>
      <c r="Q527" s="787" t="s">
        <v>521</v>
      </c>
      <c r="R527" s="787" t="s">
        <v>497</v>
      </c>
      <c r="S527" s="788">
        <v>2019.0</v>
      </c>
      <c r="T527" s="789">
        <v>0.0</v>
      </c>
      <c r="U527" s="789">
        <v>0.0</v>
      </c>
      <c r="V527" s="790">
        <v>0.0</v>
      </c>
      <c r="X527" s="769" t="s">
        <v>521</v>
      </c>
      <c r="Y527" s="770" t="s">
        <v>494</v>
      </c>
      <c r="Z527" s="770" t="s">
        <v>507</v>
      </c>
      <c r="AA527" s="770" t="s">
        <v>620</v>
      </c>
      <c r="AB527" s="770" t="s">
        <v>493</v>
      </c>
      <c r="AC527" s="770" t="s">
        <v>103</v>
      </c>
      <c r="AD527" s="770" t="s">
        <v>501</v>
      </c>
      <c r="AE527" s="784" t="s">
        <v>502</v>
      </c>
      <c r="AF527" s="771">
        <v>2.576058977</v>
      </c>
      <c r="AG527" s="771">
        <v>0.7047771745</v>
      </c>
      <c r="AH527" s="771">
        <v>6.626327159</v>
      </c>
      <c r="AI527" s="772" t="s">
        <v>233</v>
      </c>
      <c r="AK527" s="769" t="s">
        <v>521</v>
      </c>
      <c r="AL527" s="770" t="s">
        <v>494</v>
      </c>
      <c r="AM527" s="770" t="s">
        <v>507</v>
      </c>
      <c r="AN527" s="770" t="s">
        <v>620</v>
      </c>
      <c r="AO527" s="770" t="s">
        <v>493</v>
      </c>
      <c r="AP527" s="770" t="s">
        <v>504</v>
      </c>
      <c r="AQ527" s="770" t="s">
        <v>501</v>
      </c>
      <c r="AR527" s="784" t="s">
        <v>502</v>
      </c>
      <c r="AS527" s="771">
        <v>3.68826274</v>
      </c>
      <c r="AT527" s="771">
        <v>1.009062066</v>
      </c>
      <c r="AU527" s="771">
        <v>9.487218958</v>
      </c>
      <c r="AV527" s="989" t="s">
        <v>233</v>
      </c>
      <c r="AW527" s="714"/>
    </row>
    <row r="528">
      <c r="A528" s="761"/>
      <c r="B528" s="786" t="s">
        <v>493</v>
      </c>
      <c r="C528" s="787" t="s">
        <v>619</v>
      </c>
      <c r="D528" s="787" t="s">
        <v>494</v>
      </c>
      <c r="E528" s="787" t="s">
        <v>495</v>
      </c>
      <c r="F528" s="787" t="s">
        <v>523</v>
      </c>
      <c r="G528" s="787" t="s">
        <v>103</v>
      </c>
      <c r="H528" s="788">
        <v>2019.0</v>
      </c>
      <c r="I528" s="789">
        <v>55.54719409</v>
      </c>
      <c r="J528" s="789">
        <v>100.401186</v>
      </c>
      <c r="K528" s="790">
        <v>26.63358406</v>
      </c>
      <c r="M528" s="786" t="s">
        <v>493</v>
      </c>
      <c r="N528" s="787" t="s">
        <v>619</v>
      </c>
      <c r="O528" s="787" t="s">
        <v>494</v>
      </c>
      <c r="P528" s="787" t="s">
        <v>495</v>
      </c>
      <c r="Q528" s="787" t="s">
        <v>523</v>
      </c>
      <c r="R528" s="787" t="s">
        <v>497</v>
      </c>
      <c r="S528" s="788">
        <v>2019.0</v>
      </c>
      <c r="T528" s="789">
        <v>16.85322094</v>
      </c>
      <c r="U528" s="789">
        <v>30.46208542</v>
      </c>
      <c r="V528" s="790">
        <v>8.080726379</v>
      </c>
      <c r="X528" s="769" t="s">
        <v>521</v>
      </c>
      <c r="Y528" s="770" t="s">
        <v>494</v>
      </c>
      <c r="Z528" s="770" t="s">
        <v>509</v>
      </c>
      <c r="AA528" s="770" t="s">
        <v>620</v>
      </c>
      <c r="AB528" s="770" t="s">
        <v>493</v>
      </c>
      <c r="AC528" s="770" t="s">
        <v>103</v>
      </c>
      <c r="AD528" s="770" t="s">
        <v>501</v>
      </c>
      <c r="AE528" s="784" t="s">
        <v>502</v>
      </c>
      <c r="AF528" s="771">
        <v>0.0</v>
      </c>
      <c r="AG528" s="771">
        <v>0.0</v>
      </c>
      <c r="AH528" s="771">
        <v>0.0</v>
      </c>
      <c r="AI528" s="772" t="s">
        <v>233</v>
      </c>
      <c r="AK528" s="769" t="s">
        <v>521</v>
      </c>
      <c r="AL528" s="770" t="s">
        <v>494</v>
      </c>
      <c r="AM528" s="770" t="s">
        <v>509</v>
      </c>
      <c r="AN528" s="770" t="s">
        <v>620</v>
      </c>
      <c r="AO528" s="770" t="s">
        <v>493</v>
      </c>
      <c r="AP528" s="770" t="s">
        <v>504</v>
      </c>
      <c r="AQ528" s="770" t="s">
        <v>501</v>
      </c>
      <c r="AR528" s="784" t="s">
        <v>502</v>
      </c>
      <c r="AS528" s="771">
        <v>0.0</v>
      </c>
      <c r="AT528" s="771">
        <v>0.0</v>
      </c>
      <c r="AU528" s="771">
        <v>0.0</v>
      </c>
      <c r="AV528" s="989" t="s">
        <v>233</v>
      </c>
      <c r="AW528" s="714"/>
    </row>
    <row r="529">
      <c r="A529" s="761"/>
      <c r="B529" s="776" t="s">
        <v>493</v>
      </c>
      <c r="C529" s="777" t="s">
        <v>619</v>
      </c>
      <c r="D529" s="777" t="s">
        <v>494</v>
      </c>
      <c r="E529" s="777" t="s">
        <v>505</v>
      </c>
      <c r="F529" s="777" t="s">
        <v>523</v>
      </c>
      <c r="G529" s="777" t="s">
        <v>103</v>
      </c>
      <c r="H529" s="778">
        <v>2019.0</v>
      </c>
      <c r="I529" s="780">
        <v>0.0</v>
      </c>
      <c r="J529" s="780">
        <v>0.0</v>
      </c>
      <c r="K529" s="782">
        <v>0.0</v>
      </c>
      <c r="M529" s="776" t="s">
        <v>493</v>
      </c>
      <c r="N529" s="777" t="s">
        <v>619</v>
      </c>
      <c r="O529" s="777" t="s">
        <v>494</v>
      </c>
      <c r="P529" s="777" t="s">
        <v>505</v>
      </c>
      <c r="Q529" s="777" t="s">
        <v>523</v>
      </c>
      <c r="R529" s="777" t="s">
        <v>497</v>
      </c>
      <c r="S529" s="778">
        <v>2019.0</v>
      </c>
      <c r="T529" s="780">
        <v>0.0</v>
      </c>
      <c r="U529" s="780">
        <v>0.0</v>
      </c>
      <c r="V529" s="782">
        <v>0.0</v>
      </c>
      <c r="X529" s="769" t="s">
        <v>521</v>
      </c>
      <c r="Y529" s="770" t="s">
        <v>494</v>
      </c>
      <c r="Z529" s="770" t="s">
        <v>513</v>
      </c>
      <c r="AA529" s="770" t="s">
        <v>620</v>
      </c>
      <c r="AB529" s="770" t="s">
        <v>493</v>
      </c>
      <c r="AC529" s="770" t="s">
        <v>103</v>
      </c>
      <c r="AD529" s="770" t="s">
        <v>501</v>
      </c>
      <c r="AE529" s="784" t="s">
        <v>502</v>
      </c>
      <c r="AF529" s="771">
        <v>9.857013242</v>
      </c>
      <c r="AG529" s="771">
        <v>2.36085443</v>
      </c>
      <c r="AH529" s="771">
        <v>27.56478162</v>
      </c>
      <c r="AI529" s="772" t="s">
        <v>233</v>
      </c>
      <c r="AK529" s="769" t="s">
        <v>521</v>
      </c>
      <c r="AL529" s="770" t="s">
        <v>494</v>
      </c>
      <c r="AM529" s="770" t="s">
        <v>513</v>
      </c>
      <c r="AN529" s="770" t="s">
        <v>620</v>
      </c>
      <c r="AO529" s="770" t="s">
        <v>493</v>
      </c>
      <c r="AP529" s="770" t="s">
        <v>504</v>
      </c>
      <c r="AQ529" s="770" t="s">
        <v>501</v>
      </c>
      <c r="AR529" s="784" t="s">
        <v>502</v>
      </c>
      <c r="AS529" s="771">
        <v>2.651706812</v>
      </c>
      <c r="AT529" s="771">
        <v>0.6351106182</v>
      </c>
      <c r="AU529" s="771">
        <v>7.415402353</v>
      </c>
      <c r="AV529" s="989" t="s">
        <v>233</v>
      </c>
      <c r="AW529" s="714"/>
    </row>
    <row r="530">
      <c r="A530" s="761"/>
      <c r="B530" s="776" t="s">
        <v>493</v>
      </c>
      <c r="C530" s="777" t="s">
        <v>619</v>
      </c>
      <c r="D530" s="777" t="s">
        <v>494</v>
      </c>
      <c r="E530" s="777" t="s">
        <v>508</v>
      </c>
      <c r="F530" s="777" t="s">
        <v>523</v>
      </c>
      <c r="G530" s="777" t="s">
        <v>103</v>
      </c>
      <c r="H530" s="778">
        <v>2019.0</v>
      </c>
      <c r="I530" s="780">
        <v>17.02129554</v>
      </c>
      <c r="J530" s="780">
        <v>33.42196602</v>
      </c>
      <c r="K530" s="782">
        <v>7.085760067</v>
      </c>
      <c r="M530" s="776" t="s">
        <v>493</v>
      </c>
      <c r="N530" s="777" t="s">
        <v>619</v>
      </c>
      <c r="O530" s="777" t="s">
        <v>494</v>
      </c>
      <c r="P530" s="777" t="s">
        <v>508</v>
      </c>
      <c r="Q530" s="777" t="s">
        <v>523</v>
      </c>
      <c r="R530" s="777" t="s">
        <v>497</v>
      </c>
      <c r="S530" s="778">
        <v>2019.0</v>
      </c>
      <c r="T530" s="780">
        <v>26.85032977</v>
      </c>
      <c r="U530" s="780">
        <v>52.72165137</v>
      </c>
      <c r="V530" s="782">
        <v>11.17746849</v>
      </c>
      <c r="X530" s="769" t="s">
        <v>523</v>
      </c>
      <c r="Y530" s="770" t="s">
        <v>494</v>
      </c>
      <c r="Z530" s="770" t="s">
        <v>507</v>
      </c>
      <c r="AA530" s="770" t="s">
        <v>620</v>
      </c>
      <c r="AB530" s="770" t="s">
        <v>493</v>
      </c>
      <c r="AC530" s="770" t="s">
        <v>103</v>
      </c>
      <c r="AD530" s="770" t="s">
        <v>501</v>
      </c>
      <c r="AE530" s="784" t="s">
        <v>502</v>
      </c>
      <c r="AF530" s="771">
        <v>5.487279586</v>
      </c>
      <c r="AG530" s="771">
        <v>2.167395561</v>
      </c>
      <c r="AH530" s="771">
        <v>11.02301211</v>
      </c>
      <c r="AI530" s="772" t="s">
        <v>233</v>
      </c>
      <c r="AK530" s="769" t="s">
        <v>523</v>
      </c>
      <c r="AL530" s="770" t="s">
        <v>494</v>
      </c>
      <c r="AM530" s="770" t="s">
        <v>507</v>
      </c>
      <c r="AN530" s="770" t="s">
        <v>620</v>
      </c>
      <c r="AO530" s="770" t="s">
        <v>493</v>
      </c>
      <c r="AP530" s="770" t="s">
        <v>504</v>
      </c>
      <c r="AQ530" s="770" t="s">
        <v>501</v>
      </c>
      <c r="AR530" s="784" t="s">
        <v>502</v>
      </c>
      <c r="AS530" s="771">
        <v>7.856391884</v>
      </c>
      <c r="AT530" s="771">
        <v>3.103160433</v>
      </c>
      <c r="AU530" s="771">
        <v>15.78215608</v>
      </c>
      <c r="AV530" s="989" t="s">
        <v>233</v>
      </c>
      <c r="AW530" s="714"/>
    </row>
    <row r="531">
      <c r="A531" s="761"/>
      <c r="B531" s="786" t="s">
        <v>493</v>
      </c>
      <c r="C531" s="787" t="s">
        <v>619</v>
      </c>
      <c r="D531" s="787" t="s">
        <v>494</v>
      </c>
      <c r="E531" s="787" t="s">
        <v>512</v>
      </c>
      <c r="F531" s="787" t="s">
        <v>523</v>
      </c>
      <c r="G531" s="787" t="s">
        <v>103</v>
      </c>
      <c r="H531" s="788">
        <v>2019.0</v>
      </c>
      <c r="I531" s="789">
        <v>0.0</v>
      </c>
      <c r="J531" s="789">
        <v>0.0</v>
      </c>
      <c r="K531" s="790">
        <v>0.0</v>
      </c>
      <c r="M531" s="786" t="s">
        <v>493</v>
      </c>
      <c r="N531" s="787" t="s">
        <v>619</v>
      </c>
      <c r="O531" s="787" t="s">
        <v>494</v>
      </c>
      <c r="P531" s="787" t="s">
        <v>512</v>
      </c>
      <c r="Q531" s="787" t="s">
        <v>523</v>
      </c>
      <c r="R531" s="787" t="s">
        <v>497</v>
      </c>
      <c r="S531" s="788">
        <v>2019.0</v>
      </c>
      <c r="T531" s="789">
        <v>0.0</v>
      </c>
      <c r="U531" s="789">
        <v>0.0</v>
      </c>
      <c r="V531" s="790">
        <v>0.0</v>
      </c>
      <c r="X531" s="769" t="s">
        <v>523</v>
      </c>
      <c r="Y531" s="770" t="s">
        <v>494</v>
      </c>
      <c r="Z531" s="770" t="s">
        <v>513</v>
      </c>
      <c r="AA531" s="770" t="s">
        <v>620</v>
      </c>
      <c r="AB531" s="770" t="s">
        <v>493</v>
      </c>
      <c r="AC531" s="770" t="s">
        <v>103</v>
      </c>
      <c r="AD531" s="770" t="s">
        <v>501</v>
      </c>
      <c r="AE531" s="784" t="s">
        <v>502</v>
      </c>
      <c r="AF531" s="771">
        <v>8.422638433</v>
      </c>
      <c r="AG531" s="771">
        <v>3.575603508</v>
      </c>
      <c r="AH531" s="771">
        <v>16.20214692</v>
      </c>
      <c r="AI531" s="772" t="s">
        <v>233</v>
      </c>
      <c r="AK531" s="769" t="s">
        <v>523</v>
      </c>
      <c r="AL531" s="770" t="s">
        <v>494</v>
      </c>
      <c r="AM531" s="770" t="s">
        <v>513</v>
      </c>
      <c r="AN531" s="770" t="s">
        <v>620</v>
      </c>
      <c r="AO531" s="770" t="s">
        <v>493</v>
      </c>
      <c r="AP531" s="770" t="s">
        <v>504</v>
      </c>
      <c r="AQ531" s="770" t="s">
        <v>501</v>
      </c>
      <c r="AR531" s="784" t="s">
        <v>502</v>
      </c>
      <c r="AS531" s="771">
        <v>2.265835214</v>
      </c>
      <c r="AT531" s="771">
        <v>0.9618991014</v>
      </c>
      <c r="AU531" s="771">
        <v>4.358657364</v>
      </c>
      <c r="AV531" s="989" t="s">
        <v>233</v>
      </c>
      <c r="AW531" s="714"/>
    </row>
    <row r="532">
      <c r="A532" s="761"/>
      <c r="B532" s="786" t="s">
        <v>493</v>
      </c>
      <c r="C532" s="787" t="s">
        <v>621</v>
      </c>
      <c r="D532" s="787" t="s">
        <v>494</v>
      </c>
      <c r="E532" s="787" t="s">
        <v>495</v>
      </c>
      <c r="F532" s="787" t="s">
        <v>496</v>
      </c>
      <c r="G532" s="787" t="s">
        <v>103</v>
      </c>
      <c r="H532" s="788">
        <v>2019.0</v>
      </c>
      <c r="I532" s="789">
        <v>44320.4686</v>
      </c>
      <c r="J532" s="789">
        <v>58441.59051</v>
      </c>
      <c r="K532" s="790">
        <v>33281.65013</v>
      </c>
      <c r="M532" s="786" t="s">
        <v>493</v>
      </c>
      <c r="N532" s="787" t="s">
        <v>621</v>
      </c>
      <c r="O532" s="787" t="s">
        <v>494</v>
      </c>
      <c r="P532" s="787" t="s">
        <v>495</v>
      </c>
      <c r="Q532" s="787" t="s">
        <v>496</v>
      </c>
      <c r="R532" s="787" t="s">
        <v>497</v>
      </c>
      <c r="S532" s="788">
        <v>2019.0</v>
      </c>
      <c r="T532" s="789">
        <v>1116.206113</v>
      </c>
      <c r="U532" s="789">
        <v>1471.845011</v>
      </c>
      <c r="V532" s="790">
        <v>838.1946877</v>
      </c>
      <c r="X532" s="769" t="s">
        <v>496</v>
      </c>
      <c r="Y532" s="770" t="s">
        <v>494</v>
      </c>
      <c r="Z532" s="770" t="s">
        <v>499</v>
      </c>
      <c r="AA532" s="770" t="s">
        <v>622</v>
      </c>
      <c r="AB532" s="770" t="s">
        <v>493</v>
      </c>
      <c r="AC532" s="770" t="s">
        <v>103</v>
      </c>
      <c r="AD532" s="770" t="s">
        <v>501</v>
      </c>
      <c r="AE532" s="784" t="s">
        <v>502</v>
      </c>
      <c r="AF532" s="771">
        <v>3075.615474</v>
      </c>
      <c r="AG532" s="771">
        <v>2298.762215</v>
      </c>
      <c r="AH532" s="771">
        <v>4130.758546</v>
      </c>
      <c r="AI532" s="772" t="s">
        <v>233</v>
      </c>
      <c r="AK532" s="769" t="s">
        <v>496</v>
      </c>
      <c r="AL532" s="770" t="s">
        <v>494</v>
      </c>
      <c r="AM532" s="770" t="s">
        <v>499</v>
      </c>
      <c r="AN532" s="770" t="s">
        <v>622</v>
      </c>
      <c r="AO532" s="770" t="s">
        <v>493</v>
      </c>
      <c r="AP532" s="770" t="s">
        <v>504</v>
      </c>
      <c r="AQ532" s="770" t="s">
        <v>501</v>
      </c>
      <c r="AR532" s="784" t="s">
        <v>502</v>
      </c>
      <c r="AS532" s="771">
        <v>123950.7696</v>
      </c>
      <c r="AT532" s="771">
        <v>92642.7078</v>
      </c>
      <c r="AU532" s="771">
        <v>166474.2245</v>
      </c>
      <c r="AV532" s="989" t="s">
        <v>233</v>
      </c>
      <c r="AW532" s="714"/>
    </row>
    <row r="533">
      <c r="A533" s="761"/>
      <c r="B533" s="776" t="s">
        <v>493</v>
      </c>
      <c r="C533" s="777" t="s">
        <v>621</v>
      </c>
      <c r="D533" s="777" t="s">
        <v>494</v>
      </c>
      <c r="E533" s="777" t="s">
        <v>505</v>
      </c>
      <c r="F533" s="777" t="s">
        <v>496</v>
      </c>
      <c r="G533" s="777" t="s">
        <v>103</v>
      </c>
      <c r="H533" s="778">
        <v>2019.0</v>
      </c>
      <c r="I533" s="780">
        <v>16441.2388</v>
      </c>
      <c r="J533" s="780">
        <v>22368.64443</v>
      </c>
      <c r="K533" s="782">
        <v>11648.27683</v>
      </c>
      <c r="M533" s="776" t="s">
        <v>493</v>
      </c>
      <c r="N533" s="777" t="s">
        <v>621</v>
      </c>
      <c r="O533" s="777" t="s">
        <v>494</v>
      </c>
      <c r="P533" s="777" t="s">
        <v>505</v>
      </c>
      <c r="Q533" s="777" t="s">
        <v>496</v>
      </c>
      <c r="R533" s="777" t="s">
        <v>497</v>
      </c>
      <c r="S533" s="778">
        <v>2019.0</v>
      </c>
      <c r="T533" s="780">
        <v>101421.4654</v>
      </c>
      <c r="U533" s="780">
        <v>137985.9951</v>
      </c>
      <c r="V533" s="782">
        <v>71855.00555</v>
      </c>
      <c r="X533" s="769" t="s">
        <v>496</v>
      </c>
      <c r="Y533" s="770" t="s">
        <v>494</v>
      </c>
      <c r="Z533" s="770" t="s">
        <v>507</v>
      </c>
      <c r="AA533" s="770" t="s">
        <v>622</v>
      </c>
      <c r="AB533" s="770" t="s">
        <v>493</v>
      </c>
      <c r="AC533" s="770" t="s">
        <v>103</v>
      </c>
      <c r="AD533" s="770" t="s">
        <v>501</v>
      </c>
      <c r="AE533" s="784" t="s">
        <v>502</v>
      </c>
      <c r="AF533" s="771">
        <v>1841.405779</v>
      </c>
      <c r="AG533" s="771">
        <v>1372.304893</v>
      </c>
      <c r="AH533" s="771">
        <v>2484.27199</v>
      </c>
      <c r="AI533" s="772" t="s">
        <v>233</v>
      </c>
      <c r="AK533" s="769" t="s">
        <v>496</v>
      </c>
      <c r="AL533" s="770" t="s">
        <v>494</v>
      </c>
      <c r="AM533" s="770" t="s">
        <v>507</v>
      </c>
      <c r="AN533" s="770" t="s">
        <v>622</v>
      </c>
      <c r="AO533" s="770" t="s">
        <v>493</v>
      </c>
      <c r="AP533" s="770" t="s">
        <v>504</v>
      </c>
      <c r="AQ533" s="770" t="s">
        <v>501</v>
      </c>
      <c r="AR533" s="784" t="s">
        <v>502</v>
      </c>
      <c r="AS533" s="771">
        <v>1536.007763</v>
      </c>
      <c r="AT533" s="771">
        <v>1144.707481</v>
      </c>
      <c r="AU533" s="771">
        <v>2072.254311</v>
      </c>
      <c r="AV533" s="989" t="s">
        <v>233</v>
      </c>
      <c r="AW533" s="714"/>
    </row>
    <row r="534">
      <c r="A534" s="761"/>
      <c r="B534" s="776" t="s">
        <v>493</v>
      </c>
      <c r="C534" s="777" t="s">
        <v>621</v>
      </c>
      <c r="D534" s="777" t="s">
        <v>494</v>
      </c>
      <c r="E534" s="777" t="s">
        <v>508</v>
      </c>
      <c r="F534" s="777" t="s">
        <v>496</v>
      </c>
      <c r="G534" s="777" t="s">
        <v>103</v>
      </c>
      <c r="H534" s="778">
        <v>2019.0</v>
      </c>
      <c r="I534" s="780">
        <v>10636.86206</v>
      </c>
      <c r="J534" s="780">
        <v>14921.99701</v>
      </c>
      <c r="K534" s="782">
        <v>7413.064548</v>
      </c>
      <c r="M534" s="776" t="s">
        <v>493</v>
      </c>
      <c r="N534" s="777" t="s">
        <v>621</v>
      </c>
      <c r="O534" s="777" t="s">
        <v>494</v>
      </c>
      <c r="P534" s="777" t="s">
        <v>508</v>
      </c>
      <c r="Q534" s="777" t="s">
        <v>496</v>
      </c>
      <c r="R534" s="777" t="s">
        <v>497</v>
      </c>
      <c r="S534" s="778">
        <v>2019.0</v>
      </c>
      <c r="T534" s="780">
        <v>1405.249157</v>
      </c>
      <c r="U534" s="780">
        <v>1971.363698</v>
      </c>
      <c r="V534" s="782">
        <v>979.3492341</v>
      </c>
      <c r="X534" s="769" t="s">
        <v>496</v>
      </c>
      <c r="Y534" s="770" t="s">
        <v>494</v>
      </c>
      <c r="Z534" s="770" t="s">
        <v>509</v>
      </c>
      <c r="AA534" s="770" t="s">
        <v>622</v>
      </c>
      <c r="AB534" s="770" t="s">
        <v>493</v>
      </c>
      <c r="AC534" s="770" t="s">
        <v>103</v>
      </c>
      <c r="AD534" s="770" t="s">
        <v>501</v>
      </c>
      <c r="AE534" s="784" t="s">
        <v>502</v>
      </c>
      <c r="AF534" s="771">
        <v>518.5621321</v>
      </c>
      <c r="AG534" s="771">
        <v>385.1615113</v>
      </c>
      <c r="AH534" s="771">
        <v>703.741045</v>
      </c>
      <c r="AI534" s="772" t="s">
        <v>233</v>
      </c>
      <c r="AK534" s="769" t="s">
        <v>496</v>
      </c>
      <c r="AL534" s="770" t="s">
        <v>494</v>
      </c>
      <c r="AM534" s="770" t="s">
        <v>509</v>
      </c>
      <c r="AN534" s="770" t="s">
        <v>622</v>
      </c>
      <c r="AO534" s="770" t="s">
        <v>493</v>
      </c>
      <c r="AP534" s="770" t="s">
        <v>504</v>
      </c>
      <c r="AQ534" s="770" t="s">
        <v>501</v>
      </c>
      <c r="AR534" s="784" t="s">
        <v>502</v>
      </c>
      <c r="AS534" s="771">
        <v>7048.797398</v>
      </c>
      <c r="AT534" s="771">
        <v>5235.487304</v>
      </c>
      <c r="AU534" s="771">
        <v>9565.928053</v>
      </c>
      <c r="AV534" s="989" t="s">
        <v>233</v>
      </c>
      <c r="AW534" s="714"/>
    </row>
    <row r="535">
      <c r="A535" s="761"/>
      <c r="B535" s="786" t="s">
        <v>493</v>
      </c>
      <c r="C535" s="787" t="s">
        <v>621</v>
      </c>
      <c r="D535" s="787" t="s">
        <v>494</v>
      </c>
      <c r="E535" s="787" t="s">
        <v>512</v>
      </c>
      <c r="F535" s="787" t="s">
        <v>496</v>
      </c>
      <c r="G535" s="787" t="s">
        <v>103</v>
      </c>
      <c r="H535" s="788">
        <v>2019.0</v>
      </c>
      <c r="I535" s="789">
        <v>3390.846005</v>
      </c>
      <c r="J535" s="789">
        <v>4667.880533</v>
      </c>
      <c r="K535" s="790">
        <v>2349.017311</v>
      </c>
      <c r="M535" s="786" t="s">
        <v>493</v>
      </c>
      <c r="N535" s="787" t="s">
        <v>621</v>
      </c>
      <c r="O535" s="787" t="s">
        <v>494</v>
      </c>
      <c r="P535" s="787" t="s">
        <v>512</v>
      </c>
      <c r="Q535" s="787" t="s">
        <v>496</v>
      </c>
      <c r="R535" s="787" t="s">
        <v>497</v>
      </c>
      <c r="S535" s="788">
        <v>2019.0</v>
      </c>
      <c r="T535" s="789">
        <v>7060.368448</v>
      </c>
      <c r="U535" s="789">
        <v>9719.390495</v>
      </c>
      <c r="V535" s="790">
        <v>4891.088442</v>
      </c>
      <c r="X535" s="769" t="s">
        <v>496</v>
      </c>
      <c r="Y535" s="770" t="s">
        <v>494</v>
      </c>
      <c r="Z535" s="770" t="s">
        <v>513</v>
      </c>
      <c r="AA535" s="770" t="s">
        <v>622</v>
      </c>
      <c r="AB535" s="770" t="s">
        <v>493</v>
      </c>
      <c r="AC535" s="770" t="s">
        <v>103</v>
      </c>
      <c r="AD535" s="770" t="s">
        <v>501</v>
      </c>
      <c r="AE535" s="784" t="s">
        <v>502</v>
      </c>
      <c r="AF535" s="771">
        <v>7413.401889</v>
      </c>
      <c r="AG535" s="771">
        <v>5516.405089</v>
      </c>
      <c r="AH535" s="771">
        <v>9999.888506</v>
      </c>
      <c r="AI535" s="772" t="s">
        <v>233</v>
      </c>
      <c r="AK535" s="769" t="s">
        <v>496</v>
      </c>
      <c r="AL535" s="770" t="s">
        <v>494</v>
      </c>
      <c r="AM535" s="770" t="s">
        <v>513</v>
      </c>
      <c r="AN535" s="770" t="s">
        <v>622</v>
      </c>
      <c r="AO535" s="770" t="s">
        <v>493</v>
      </c>
      <c r="AP535" s="770" t="s">
        <v>504</v>
      </c>
      <c r="AQ535" s="770" t="s">
        <v>501</v>
      </c>
      <c r="AR535" s="784" t="s">
        <v>502</v>
      </c>
      <c r="AS535" s="771">
        <v>1142.997445</v>
      </c>
      <c r="AT535" s="771">
        <v>850.5186979</v>
      </c>
      <c r="AU535" s="771">
        <v>1541.781652</v>
      </c>
      <c r="AV535" s="989" t="s">
        <v>233</v>
      </c>
      <c r="AW535" s="714"/>
    </row>
    <row r="536">
      <c r="A536" s="761"/>
      <c r="B536" s="786" t="s">
        <v>493</v>
      </c>
      <c r="C536" s="787" t="s">
        <v>621</v>
      </c>
      <c r="D536" s="787" t="s">
        <v>494</v>
      </c>
      <c r="E536" s="787" t="s">
        <v>495</v>
      </c>
      <c r="F536" s="787" t="s">
        <v>514</v>
      </c>
      <c r="G536" s="787" t="s">
        <v>103</v>
      </c>
      <c r="H536" s="788">
        <v>2019.0</v>
      </c>
      <c r="I536" s="789">
        <v>38006.75232</v>
      </c>
      <c r="J536" s="789">
        <v>50489.28213</v>
      </c>
      <c r="K536" s="790">
        <v>28286.51007</v>
      </c>
      <c r="M536" s="786" t="s">
        <v>493</v>
      </c>
      <c r="N536" s="787" t="s">
        <v>621</v>
      </c>
      <c r="O536" s="787" t="s">
        <v>494</v>
      </c>
      <c r="P536" s="787" t="s">
        <v>495</v>
      </c>
      <c r="Q536" s="787" t="s">
        <v>514</v>
      </c>
      <c r="R536" s="787" t="s">
        <v>497</v>
      </c>
      <c r="S536" s="788">
        <v>2019.0</v>
      </c>
      <c r="T536" s="789">
        <v>957.1958654</v>
      </c>
      <c r="U536" s="789">
        <v>1271.567002</v>
      </c>
      <c r="V536" s="790">
        <v>712.3926362</v>
      </c>
      <c r="X536" s="769" t="s">
        <v>514</v>
      </c>
      <c r="Y536" s="770" t="s">
        <v>494</v>
      </c>
      <c r="Z536" s="770" t="s">
        <v>499</v>
      </c>
      <c r="AA536" s="770" t="s">
        <v>622</v>
      </c>
      <c r="AB536" s="770" t="s">
        <v>493</v>
      </c>
      <c r="AC536" s="770" t="s">
        <v>103</v>
      </c>
      <c r="AD536" s="770" t="s">
        <v>501</v>
      </c>
      <c r="AE536" s="784" t="s">
        <v>502</v>
      </c>
      <c r="AF536" s="771">
        <v>2851.329495</v>
      </c>
      <c r="AG536" s="771">
        <v>2092.868401</v>
      </c>
      <c r="AH536" s="771">
        <v>3830.944318</v>
      </c>
      <c r="AI536" s="772" t="s">
        <v>233</v>
      </c>
      <c r="AK536" s="769" t="s">
        <v>514</v>
      </c>
      <c r="AL536" s="770" t="s">
        <v>494</v>
      </c>
      <c r="AM536" s="770" t="s">
        <v>499</v>
      </c>
      <c r="AN536" s="770" t="s">
        <v>622</v>
      </c>
      <c r="AO536" s="770" t="s">
        <v>493</v>
      </c>
      <c r="AP536" s="770" t="s">
        <v>504</v>
      </c>
      <c r="AQ536" s="770" t="s">
        <v>501</v>
      </c>
      <c r="AR536" s="784" t="s">
        <v>502</v>
      </c>
      <c r="AS536" s="771">
        <v>114911.7919</v>
      </c>
      <c r="AT536" s="771">
        <v>84344.9551</v>
      </c>
      <c r="AU536" s="771">
        <v>154391.3732</v>
      </c>
      <c r="AV536" s="989" t="s">
        <v>233</v>
      </c>
      <c r="AW536" s="714"/>
    </row>
    <row r="537">
      <c r="A537" s="761"/>
      <c r="B537" s="776" t="s">
        <v>493</v>
      </c>
      <c r="C537" s="777" t="s">
        <v>621</v>
      </c>
      <c r="D537" s="777" t="s">
        <v>494</v>
      </c>
      <c r="E537" s="777" t="s">
        <v>505</v>
      </c>
      <c r="F537" s="777" t="s">
        <v>514</v>
      </c>
      <c r="G537" s="777" t="s">
        <v>103</v>
      </c>
      <c r="H537" s="778">
        <v>2019.0</v>
      </c>
      <c r="I537" s="780">
        <v>15109.29027</v>
      </c>
      <c r="J537" s="780">
        <v>20768.09309</v>
      </c>
      <c r="K537" s="782">
        <v>10652.74872</v>
      </c>
      <c r="M537" s="776" t="s">
        <v>493</v>
      </c>
      <c r="N537" s="777" t="s">
        <v>621</v>
      </c>
      <c r="O537" s="777" t="s">
        <v>494</v>
      </c>
      <c r="P537" s="777" t="s">
        <v>505</v>
      </c>
      <c r="Q537" s="777" t="s">
        <v>514</v>
      </c>
      <c r="R537" s="777" t="s">
        <v>497</v>
      </c>
      <c r="S537" s="778">
        <v>2019.0</v>
      </c>
      <c r="T537" s="780">
        <v>93205.04246</v>
      </c>
      <c r="U537" s="780">
        <v>128112.6356</v>
      </c>
      <c r="V537" s="782">
        <v>65713.86734</v>
      </c>
      <c r="X537" s="769" t="s">
        <v>514</v>
      </c>
      <c r="Y537" s="770" t="s">
        <v>494</v>
      </c>
      <c r="Z537" s="770" t="s">
        <v>507</v>
      </c>
      <c r="AA537" s="770" t="s">
        <v>622</v>
      </c>
      <c r="AB537" s="770" t="s">
        <v>493</v>
      </c>
      <c r="AC537" s="770" t="s">
        <v>103</v>
      </c>
      <c r="AD537" s="770" t="s">
        <v>501</v>
      </c>
      <c r="AE537" s="784" t="s">
        <v>502</v>
      </c>
      <c r="AF537" s="771">
        <v>1639.837214</v>
      </c>
      <c r="AG537" s="771">
        <v>1198.028816</v>
      </c>
      <c r="AH537" s="771">
        <v>2227.64837</v>
      </c>
      <c r="AI537" s="772" t="s">
        <v>233</v>
      </c>
      <c r="AK537" s="769" t="s">
        <v>514</v>
      </c>
      <c r="AL537" s="770" t="s">
        <v>494</v>
      </c>
      <c r="AM537" s="770" t="s">
        <v>507</v>
      </c>
      <c r="AN537" s="770" t="s">
        <v>622</v>
      </c>
      <c r="AO537" s="770" t="s">
        <v>493</v>
      </c>
      <c r="AP537" s="770" t="s">
        <v>504</v>
      </c>
      <c r="AQ537" s="770" t="s">
        <v>501</v>
      </c>
      <c r="AR537" s="784" t="s">
        <v>502</v>
      </c>
      <c r="AS537" s="771">
        <v>1367.86944</v>
      </c>
      <c r="AT537" s="771">
        <v>999.3351729</v>
      </c>
      <c r="AU537" s="771">
        <v>1858.191839</v>
      </c>
      <c r="AV537" s="989" t="s">
        <v>233</v>
      </c>
      <c r="AW537" s="714"/>
    </row>
    <row r="538">
      <c r="A538" s="761"/>
      <c r="B538" s="776" t="s">
        <v>493</v>
      </c>
      <c r="C538" s="777" t="s">
        <v>621</v>
      </c>
      <c r="D538" s="777" t="s">
        <v>494</v>
      </c>
      <c r="E538" s="777" t="s">
        <v>508</v>
      </c>
      <c r="F538" s="777" t="s">
        <v>514</v>
      </c>
      <c r="G538" s="777" t="s">
        <v>103</v>
      </c>
      <c r="H538" s="778">
        <v>2019.0</v>
      </c>
      <c r="I538" s="780">
        <v>8665.442746</v>
      </c>
      <c r="J538" s="780">
        <v>12171.52464</v>
      </c>
      <c r="K538" s="782">
        <v>6004.645219</v>
      </c>
      <c r="M538" s="776" t="s">
        <v>493</v>
      </c>
      <c r="N538" s="777" t="s">
        <v>621</v>
      </c>
      <c r="O538" s="777" t="s">
        <v>494</v>
      </c>
      <c r="P538" s="777" t="s">
        <v>508</v>
      </c>
      <c r="Q538" s="777" t="s">
        <v>514</v>
      </c>
      <c r="R538" s="777" t="s">
        <v>497</v>
      </c>
      <c r="S538" s="778">
        <v>2019.0</v>
      </c>
      <c r="T538" s="780">
        <v>1144.802485</v>
      </c>
      <c r="U538" s="780">
        <v>1607.995352</v>
      </c>
      <c r="V538" s="782">
        <v>793.281194</v>
      </c>
      <c r="X538" s="769" t="s">
        <v>514</v>
      </c>
      <c r="Y538" s="770" t="s">
        <v>494</v>
      </c>
      <c r="Z538" s="770" t="s">
        <v>509</v>
      </c>
      <c r="AA538" s="770" t="s">
        <v>622</v>
      </c>
      <c r="AB538" s="770" t="s">
        <v>493</v>
      </c>
      <c r="AC538" s="770" t="s">
        <v>103</v>
      </c>
      <c r="AD538" s="770" t="s">
        <v>501</v>
      </c>
      <c r="AE538" s="784" t="s">
        <v>502</v>
      </c>
      <c r="AF538" s="771">
        <v>472.6587243</v>
      </c>
      <c r="AG538" s="771">
        <v>350.7714582</v>
      </c>
      <c r="AH538" s="771">
        <v>640.7607071</v>
      </c>
      <c r="AI538" s="772" t="s">
        <v>233</v>
      </c>
      <c r="AK538" s="769" t="s">
        <v>514</v>
      </c>
      <c r="AL538" s="770" t="s">
        <v>494</v>
      </c>
      <c r="AM538" s="770" t="s">
        <v>509</v>
      </c>
      <c r="AN538" s="770" t="s">
        <v>622</v>
      </c>
      <c r="AO538" s="770" t="s">
        <v>493</v>
      </c>
      <c r="AP538" s="770" t="s">
        <v>504</v>
      </c>
      <c r="AQ538" s="770" t="s">
        <v>501</v>
      </c>
      <c r="AR538" s="784" t="s">
        <v>502</v>
      </c>
      <c r="AS538" s="771">
        <v>6424.833939</v>
      </c>
      <c r="AT538" s="771">
        <v>4768.024483</v>
      </c>
      <c r="AU538" s="771">
        <v>8709.838465</v>
      </c>
      <c r="AV538" s="989" t="s">
        <v>233</v>
      </c>
      <c r="AW538" s="714"/>
    </row>
    <row r="539">
      <c r="A539" s="761"/>
      <c r="B539" s="786" t="s">
        <v>493</v>
      </c>
      <c r="C539" s="787" t="s">
        <v>621</v>
      </c>
      <c r="D539" s="787" t="s">
        <v>494</v>
      </c>
      <c r="E539" s="787" t="s">
        <v>512</v>
      </c>
      <c r="F539" s="787" t="s">
        <v>514</v>
      </c>
      <c r="G539" s="787" t="s">
        <v>103</v>
      </c>
      <c r="H539" s="788">
        <v>2019.0</v>
      </c>
      <c r="I539" s="789">
        <v>2981.057443</v>
      </c>
      <c r="J539" s="789">
        <v>4144.256064</v>
      </c>
      <c r="K539" s="790">
        <v>2056.9715</v>
      </c>
      <c r="M539" s="786" t="s">
        <v>493</v>
      </c>
      <c r="N539" s="787" t="s">
        <v>621</v>
      </c>
      <c r="O539" s="787" t="s">
        <v>494</v>
      </c>
      <c r="P539" s="787" t="s">
        <v>512</v>
      </c>
      <c r="Q539" s="787" t="s">
        <v>514</v>
      </c>
      <c r="R539" s="787" t="s">
        <v>497</v>
      </c>
      <c r="S539" s="788">
        <v>2019.0</v>
      </c>
      <c r="T539" s="789">
        <v>6207.112879</v>
      </c>
      <c r="U539" s="789">
        <v>8629.107517</v>
      </c>
      <c r="V539" s="790">
        <v>4282.995057</v>
      </c>
      <c r="X539" s="769" t="s">
        <v>514</v>
      </c>
      <c r="Y539" s="770" t="s">
        <v>494</v>
      </c>
      <c r="Z539" s="770" t="s">
        <v>513</v>
      </c>
      <c r="AA539" s="770" t="s">
        <v>622</v>
      </c>
      <c r="AB539" s="770" t="s">
        <v>493</v>
      </c>
      <c r="AC539" s="770" t="s">
        <v>103</v>
      </c>
      <c r="AD539" s="770" t="s">
        <v>501</v>
      </c>
      <c r="AE539" s="784" t="s">
        <v>502</v>
      </c>
      <c r="AF539" s="771">
        <v>6773.45623</v>
      </c>
      <c r="AG539" s="771">
        <v>5014.453296</v>
      </c>
      <c r="AH539" s="771">
        <v>9193.463653</v>
      </c>
      <c r="AI539" s="772" t="s">
        <v>233</v>
      </c>
      <c r="AK539" s="769" t="s">
        <v>514</v>
      </c>
      <c r="AL539" s="770" t="s">
        <v>494</v>
      </c>
      <c r="AM539" s="770" t="s">
        <v>513</v>
      </c>
      <c r="AN539" s="770" t="s">
        <v>622</v>
      </c>
      <c r="AO539" s="770" t="s">
        <v>493</v>
      </c>
      <c r="AP539" s="770" t="s">
        <v>504</v>
      </c>
      <c r="AQ539" s="770" t="s">
        <v>501</v>
      </c>
      <c r="AR539" s="784" t="s">
        <v>502</v>
      </c>
      <c r="AS539" s="771">
        <v>1044.330697</v>
      </c>
      <c r="AT539" s="771">
        <v>773.1278287</v>
      </c>
      <c r="AU539" s="771">
        <v>1417.447162</v>
      </c>
      <c r="AV539" s="989" t="s">
        <v>233</v>
      </c>
      <c r="AW539" s="714"/>
    </row>
    <row r="540">
      <c r="A540" s="761"/>
      <c r="B540" s="786" t="s">
        <v>493</v>
      </c>
      <c r="C540" s="787" t="s">
        <v>621</v>
      </c>
      <c r="D540" s="787" t="s">
        <v>494</v>
      </c>
      <c r="E540" s="787" t="s">
        <v>495</v>
      </c>
      <c r="F540" s="787" t="s">
        <v>518</v>
      </c>
      <c r="G540" s="787" t="s">
        <v>103</v>
      </c>
      <c r="H540" s="788">
        <v>2019.0</v>
      </c>
      <c r="I540" s="789">
        <v>2685.656427</v>
      </c>
      <c r="J540" s="789">
        <v>4887.456426</v>
      </c>
      <c r="K540" s="790">
        <v>1229.354298</v>
      </c>
      <c r="M540" s="786" t="s">
        <v>493</v>
      </c>
      <c r="N540" s="787" t="s">
        <v>621</v>
      </c>
      <c r="O540" s="787" t="s">
        <v>494</v>
      </c>
      <c r="P540" s="787" t="s">
        <v>495</v>
      </c>
      <c r="Q540" s="787" t="s">
        <v>518</v>
      </c>
      <c r="R540" s="787" t="s">
        <v>497</v>
      </c>
      <c r="S540" s="788">
        <v>2019.0</v>
      </c>
      <c r="T540" s="789">
        <v>67.6379609</v>
      </c>
      <c r="U540" s="789">
        <v>123.090051</v>
      </c>
      <c r="V540" s="790">
        <v>30.96115242</v>
      </c>
      <c r="X540" s="769" t="s">
        <v>518</v>
      </c>
      <c r="Y540" s="770" t="s">
        <v>494</v>
      </c>
      <c r="Z540" s="770" t="s">
        <v>499</v>
      </c>
      <c r="AA540" s="770" t="s">
        <v>622</v>
      </c>
      <c r="AB540" s="770" t="s">
        <v>493</v>
      </c>
      <c r="AC540" s="770" t="s">
        <v>103</v>
      </c>
      <c r="AD540" s="770" t="s">
        <v>501</v>
      </c>
      <c r="AE540" s="784" t="s">
        <v>502</v>
      </c>
      <c r="AF540" s="771">
        <v>26.9636238</v>
      </c>
      <c r="AG540" s="771">
        <v>10.95334016</v>
      </c>
      <c r="AH540" s="771">
        <v>54.23372161</v>
      </c>
      <c r="AI540" s="772" t="s">
        <v>233</v>
      </c>
      <c r="AK540" s="769" t="s">
        <v>518</v>
      </c>
      <c r="AL540" s="770" t="s">
        <v>494</v>
      </c>
      <c r="AM540" s="770" t="s">
        <v>499</v>
      </c>
      <c r="AN540" s="770" t="s">
        <v>622</v>
      </c>
      <c r="AO540" s="770" t="s">
        <v>493</v>
      </c>
      <c r="AP540" s="770" t="s">
        <v>504</v>
      </c>
      <c r="AQ540" s="770" t="s">
        <v>501</v>
      </c>
      <c r="AR540" s="784" t="s">
        <v>502</v>
      </c>
      <c r="AS540" s="771">
        <v>1086.664425</v>
      </c>
      <c r="AT540" s="771">
        <v>441.4319521</v>
      </c>
      <c r="AU540" s="771">
        <v>2185.680098</v>
      </c>
      <c r="AV540" s="989" t="s">
        <v>233</v>
      </c>
      <c r="AW540" s="714"/>
    </row>
    <row r="541">
      <c r="A541" s="761"/>
      <c r="B541" s="776" t="s">
        <v>493</v>
      </c>
      <c r="C541" s="777" t="s">
        <v>621</v>
      </c>
      <c r="D541" s="777" t="s">
        <v>494</v>
      </c>
      <c r="E541" s="777" t="s">
        <v>505</v>
      </c>
      <c r="F541" s="777" t="s">
        <v>518</v>
      </c>
      <c r="G541" s="777" t="s">
        <v>103</v>
      </c>
      <c r="H541" s="778">
        <v>2019.0</v>
      </c>
      <c r="I541" s="780">
        <v>75.82957056</v>
      </c>
      <c r="J541" s="780">
        <v>166.9068831</v>
      </c>
      <c r="K541" s="782">
        <v>23.54371115</v>
      </c>
      <c r="M541" s="776" t="s">
        <v>493</v>
      </c>
      <c r="N541" s="777" t="s">
        <v>621</v>
      </c>
      <c r="O541" s="777" t="s">
        <v>494</v>
      </c>
      <c r="P541" s="777" t="s">
        <v>505</v>
      </c>
      <c r="Q541" s="777" t="s">
        <v>518</v>
      </c>
      <c r="R541" s="777" t="s">
        <v>497</v>
      </c>
      <c r="S541" s="778">
        <v>2019.0</v>
      </c>
      <c r="T541" s="780">
        <v>467.7716965</v>
      </c>
      <c r="U541" s="780">
        <v>1029.602506</v>
      </c>
      <c r="V541" s="782">
        <v>145.2346575</v>
      </c>
      <c r="X541" s="769" t="s">
        <v>518</v>
      </c>
      <c r="Y541" s="770" t="s">
        <v>494</v>
      </c>
      <c r="Z541" s="770" t="s">
        <v>507</v>
      </c>
      <c r="AA541" s="770" t="s">
        <v>622</v>
      </c>
      <c r="AB541" s="770" t="s">
        <v>493</v>
      </c>
      <c r="AC541" s="770" t="s">
        <v>103</v>
      </c>
      <c r="AD541" s="770" t="s">
        <v>501</v>
      </c>
      <c r="AE541" s="784" t="s">
        <v>502</v>
      </c>
      <c r="AF541" s="771">
        <v>375.1991693</v>
      </c>
      <c r="AG541" s="771">
        <v>167.4632947</v>
      </c>
      <c r="AH541" s="771">
        <v>689.3392403</v>
      </c>
      <c r="AI541" s="772" t="s">
        <v>233</v>
      </c>
      <c r="AK541" s="769" t="s">
        <v>518</v>
      </c>
      <c r="AL541" s="770" t="s">
        <v>494</v>
      </c>
      <c r="AM541" s="770" t="s">
        <v>507</v>
      </c>
      <c r="AN541" s="770" t="s">
        <v>622</v>
      </c>
      <c r="AO541" s="770" t="s">
        <v>493</v>
      </c>
      <c r="AP541" s="770" t="s">
        <v>504</v>
      </c>
      <c r="AQ541" s="770" t="s">
        <v>501</v>
      </c>
      <c r="AR541" s="784" t="s">
        <v>502</v>
      </c>
      <c r="AS541" s="771">
        <v>312.9722105</v>
      </c>
      <c r="AT541" s="771">
        <v>139.6894285</v>
      </c>
      <c r="AU541" s="771">
        <v>575.0120027</v>
      </c>
      <c r="AV541" s="989" t="s">
        <v>233</v>
      </c>
      <c r="AW541" s="714"/>
    </row>
    <row r="542">
      <c r="A542" s="761"/>
      <c r="B542" s="776" t="s">
        <v>493</v>
      </c>
      <c r="C542" s="777" t="s">
        <v>621</v>
      </c>
      <c r="D542" s="777" t="s">
        <v>494</v>
      </c>
      <c r="E542" s="777" t="s">
        <v>508</v>
      </c>
      <c r="F542" s="777" t="s">
        <v>518</v>
      </c>
      <c r="G542" s="777" t="s">
        <v>103</v>
      </c>
      <c r="H542" s="778">
        <v>2019.0</v>
      </c>
      <c r="I542" s="780">
        <v>1264.189099</v>
      </c>
      <c r="J542" s="780">
        <v>2560.397247</v>
      </c>
      <c r="K542" s="782">
        <v>484.8478864</v>
      </c>
      <c r="M542" s="776" t="s">
        <v>493</v>
      </c>
      <c r="N542" s="777" t="s">
        <v>621</v>
      </c>
      <c r="O542" s="777" t="s">
        <v>494</v>
      </c>
      <c r="P542" s="777" t="s">
        <v>508</v>
      </c>
      <c r="Q542" s="777" t="s">
        <v>518</v>
      </c>
      <c r="R542" s="777" t="s">
        <v>497</v>
      </c>
      <c r="S542" s="778">
        <v>2019.0</v>
      </c>
      <c r="T542" s="780">
        <v>167.0136039</v>
      </c>
      <c r="U542" s="780">
        <v>338.2572844</v>
      </c>
      <c r="V542" s="782">
        <v>64.05386101</v>
      </c>
      <c r="X542" s="769" t="s">
        <v>518</v>
      </c>
      <c r="Y542" s="770" t="s">
        <v>494</v>
      </c>
      <c r="Z542" s="770" t="s">
        <v>509</v>
      </c>
      <c r="AA542" s="770" t="s">
        <v>622</v>
      </c>
      <c r="AB542" s="770" t="s">
        <v>493</v>
      </c>
      <c r="AC542" s="770" t="s">
        <v>103</v>
      </c>
      <c r="AD542" s="770" t="s">
        <v>501</v>
      </c>
      <c r="AE542" s="784" t="s">
        <v>502</v>
      </c>
      <c r="AF542" s="771">
        <v>35.62944509</v>
      </c>
      <c r="AG542" s="771">
        <v>14.39948897</v>
      </c>
      <c r="AH542" s="771">
        <v>68.58970841</v>
      </c>
      <c r="AI542" s="772" t="s">
        <v>233</v>
      </c>
      <c r="AK542" s="769" t="s">
        <v>518</v>
      </c>
      <c r="AL542" s="770" t="s">
        <v>494</v>
      </c>
      <c r="AM542" s="770" t="s">
        <v>509</v>
      </c>
      <c r="AN542" s="770" t="s">
        <v>622</v>
      </c>
      <c r="AO542" s="770" t="s">
        <v>493</v>
      </c>
      <c r="AP542" s="770" t="s">
        <v>504</v>
      </c>
      <c r="AQ542" s="770" t="s">
        <v>501</v>
      </c>
      <c r="AR542" s="784" t="s">
        <v>502</v>
      </c>
      <c r="AS542" s="771">
        <v>484.3098334</v>
      </c>
      <c r="AT542" s="771">
        <v>195.731763</v>
      </c>
      <c r="AU542" s="771">
        <v>932.33757</v>
      </c>
      <c r="AV542" s="989" t="s">
        <v>233</v>
      </c>
      <c r="AW542" s="714"/>
    </row>
    <row r="543">
      <c r="A543" s="761"/>
      <c r="B543" s="786" t="s">
        <v>493</v>
      </c>
      <c r="C543" s="787" t="s">
        <v>621</v>
      </c>
      <c r="D543" s="787" t="s">
        <v>494</v>
      </c>
      <c r="E543" s="787" t="s">
        <v>512</v>
      </c>
      <c r="F543" s="787" t="s">
        <v>518</v>
      </c>
      <c r="G543" s="787" t="s">
        <v>103</v>
      </c>
      <c r="H543" s="788">
        <v>2019.0</v>
      </c>
      <c r="I543" s="789">
        <v>128.9936651</v>
      </c>
      <c r="J543" s="789">
        <v>304.8323432</v>
      </c>
      <c r="K543" s="790">
        <v>40.99201339</v>
      </c>
      <c r="M543" s="786" t="s">
        <v>493</v>
      </c>
      <c r="N543" s="787" t="s">
        <v>621</v>
      </c>
      <c r="O543" s="787" t="s">
        <v>494</v>
      </c>
      <c r="P543" s="787" t="s">
        <v>512</v>
      </c>
      <c r="Q543" s="787" t="s">
        <v>518</v>
      </c>
      <c r="R543" s="787" t="s">
        <v>497</v>
      </c>
      <c r="S543" s="788">
        <v>2019.0</v>
      </c>
      <c r="T543" s="789">
        <v>268.5886655</v>
      </c>
      <c r="U543" s="789">
        <v>634.7173109</v>
      </c>
      <c r="V543" s="790">
        <v>85.35295248</v>
      </c>
      <c r="X543" s="769" t="s">
        <v>518</v>
      </c>
      <c r="Y543" s="770" t="s">
        <v>494</v>
      </c>
      <c r="Z543" s="770" t="s">
        <v>513</v>
      </c>
      <c r="AA543" s="770" t="s">
        <v>622</v>
      </c>
      <c r="AB543" s="770" t="s">
        <v>493</v>
      </c>
      <c r="AC543" s="770" t="s">
        <v>103</v>
      </c>
      <c r="AD543" s="770" t="s">
        <v>501</v>
      </c>
      <c r="AE543" s="784" t="s">
        <v>502</v>
      </c>
      <c r="AF543" s="771">
        <v>668.6410825</v>
      </c>
      <c r="AG543" s="771">
        <v>295.0393638</v>
      </c>
      <c r="AH543" s="771">
        <v>1178.472379</v>
      </c>
      <c r="AI543" s="772" t="s">
        <v>233</v>
      </c>
      <c r="AK543" s="769" t="s">
        <v>518</v>
      </c>
      <c r="AL543" s="770" t="s">
        <v>494</v>
      </c>
      <c r="AM543" s="770" t="s">
        <v>513</v>
      </c>
      <c r="AN543" s="770" t="s">
        <v>622</v>
      </c>
      <c r="AO543" s="770" t="s">
        <v>493</v>
      </c>
      <c r="AP543" s="770" t="s">
        <v>504</v>
      </c>
      <c r="AQ543" s="770" t="s">
        <v>501</v>
      </c>
      <c r="AR543" s="784" t="s">
        <v>502</v>
      </c>
      <c r="AS543" s="771">
        <v>103.0910047</v>
      </c>
      <c r="AT543" s="771">
        <v>45.48913496</v>
      </c>
      <c r="AU543" s="771">
        <v>181.6967349</v>
      </c>
      <c r="AV543" s="989" t="s">
        <v>233</v>
      </c>
      <c r="AW543" s="714"/>
    </row>
    <row r="544">
      <c r="A544" s="761"/>
      <c r="B544" s="786" t="s">
        <v>493</v>
      </c>
      <c r="C544" s="787" t="s">
        <v>621</v>
      </c>
      <c r="D544" s="787" t="s">
        <v>494</v>
      </c>
      <c r="E544" s="787" t="s">
        <v>495</v>
      </c>
      <c r="F544" s="787" t="s">
        <v>519</v>
      </c>
      <c r="G544" s="787" t="s">
        <v>103</v>
      </c>
      <c r="H544" s="788">
        <v>2019.0</v>
      </c>
      <c r="I544" s="789">
        <v>16013.82034</v>
      </c>
      <c r="J544" s="789">
        <v>21956.56384</v>
      </c>
      <c r="K544" s="790">
        <v>11289.63614</v>
      </c>
      <c r="M544" s="786" t="s">
        <v>493</v>
      </c>
      <c r="N544" s="787" t="s">
        <v>621</v>
      </c>
      <c r="O544" s="787" t="s">
        <v>494</v>
      </c>
      <c r="P544" s="787" t="s">
        <v>495</v>
      </c>
      <c r="Q544" s="787" t="s">
        <v>519</v>
      </c>
      <c r="R544" s="787" t="s">
        <v>497</v>
      </c>
      <c r="S544" s="788">
        <v>2019.0</v>
      </c>
      <c r="T544" s="789">
        <v>403.3062989</v>
      </c>
      <c r="U544" s="789">
        <v>552.9736387</v>
      </c>
      <c r="V544" s="790">
        <v>284.3282411</v>
      </c>
      <c r="X544" s="769" t="s">
        <v>519</v>
      </c>
      <c r="Y544" s="770" t="s">
        <v>494</v>
      </c>
      <c r="Z544" s="770" t="s">
        <v>499</v>
      </c>
      <c r="AA544" s="770" t="s">
        <v>622</v>
      </c>
      <c r="AB544" s="770" t="s">
        <v>493</v>
      </c>
      <c r="AC544" s="770" t="s">
        <v>103</v>
      </c>
      <c r="AD544" s="770" t="s">
        <v>501</v>
      </c>
      <c r="AE544" s="784" t="s">
        <v>502</v>
      </c>
      <c r="AF544" s="771">
        <v>2336.520475</v>
      </c>
      <c r="AG544" s="771">
        <v>1693.837984</v>
      </c>
      <c r="AH544" s="771">
        <v>3218.697721</v>
      </c>
      <c r="AI544" s="772" t="s">
        <v>233</v>
      </c>
      <c r="AK544" s="769" t="s">
        <v>519</v>
      </c>
      <c r="AL544" s="770" t="s">
        <v>494</v>
      </c>
      <c r="AM544" s="770" t="s">
        <v>499</v>
      </c>
      <c r="AN544" s="770" t="s">
        <v>622</v>
      </c>
      <c r="AO544" s="770" t="s">
        <v>493</v>
      </c>
      <c r="AP544" s="770" t="s">
        <v>504</v>
      </c>
      <c r="AQ544" s="770" t="s">
        <v>501</v>
      </c>
      <c r="AR544" s="784" t="s">
        <v>502</v>
      </c>
      <c r="AS544" s="771">
        <v>94164.40824</v>
      </c>
      <c r="AT544" s="771">
        <v>68263.57961</v>
      </c>
      <c r="AU544" s="771">
        <v>129717.1454</v>
      </c>
      <c r="AV544" s="989" t="s">
        <v>233</v>
      </c>
      <c r="AW544" s="714"/>
    </row>
    <row r="545">
      <c r="A545" s="761"/>
      <c r="B545" s="776" t="s">
        <v>493</v>
      </c>
      <c r="C545" s="777" t="s">
        <v>621</v>
      </c>
      <c r="D545" s="777" t="s">
        <v>494</v>
      </c>
      <c r="E545" s="777" t="s">
        <v>505</v>
      </c>
      <c r="F545" s="777" t="s">
        <v>519</v>
      </c>
      <c r="G545" s="777" t="s">
        <v>103</v>
      </c>
      <c r="H545" s="778">
        <v>2019.0</v>
      </c>
      <c r="I545" s="780">
        <v>13863.31106</v>
      </c>
      <c r="J545" s="780">
        <v>19139.04429</v>
      </c>
      <c r="K545" s="782">
        <v>9712.856512</v>
      </c>
      <c r="M545" s="776" t="s">
        <v>493</v>
      </c>
      <c r="N545" s="777" t="s">
        <v>621</v>
      </c>
      <c r="O545" s="777" t="s">
        <v>494</v>
      </c>
      <c r="P545" s="777" t="s">
        <v>505</v>
      </c>
      <c r="Q545" s="777" t="s">
        <v>519</v>
      </c>
      <c r="R545" s="777" t="s">
        <v>497</v>
      </c>
      <c r="S545" s="778">
        <v>2019.0</v>
      </c>
      <c r="T545" s="780">
        <v>85518.94052</v>
      </c>
      <c r="U545" s="780">
        <v>118063.483</v>
      </c>
      <c r="V545" s="782">
        <v>59915.93168</v>
      </c>
      <c r="X545" s="769" t="s">
        <v>519</v>
      </c>
      <c r="Y545" s="770" t="s">
        <v>494</v>
      </c>
      <c r="Z545" s="770" t="s">
        <v>507</v>
      </c>
      <c r="AA545" s="770" t="s">
        <v>622</v>
      </c>
      <c r="AB545" s="770" t="s">
        <v>493</v>
      </c>
      <c r="AC545" s="770" t="s">
        <v>103</v>
      </c>
      <c r="AD545" s="770" t="s">
        <v>501</v>
      </c>
      <c r="AE545" s="784" t="s">
        <v>502</v>
      </c>
      <c r="AF545" s="771">
        <v>9.090764244</v>
      </c>
      <c r="AG545" s="771">
        <v>3.932633015</v>
      </c>
      <c r="AH545" s="771">
        <v>17.63494315</v>
      </c>
      <c r="AI545" s="772" t="s">
        <v>233</v>
      </c>
      <c r="AK545" s="769" t="s">
        <v>519</v>
      </c>
      <c r="AL545" s="770" t="s">
        <v>494</v>
      </c>
      <c r="AM545" s="770" t="s">
        <v>507</v>
      </c>
      <c r="AN545" s="770" t="s">
        <v>622</v>
      </c>
      <c r="AO545" s="770" t="s">
        <v>493</v>
      </c>
      <c r="AP545" s="770" t="s">
        <v>504</v>
      </c>
      <c r="AQ545" s="770" t="s">
        <v>501</v>
      </c>
      <c r="AR545" s="784" t="s">
        <v>502</v>
      </c>
      <c r="AS545" s="771">
        <v>7.583056715</v>
      </c>
      <c r="AT545" s="771">
        <v>3.280403978</v>
      </c>
      <c r="AU545" s="771">
        <v>14.71017953</v>
      </c>
      <c r="AV545" s="989" t="s">
        <v>233</v>
      </c>
      <c r="AW545" s="714"/>
    </row>
    <row r="546">
      <c r="A546" s="761"/>
      <c r="B546" s="776" t="s">
        <v>493</v>
      </c>
      <c r="C546" s="777" t="s">
        <v>621</v>
      </c>
      <c r="D546" s="777" t="s">
        <v>494</v>
      </c>
      <c r="E546" s="777" t="s">
        <v>508</v>
      </c>
      <c r="F546" s="777" t="s">
        <v>519</v>
      </c>
      <c r="G546" s="777" t="s">
        <v>103</v>
      </c>
      <c r="H546" s="778">
        <v>2019.0</v>
      </c>
      <c r="I546" s="780">
        <v>370.1754231</v>
      </c>
      <c r="J546" s="780">
        <v>649.7658197</v>
      </c>
      <c r="K546" s="782">
        <v>181.2525007</v>
      </c>
      <c r="M546" s="776" t="s">
        <v>493</v>
      </c>
      <c r="N546" s="777" t="s">
        <v>621</v>
      </c>
      <c r="O546" s="777" t="s">
        <v>494</v>
      </c>
      <c r="P546" s="777" t="s">
        <v>508</v>
      </c>
      <c r="Q546" s="777" t="s">
        <v>519</v>
      </c>
      <c r="R546" s="777" t="s">
        <v>497</v>
      </c>
      <c r="S546" s="778">
        <v>2019.0</v>
      </c>
      <c r="T546" s="780">
        <v>48.90433838</v>
      </c>
      <c r="U546" s="780">
        <v>85.84137555</v>
      </c>
      <c r="V546" s="782">
        <v>23.94549468</v>
      </c>
      <c r="X546" s="769" t="s">
        <v>519</v>
      </c>
      <c r="Y546" s="770" t="s">
        <v>494</v>
      </c>
      <c r="Z546" s="770" t="s">
        <v>509</v>
      </c>
      <c r="AA546" s="770" t="s">
        <v>622</v>
      </c>
      <c r="AB546" s="770" t="s">
        <v>493</v>
      </c>
      <c r="AC546" s="770" t="s">
        <v>103</v>
      </c>
      <c r="AD546" s="770" t="s">
        <v>501</v>
      </c>
      <c r="AE546" s="784" t="s">
        <v>502</v>
      </c>
      <c r="AF546" s="771">
        <v>152.948119</v>
      </c>
      <c r="AG546" s="771">
        <v>88.14978579</v>
      </c>
      <c r="AH546" s="771">
        <v>236.6805616</v>
      </c>
      <c r="AI546" s="772" t="s">
        <v>233</v>
      </c>
      <c r="AK546" s="769" t="s">
        <v>519</v>
      </c>
      <c r="AL546" s="770" t="s">
        <v>494</v>
      </c>
      <c r="AM546" s="770" t="s">
        <v>509</v>
      </c>
      <c r="AN546" s="770" t="s">
        <v>622</v>
      </c>
      <c r="AO546" s="770" t="s">
        <v>493</v>
      </c>
      <c r="AP546" s="770" t="s">
        <v>504</v>
      </c>
      <c r="AQ546" s="770" t="s">
        <v>501</v>
      </c>
      <c r="AR546" s="784" t="s">
        <v>502</v>
      </c>
      <c r="AS546" s="771">
        <v>2079.018572</v>
      </c>
      <c r="AT546" s="771">
        <v>1198.217036</v>
      </c>
      <c r="AU546" s="771">
        <v>3217.190811</v>
      </c>
      <c r="AV546" s="989" t="s">
        <v>233</v>
      </c>
      <c r="AW546" s="714"/>
    </row>
    <row r="547">
      <c r="A547" s="761"/>
      <c r="B547" s="786" t="s">
        <v>493</v>
      </c>
      <c r="C547" s="787" t="s">
        <v>621</v>
      </c>
      <c r="D547" s="787" t="s">
        <v>494</v>
      </c>
      <c r="E547" s="787" t="s">
        <v>512</v>
      </c>
      <c r="F547" s="787" t="s">
        <v>519</v>
      </c>
      <c r="G547" s="787" t="s">
        <v>103</v>
      </c>
      <c r="H547" s="788">
        <v>2019.0</v>
      </c>
      <c r="I547" s="789">
        <v>1735.530498</v>
      </c>
      <c r="J547" s="789">
        <v>2540.220671</v>
      </c>
      <c r="K547" s="790">
        <v>1086.655115</v>
      </c>
      <c r="M547" s="786" t="s">
        <v>493</v>
      </c>
      <c r="N547" s="787" t="s">
        <v>621</v>
      </c>
      <c r="O547" s="787" t="s">
        <v>494</v>
      </c>
      <c r="P547" s="787" t="s">
        <v>512</v>
      </c>
      <c r="Q547" s="787" t="s">
        <v>519</v>
      </c>
      <c r="R547" s="787" t="s">
        <v>497</v>
      </c>
      <c r="S547" s="788">
        <v>2019.0</v>
      </c>
      <c r="T547" s="789">
        <v>3613.695445</v>
      </c>
      <c r="U547" s="789">
        <v>5289.209197</v>
      </c>
      <c r="V547" s="790">
        <v>2262.616904</v>
      </c>
      <c r="X547" s="769" t="s">
        <v>519</v>
      </c>
      <c r="Y547" s="770" t="s">
        <v>494</v>
      </c>
      <c r="Z547" s="770" t="s">
        <v>513</v>
      </c>
      <c r="AA547" s="770" t="s">
        <v>622</v>
      </c>
      <c r="AB547" s="770" t="s">
        <v>493</v>
      </c>
      <c r="AC547" s="770" t="s">
        <v>103</v>
      </c>
      <c r="AD547" s="770" t="s">
        <v>501</v>
      </c>
      <c r="AE547" s="784" t="s">
        <v>502</v>
      </c>
      <c r="AF547" s="771">
        <v>2499.967764</v>
      </c>
      <c r="AG547" s="771">
        <v>1813.865999</v>
      </c>
      <c r="AH547" s="771">
        <v>3413.963983</v>
      </c>
      <c r="AI547" s="772" t="s">
        <v>233</v>
      </c>
      <c r="AK547" s="769" t="s">
        <v>519</v>
      </c>
      <c r="AL547" s="770" t="s">
        <v>494</v>
      </c>
      <c r="AM547" s="770" t="s">
        <v>513</v>
      </c>
      <c r="AN547" s="770" t="s">
        <v>622</v>
      </c>
      <c r="AO547" s="770" t="s">
        <v>493</v>
      </c>
      <c r="AP547" s="770" t="s">
        <v>504</v>
      </c>
      <c r="AQ547" s="770" t="s">
        <v>501</v>
      </c>
      <c r="AR547" s="784" t="s">
        <v>502</v>
      </c>
      <c r="AS547" s="771">
        <v>385.4447403</v>
      </c>
      <c r="AT547" s="771">
        <v>279.6616497</v>
      </c>
      <c r="AU547" s="771">
        <v>526.3645717</v>
      </c>
      <c r="AV547" s="989" t="s">
        <v>233</v>
      </c>
      <c r="AW547" s="714"/>
    </row>
    <row r="548">
      <c r="A548" s="761"/>
      <c r="B548" s="769" t="s">
        <v>493</v>
      </c>
      <c r="C548" s="770" t="s">
        <v>621</v>
      </c>
      <c r="D548" s="770" t="s">
        <v>494</v>
      </c>
      <c r="E548" s="770" t="s">
        <v>495</v>
      </c>
      <c r="F548" s="770" t="s">
        <v>521</v>
      </c>
      <c r="G548" s="770" t="s">
        <v>103</v>
      </c>
      <c r="H548" s="770">
        <v>2019.0</v>
      </c>
      <c r="I548" s="771">
        <v>503.3938068</v>
      </c>
      <c r="J548" s="771">
        <v>1171.904262</v>
      </c>
      <c r="K548" s="772">
        <v>144.1513683</v>
      </c>
      <c r="M548" s="769" t="s">
        <v>493</v>
      </c>
      <c r="N548" s="770" t="s">
        <v>621</v>
      </c>
      <c r="O548" s="770" t="s">
        <v>494</v>
      </c>
      <c r="P548" s="770" t="s">
        <v>495</v>
      </c>
      <c r="Q548" s="770" t="s">
        <v>521</v>
      </c>
      <c r="R548" s="770" t="s">
        <v>497</v>
      </c>
      <c r="S548" s="770">
        <v>2019.0</v>
      </c>
      <c r="T548" s="771">
        <v>12.6779175</v>
      </c>
      <c r="U548" s="771">
        <v>29.51427958</v>
      </c>
      <c r="V548" s="772">
        <v>3.630436311</v>
      </c>
      <c r="X548" s="769" t="s">
        <v>521</v>
      </c>
      <c r="Y548" s="770" t="s">
        <v>494</v>
      </c>
      <c r="Z548" s="770" t="s">
        <v>499</v>
      </c>
      <c r="AA548" s="770" t="s">
        <v>622</v>
      </c>
      <c r="AB548" s="770" t="s">
        <v>493</v>
      </c>
      <c r="AC548" s="770" t="s">
        <v>103</v>
      </c>
      <c r="AD548" s="770" t="s">
        <v>501</v>
      </c>
      <c r="AE548" s="784" t="s">
        <v>502</v>
      </c>
      <c r="AF548" s="771">
        <v>0.0</v>
      </c>
      <c r="AG548" s="771">
        <v>0.0</v>
      </c>
      <c r="AH548" s="771">
        <v>0.0</v>
      </c>
      <c r="AI548" s="772" t="s">
        <v>233</v>
      </c>
      <c r="AK548" s="769" t="s">
        <v>521</v>
      </c>
      <c r="AL548" s="770" t="s">
        <v>494</v>
      </c>
      <c r="AM548" s="770" t="s">
        <v>499</v>
      </c>
      <c r="AN548" s="770" t="s">
        <v>622</v>
      </c>
      <c r="AO548" s="770" t="s">
        <v>493</v>
      </c>
      <c r="AP548" s="770" t="s">
        <v>504</v>
      </c>
      <c r="AQ548" s="770" t="s">
        <v>501</v>
      </c>
      <c r="AR548" s="784" t="s">
        <v>502</v>
      </c>
      <c r="AS548" s="771">
        <v>0.0</v>
      </c>
      <c r="AT548" s="771">
        <v>0.0</v>
      </c>
      <c r="AU548" s="771">
        <v>0.0</v>
      </c>
      <c r="AV548" s="989" t="s">
        <v>233</v>
      </c>
      <c r="AW548" s="714"/>
    </row>
    <row r="549">
      <c r="A549" s="761"/>
      <c r="B549" s="769" t="s">
        <v>493</v>
      </c>
      <c r="C549" s="770" t="s">
        <v>621</v>
      </c>
      <c r="D549" s="770" t="s">
        <v>494</v>
      </c>
      <c r="E549" s="770" t="s">
        <v>505</v>
      </c>
      <c r="F549" s="770" t="s">
        <v>521</v>
      </c>
      <c r="G549" s="770" t="s">
        <v>103</v>
      </c>
      <c r="H549" s="770">
        <v>2019.0</v>
      </c>
      <c r="I549" s="771">
        <v>0.0</v>
      </c>
      <c r="J549" s="771">
        <v>0.0</v>
      </c>
      <c r="K549" s="772">
        <v>0.0</v>
      </c>
      <c r="M549" s="769" t="s">
        <v>493</v>
      </c>
      <c r="N549" s="770" t="s">
        <v>621</v>
      </c>
      <c r="O549" s="770" t="s">
        <v>494</v>
      </c>
      <c r="P549" s="770" t="s">
        <v>505</v>
      </c>
      <c r="Q549" s="770" t="s">
        <v>521</v>
      </c>
      <c r="R549" s="770" t="s">
        <v>497</v>
      </c>
      <c r="S549" s="770">
        <v>2019.0</v>
      </c>
      <c r="T549" s="771">
        <v>0.0</v>
      </c>
      <c r="U549" s="771">
        <v>0.0</v>
      </c>
      <c r="V549" s="772">
        <v>0.0</v>
      </c>
      <c r="X549" s="769" t="s">
        <v>521</v>
      </c>
      <c r="Y549" s="770" t="s">
        <v>494</v>
      </c>
      <c r="Z549" s="770" t="s">
        <v>507</v>
      </c>
      <c r="AA549" s="770" t="s">
        <v>622</v>
      </c>
      <c r="AB549" s="770" t="s">
        <v>493</v>
      </c>
      <c r="AC549" s="770" t="s">
        <v>103</v>
      </c>
      <c r="AD549" s="770" t="s">
        <v>501</v>
      </c>
      <c r="AE549" s="784" t="s">
        <v>502</v>
      </c>
      <c r="AF549" s="771">
        <v>1.870448917</v>
      </c>
      <c r="AG549" s="771">
        <v>0.4639858933</v>
      </c>
      <c r="AH549" s="771">
        <v>4.999167002</v>
      </c>
      <c r="AI549" s="772" t="s">
        <v>233</v>
      </c>
      <c r="AK549" s="769" t="s">
        <v>521</v>
      </c>
      <c r="AL549" s="770" t="s">
        <v>494</v>
      </c>
      <c r="AM549" s="770" t="s">
        <v>507</v>
      </c>
      <c r="AN549" s="770" t="s">
        <v>622</v>
      </c>
      <c r="AO549" s="770" t="s">
        <v>493</v>
      </c>
      <c r="AP549" s="770" t="s">
        <v>504</v>
      </c>
      <c r="AQ549" s="770" t="s">
        <v>501</v>
      </c>
      <c r="AR549" s="784" t="s">
        <v>502</v>
      </c>
      <c r="AS549" s="771">
        <v>1.560234083</v>
      </c>
      <c r="AT549" s="771">
        <v>0.3870336144</v>
      </c>
      <c r="AU549" s="771">
        <v>4.170052801</v>
      </c>
      <c r="AV549" s="989" t="s">
        <v>233</v>
      </c>
      <c r="AW549" s="714"/>
    </row>
    <row r="550">
      <c r="A550" s="761"/>
      <c r="B550" s="769" t="s">
        <v>493</v>
      </c>
      <c r="C550" s="770" t="s">
        <v>621</v>
      </c>
      <c r="D550" s="770" t="s">
        <v>494</v>
      </c>
      <c r="E550" s="770" t="s">
        <v>508</v>
      </c>
      <c r="F550" s="770" t="s">
        <v>521</v>
      </c>
      <c r="G550" s="770" t="s">
        <v>103</v>
      </c>
      <c r="H550" s="770">
        <v>2019.0</v>
      </c>
      <c r="I550" s="771">
        <v>138.8342369</v>
      </c>
      <c r="J550" s="771">
        <v>333.5189319</v>
      </c>
      <c r="K550" s="772">
        <v>38.00114873</v>
      </c>
      <c r="M550" s="769" t="s">
        <v>493</v>
      </c>
      <c r="N550" s="770" t="s">
        <v>621</v>
      </c>
      <c r="O550" s="770" t="s">
        <v>494</v>
      </c>
      <c r="P550" s="770" t="s">
        <v>508</v>
      </c>
      <c r="Q550" s="770" t="s">
        <v>521</v>
      </c>
      <c r="R550" s="770" t="s">
        <v>497</v>
      </c>
      <c r="S550" s="770">
        <v>2019.0</v>
      </c>
      <c r="T550" s="771">
        <v>18.34156478</v>
      </c>
      <c r="U550" s="771">
        <v>44.06160345</v>
      </c>
      <c r="V550" s="772">
        <v>5.020379312</v>
      </c>
      <c r="X550" s="769" t="s">
        <v>521</v>
      </c>
      <c r="Y550" s="770" t="s">
        <v>494</v>
      </c>
      <c r="Z550" s="770" t="s">
        <v>509</v>
      </c>
      <c r="AA550" s="770" t="s">
        <v>622</v>
      </c>
      <c r="AB550" s="770" t="s">
        <v>493</v>
      </c>
      <c r="AC550" s="770" t="s">
        <v>103</v>
      </c>
      <c r="AD550" s="770" t="s">
        <v>501</v>
      </c>
      <c r="AE550" s="784" t="s">
        <v>502</v>
      </c>
      <c r="AF550" s="771">
        <v>0.0</v>
      </c>
      <c r="AG550" s="771">
        <v>0.0</v>
      </c>
      <c r="AH550" s="771">
        <v>0.0</v>
      </c>
      <c r="AI550" s="772" t="s">
        <v>233</v>
      </c>
      <c r="AK550" s="769" t="s">
        <v>521</v>
      </c>
      <c r="AL550" s="770" t="s">
        <v>494</v>
      </c>
      <c r="AM550" s="770" t="s">
        <v>509</v>
      </c>
      <c r="AN550" s="770" t="s">
        <v>622</v>
      </c>
      <c r="AO550" s="770" t="s">
        <v>493</v>
      </c>
      <c r="AP550" s="770" t="s">
        <v>504</v>
      </c>
      <c r="AQ550" s="770" t="s">
        <v>501</v>
      </c>
      <c r="AR550" s="784" t="s">
        <v>502</v>
      </c>
      <c r="AS550" s="771">
        <v>0.0</v>
      </c>
      <c r="AT550" s="771">
        <v>0.0</v>
      </c>
      <c r="AU550" s="771">
        <v>0.0</v>
      </c>
      <c r="AV550" s="989" t="s">
        <v>233</v>
      </c>
      <c r="AW550" s="714"/>
    </row>
    <row r="551">
      <c r="A551" s="761"/>
      <c r="B551" s="769" t="s">
        <v>493</v>
      </c>
      <c r="C551" s="770" t="s">
        <v>621</v>
      </c>
      <c r="D551" s="770" t="s">
        <v>494</v>
      </c>
      <c r="E551" s="770" t="s">
        <v>512</v>
      </c>
      <c r="F551" s="770" t="s">
        <v>521</v>
      </c>
      <c r="G551" s="770" t="s">
        <v>103</v>
      </c>
      <c r="H551" s="770">
        <v>2019.0</v>
      </c>
      <c r="I551" s="771">
        <v>0.0</v>
      </c>
      <c r="J551" s="771">
        <v>0.0</v>
      </c>
      <c r="K551" s="772">
        <v>0.0</v>
      </c>
      <c r="M551" s="769" t="s">
        <v>493</v>
      </c>
      <c r="N551" s="770" t="s">
        <v>621</v>
      </c>
      <c r="O551" s="770" t="s">
        <v>494</v>
      </c>
      <c r="P551" s="770" t="s">
        <v>512</v>
      </c>
      <c r="Q551" s="770" t="s">
        <v>521</v>
      </c>
      <c r="R551" s="770" t="s">
        <v>497</v>
      </c>
      <c r="S551" s="770">
        <v>2019.0</v>
      </c>
      <c r="T551" s="771">
        <v>0.0</v>
      </c>
      <c r="U551" s="771">
        <v>0.0</v>
      </c>
      <c r="V551" s="772">
        <v>0.0</v>
      </c>
      <c r="X551" s="769" t="s">
        <v>521</v>
      </c>
      <c r="Y551" s="770" t="s">
        <v>494</v>
      </c>
      <c r="Z551" s="770" t="s">
        <v>513</v>
      </c>
      <c r="AA551" s="770" t="s">
        <v>622</v>
      </c>
      <c r="AB551" s="770" t="s">
        <v>493</v>
      </c>
      <c r="AC551" s="770" t="s">
        <v>103</v>
      </c>
      <c r="AD551" s="770" t="s">
        <v>501</v>
      </c>
      <c r="AE551" s="784" t="s">
        <v>502</v>
      </c>
      <c r="AF551" s="771">
        <v>8.050421011</v>
      </c>
      <c r="AG551" s="771">
        <v>1.869004169</v>
      </c>
      <c r="AH551" s="771">
        <v>22.58087857</v>
      </c>
      <c r="AI551" s="772" t="s">
        <v>233</v>
      </c>
      <c r="AK551" s="769" t="s">
        <v>521</v>
      </c>
      <c r="AL551" s="770" t="s">
        <v>494</v>
      </c>
      <c r="AM551" s="770" t="s">
        <v>513</v>
      </c>
      <c r="AN551" s="770" t="s">
        <v>622</v>
      </c>
      <c r="AO551" s="770" t="s">
        <v>493</v>
      </c>
      <c r="AP551" s="770" t="s">
        <v>504</v>
      </c>
      <c r="AQ551" s="770" t="s">
        <v>501</v>
      </c>
      <c r="AR551" s="784" t="s">
        <v>502</v>
      </c>
      <c r="AS551" s="771">
        <v>1.241212979</v>
      </c>
      <c r="AT551" s="771">
        <v>0.2881628463</v>
      </c>
      <c r="AU551" s="771">
        <v>3.481517244</v>
      </c>
      <c r="AV551" s="989" t="s">
        <v>233</v>
      </c>
      <c r="AW551" s="714"/>
    </row>
    <row r="552">
      <c r="A552" s="761"/>
      <c r="B552" s="786" t="s">
        <v>493</v>
      </c>
      <c r="C552" s="787" t="s">
        <v>621</v>
      </c>
      <c r="D552" s="787" t="s">
        <v>494</v>
      </c>
      <c r="E552" s="787" t="s">
        <v>495</v>
      </c>
      <c r="F552" s="787" t="s">
        <v>523</v>
      </c>
      <c r="G552" s="787" t="s">
        <v>103</v>
      </c>
      <c r="H552" s="788">
        <v>2019.0</v>
      </c>
      <c r="I552" s="789">
        <v>972.2894162</v>
      </c>
      <c r="J552" s="789">
        <v>1731.915391</v>
      </c>
      <c r="K552" s="790">
        <v>462.6706058</v>
      </c>
      <c r="M552" s="786" t="s">
        <v>493</v>
      </c>
      <c r="N552" s="787" t="s">
        <v>621</v>
      </c>
      <c r="O552" s="787" t="s">
        <v>494</v>
      </c>
      <c r="P552" s="787" t="s">
        <v>495</v>
      </c>
      <c r="Q552" s="787" t="s">
        <v>523</v>
      </c>
      <c r="R552" s="787" t="s">
        <v>497</v>
      </c>
      <c r="S552" s="788">
        <v>2019.0</v>
      </c>
      <c r="T552" s="789">
        <v>24.48700171</v>
      </c>
      <c r="U552" s="789">
        <v>43.6180981</v>
      </c>
      <c r="V552" s="790">
        <v>11.65230818</v>
      </c>
      <c r="X552" s="769" t="s">
        <v>523</v>
      </c>
      <c r="Y552" s="770" t="s">
        <v>494</v>
      </c>
      <c r="Z552" s="770" t="s">
        <v>507</v>
      </c>
      <c r="AA552" s="770" t="s">
        <v>622</v>
      </c>
      <c r="AB552" s="770" t="s">
        <v>493</v>
      </c>
      <c r="AC552" s="770" t="s">
        <v>103</v>
      </c>
      <c r="AD552" s="770" t="s">
        <v>501</v>
      </c>
      <c r="AE552" s="784" t="s">
        <v>502</v>
      </c>
      <c r="AF552" s="771">
        <v>13.41304709</v>
      </c>
      <c r="AG552" s="771">
        <v>5.331275977</v>
      </c>
      <c r="AH552" s="771">
        <v>27.28410141</v>
      </c>
      <c r="AI552" s="772" t="s">
        <v>233</v>
      </c>
      <c r="AK552" s="769" t="s">
        <v>523</v>
      </c>
      <c r="AL552" s="770" t="s">
        <v>494</v>
      </c>
      <c r="AM552" s="770" t="s">
        <v>507</v>
      </c>
      <c r="AN552" s="770" t="s">
        <v>622</v>
      </c>
      <c r="AO552" s="770" t="s">
        <v>493</v>
      </c>
      <c r="AP552" s="770" t="s">
        <v>504</v>
      </c>
      <c r="AQ552" s="770" t="s">
        <v>501</v>
      </c>
      <c r="AR552" s="784" t="s">
        <v>502</v>
      </c>
      <c r="AS552" s="771">
        <v>11.18848692</v>
      </c>
      <c r="AT552" s="771">
        <v>4.447081346</v>
      </c>
      <c r="AU552" s="771">
        <v>22.75902034</v>
      </c>
      <c r="AV552" s="989" t="s">
        <v>233</v>
      </c>
      <c r="AW552" s="714"/>
    </row>
    <row r="553">
      <c r="A553" s="761"/>
      <c r="B553" s="776" t="s">
        <v>493</v>
      </c>
      <c r="C553" s="777" t="s">
        <v>621</v>
      </c>
      <c r="D553" s="777" t="s">
        <v>494</v>
      </c>
      <c r="E553" s="777" t="s">
        <v>505</v>
      </c>
      <c r="F553" s="777" t="s">
        <v>523</v>
      </c>
      <c r="G553" s="777" t="s">
        <v>103</v>
      </c>
      <c r="H553" s="778">
        <v>2019.0</v>
      </c>
      <c r="I553" s="780">
        <v>0.0</v>
      </c>
      <c r="J553" s="780">
        <v>0.0</v>
      </c>
      <c r="K553" s="782">
        <v>0.0</v>
      </c>
      <c r="M553" s="776" t="s">
        <v>493</v>
      </c>
      <c r="N553" s="777" t="s">
        <v>621</v>
      </c>
      <c r="O553" s="777" t="s">
        <v>494</v>
      </c>
      <c r="P553" s="777" t="s">
        <v>505</v>
      </c>
      <c r="Q553" s="777" t="s">
        <v>523</v>
      </c>
      <c r="R553" s="777" t="s">
        <v>497</v>
      </c>
      <c r="S553" s="778">
        <v>2019.0</v>
      </c>
      <c r="T553" s="780">
        <v>0.0</v>
      </c>
      <c r="U553" s="780">
        <v>0.0</v>
      </c>
      <c r="V553" s="782">
        <v>0.0</v>
      </c>
      <c r="X553" s="769" t="s">
        <v>523</v>
      </c>
      <c r="Y553" s="770" t="s">
        <v>494</v>
      </c>
      <c r="Z553" s="770" t="s">
        <v>513</v>
      </c>
      <c r="AA553" s="770" t="s">
        <v>622</v>
      </c>
      <c r="AB553" s="770" t="s">
        <v>493</v>
      </c>
      <c r="AC553" s="770" t="s">
        <v>103</v>
      </c>
      <c r="AD553" s="770" t="s">
        <v>501</v>
      </c>
      <c r="AE553" s="784" t="s">
        <v>502</v>
      </c>
      <c r="AF553" s="771">
        <v>21.25261563</v>
      </c>
      <c r="AG553" s="771">
        <v>8.328421782</v>
      </c>
      <c r="AH553" s="771">
        <v>41.89899742</v>
      </c>
      <c r="AI553" s="772" t="s">
        <v>233</v>
      </c>
      <c r="AK553" s="769" t="s">
        <v>523</v>
      </c>
      <c r="AL553" s="770" t="s">
        <v>494</v>
      </c>
      <c r="AM553" s="770" t="s">
        <v>513</v>
      </c>
      <c r="AN553" s="770" t="s">
        <v>622</v>
      </c>
      <c r="AO553" s="770" t="s">
        <v>493</v>
      </c>
      <c r="AP553" s="770" t="s">
        <v>504</v>
      </c>
      <c r="AQ553" s="770" t="s">
        <v>501</v>
      </c>
      <c r="AR553" s="784" t="s">
        <v>502</v>
      </c>
      <c r="AS553" s="771">
        <v>3.276725817</v>
      </c>
      <c r="AT553" s="771">
        <v>1.284075106</v>
      </c>
      <c r="AU553" s="771">
        <v>6.459982571</v>
      </c>
      <c r="AV553" s="989" t="s">
        <v>233</v>
      </c>
      <c r="AW553" s="714"/>
    </row>
    <row r="554">
      <c r="A554" s="761"/>
      <c r="B554" s="776" t="s">
        <v>493</v>
      </c>
      <c r="C554" s="777" t="s">
        <v>621</v>
      </c>
      <c r="D554" s="777" t="s">
        <v>494</v>
      </c>
      <c r="E554" s="777" t="s">
        <v>508</v>
      </c>
      <c r="F554" s="777" t="s">
        <v>523</v>
      </c>
      <c r="G554" s="777" t="s">
        <v>103</v>
      </c>
      <c r="H554" s="778">
        <v>2019.0</v>
      </c>
      <c r="I554" s="780">
        <v>407.5402808</v>
      </c>
      <c r="J554" s="780">
        <v>792.0430781</v>
      </c>
      <c r="K554" s="782">
        <v>169.0741027</v>
      </c>
      <c r="M554" s="776" t="s">
        <v>493</v>
      </c>
      <c r="N554" s="777" t="s">
        <v>621</v>
      </c>
      <c r="O554" s="777" t="s">
        <v>494</v>
      </c>
      <c r="P554" s="777" t="s">
        <v>508</v>
      </c>
      <c r="Q554" s="777" t="s">
        <v>523</v>
      </c>
      <c r="R554" s="777" t="s">
        <v>497</v>
      </c>
      <c r="S554" s="778">
        <v>2019.0</v>
      </c>
      <c r="T554" s="780">
        <v>53.84065649</v>
      </c>
      <c r="U554" s="780">
        <v>104.6378022</v>
      </c>
      <c r="V554" s="782">
        <v>22.33659129</v>
      </c>
      <c r="X554" s="769" t="s">
        <v>496</v>
      </c>
      <c r="Y554" s="770" t="s">
        <v>494</v>
      </c>
      <c r="Z554" s="770" t="s">
        <v>499</v>
      </c>
      <c r="AA554" s="770" t="s">
        <v>38</v>
      </c>
      <c r="AB554" s="770" t="s">
        <v>493</v>
      </c>
      <c r="AC554" s="770" t="s">
        <v>103</v>
      </c>
      <c r="AD554" s="770" t="s">
        <v>501</v>
      </c>
      <c r="AE554" s="784" t="s">
        <v>502</v>
      </c>
      <c r="AF554" s="771">
        <v>4455.531084</v>
      </c>
      <c r="AG554" s="771">
        <v>3651.287802</v>
      </c>
      <c r="AH554" s="771">
        <v>5541.118566</v>
      </c>
      <c r="AI554" s="772" t="s">
        <v>233</v>
      </c>
      <c r="AK554" s="769" t="s">
        <v>496</v>
      </c>
      <c r="AL554" s="770" t="s">
        <v>494</v>
      </c>
      <c r="AM554" s="770" t="s">
        <v>499</v>
      </c>
      <c r="AN554" s="770" t="s">
        <v>38</v>
      </c>
      <c r="AO554" s="770" t="s">
        <v>493</v>
      </c>
      <c r="AP554" s="770" t="s">
        <v>504</v>
      </c>
      <c r="AQ554" s="770" t="s">
        <v>501</v>
      </c>
      <c r="AR554" s="784" t="s">
        <v>502</v>
      </c>
      <c r="AS554" s="771">
        <v>140044.8964</v>
      </c>
      <c r="AT554" s="771">
        <v>114766.1664</v>
      </c>
      <c r="AU554" s="771">
        <v>174166.7516</v>
      </c>
      <c r="AV554" s="989" t="s">
        <v>233</v>
      </c>
      <c r="AW554" s="714"/>
    </row>
    <row r="555">
      <c r="A555" s="761"/>
      <c r="B555" s="786" t="s">
        <v>493</v>
      </c>
      <c r="C555" s="787" t="s">
        <v>621</v>
      </c>
      <c r="D555" s="787" t="s">
        <v>494</v>
      </c>
      <c r="E555" s="787" t="s">
        <v>512</v>
      </c>
      <c r="F555" s="787" t="s">
        <v>523</v>
      </c>
      <c r="G555" s="787" t="s">
        <v>103</v>
      </c>
      <c r="H555" s="788">
        <v>2019.0</v>
      </c>
      <c r="I555" s="789">
        <v>0.0</v>
      </c>
      <c r="J555" s="789">
        <v>0.0</v>
      </c>
      <c r="K555" s="790">
        <v>0.0</v>
      </c>
      <c r="M555" s="786" t="s">
        <v>493</v>
      </c>
      <c r="N555" s="787" t="s">
        <v>621</v>
      </c>
      <c r="O555" s="787" t="s">
        <v>494</v>
      </c>
      <c r="P555" s="787" t="s">
        <v>512</v>
      </c>
      <c r="Q555" s="787" t="s">
        <v>523</v>
      </c>
      <c r="R555" s="787" t="s">
        <v>497</v>
      </c>
      <c r="S555" s="788">
        <v>2019.0</v>
      </c>
      <c r="T555" s="789">
        <v>0.0</v>
      </c>
      <c r="U555" s="789">
        <v>0.0</v>
      </c>
      <c r="V555" s="790">
        <v>0.0</v>
      </c>
      <c r="X555" s="769" t="s">
        <v>496</v>
      </c>
      <c r="Y555" s="770" t="s">
        <v>494</v>
      </c>
      <c r="Z555" s="770" t="s">
        <v>507</v>
      </c>
      <c r="AA555" s="770" t="s">
        <v>38</v>
      </c>
      <c r="AB555" s="770" t="s">
        <v>493</v>
      </c>
      <c r="AC555" s="770" t="s">
        <v>103</v>
      </c>
      <c r="AD555" s="770" t="s">
        <v>501</v>
      </c>
      <c r="AE555" s="784" t="s">
        <v>502</v>
      </c>
      <c r="AF555" s="771">
        <v>3747.540591</v>
      </c>
      <c r="AG555" s="771">
        <v>3058.907041</v>
      </c>
      <c r="AH555" s="771">
        <v>4666.857875</v>
      </c>
      <c r="AI555" s="772" t="s">
        <v>233</v>
      </c>
      <c r="AK555" s="769" t="s">
        <v>496</v>
      </c>
      <c r="AL555" s="770" t="s">
        <v>494</v>
      </c>
      <c r="AM555" s="770" t="s">
        <v>507</v>
      </c>
      <c r="AN555" s="770" t="s">
        <v>38</v>
      </c>
      <c r="AO555" s="770" t="s">
        <v>493</v>
      </c>
      <c r="AP555" s="770" t="s">
        <v>504</v>
      </c>
      <c r="AQ555" s="770" t="s">
        <v>501</v>
      </c>
      <c r="AR555" s="784" t="s">
        <v>502</v>
      </c>
      <c r="AS555" s="771">
        <v>2591.210886</v>
      </c>
      <c r="AT555" s="771">
        <v>2115.060005</v>
      </c>
      <c r="AU555" s="771">
        <v>3226.866429</v>
      </c>
      <c r="AV555" s="989" t="s">
        <v>233</v>
      </c>
      <c r="AW555" s="714"/>
    </row>
    <row r="556">
      <c r="A556" s="761"/>
      <c r="B556" s="769" t="s">
        <v>493</v>
      </c>
      <c r="C556" s="770" t="s">
        <v>9</v>
      </c>
      <c r="D556" s="770" t="s">
        <v>494</v>
      </c>
      <c r="E556" s="770" t="s">
        <v>495</v>
      </c>
      <c r="F556" s="770" t="s">
        <v>496</v>
      </c>
      <c r="G556" s="770" t="s">
        <v>103</v>
      </c>
      <c r="H556" s="770">
        <v>2019.0</v>
      </c>
      <c r="I556" s="771">
        <v>45406.17471</v>
      </c>
      <c r="J556" s="771">
        <v>55766.77796</v>
      </c>
      <c r="K556" s="772">
        <v>36375.17441</v>
      </c>
      <c r="M556" s="769" t="s">
        <v>493</v>
      </c>
      <c r="N556" s="770" t="s">
        <v>9</v>
      </c>
      <c r="O556" s="770" t="s">
        <v>494</v>
      </c>
      <c r="P556" s="770" t="s">
        <v>495</v>
      </c>
      <c r="Q556" s="770" t="s">
        <v>496</v>
      </c>
      <c r="R556" s="770" t="s">
        <v>497</v>
      </c>
      <c r="S556" s="770">
        <v>2019.0</v>
      </c>
      <c r="T556" s="771">
        <v>2118.423217</v>
      </c>
      <c r="U556" s="771">
        <v>2601.796736</v>
      </c>
      <c r="V556" s="772">
        <v>1697.082269</v>
      </c>
      <c r="X556" s="769" t="s">
        <v>496</v>
      </c>
      <c r="Y556" s="770" t="s">
        <v>494</v>
      </c>
      <c r="Z556" s="770" t="s">
        <v>509</v>
      </c>
      <c r="AA556" s="770" t="s">
        <v>38</v>
      </c>
      <c r="AB556" s="770" t="s">
        <v>493</v>
      </c>
      <c r="AC556" s="770" t="s">
        <v>103</v>
      </c>
      <c r="AD556" s="770" t="s">
        <v>501</v>
      </c>
      <c r="AE556" s="784" t="s">
        <v>502</v>
      </c>
      <c r="AF556" s="771">
        <v>962.4266505</v>
      </c>
      <c r="AG556" s="771">
        <v>782.3887196</v>
      </c>
      <c r="AH556" s="771">
        <v>1206.828779</v>
      </c>
      <c r="AI556" s="772" t="s">
        <v>233</v>
      </c>
      <c r="AK556" s="769" t="s">
        <v>496</v>
      </c>
      <c r="AL556" s="770" t="s">
        <v>494</v>
      </c>
      <c r="AM556" s="770" t="s">
        <v>509</v>
      </c>
      <c r="AN556" s="770" t="s">
        <v>38</v>
      </c>
      <c r="AO556" s="770" t="s">
        <v>493</v>
      </c>
      <c r="AP556" s="770" t="s">
        <v>504</v>
      </c>
      <c r="AQ556" s="770" t="s">
        <v>501</v>
      </c>
      <c r="AR556" s="784" t="s">
        <v>502</v>
      </c>
      <c r="AS556" s="771">
        <v>10273.90996</v>
      </c>
      <c r="AT556" s="771">
        <v>8352.004026</v>
      </c>
      <c r="AU556" s="771">
        <v>12882.90408</v>
      </c>
      <c r="AV556" s="989" t="s">
        <v>233</v>
      </c>
      <c r="AW556" s="714"/>
    </row>
    <row r="557">
      <c r="A557" s="761"/>
      <c r="B557" s="769" t="s">
        <v>493</v>
      </c>
      <c r="C557" s="770" t="s">
        <v>9</v>
      </c>
      <c r="D557" s="770" t="s">
        <v>494</v>
      </c>
      <c r="E557" s="770" t="s">
        <v>505</v>
      </c>
      <c r="F557" s="770" t="s">
        <v>496</v>
      </c>
      <c r="G557" s="770" t="s">
        <v>103</v>
      </c>
      <c r="H557" s="770">
        <v>2019.0</v>
      </c>
      <c r="I557" s="771">
        <v>11002.66188</v>
      </c>
      <c r="J557" s="771">
        <v>13644.33008</v>
      </c>
      <c r="K557" s="772">
        <v>8748.13744</v>
      </c>
      <c r="M557" s="769" t="s">
        <v>493</v>
      </c>
      <c r="N557" s="770" t="s">
        <v>9</v>
      </c>
      <c r="O557" s="770" t="s">
        <v>494</v>
      </c>
      <c r="P557" s="770" t="s">
        <v>505</v>
      </c>
      <c r="Q557" s="770" t="s">
        <v>496</v>
      </c>
      <c r="R557" s="770" t="s">
        <v>497</v>
      </c>
      <c r="S557" s="770">
        <v>2019.0</v>
      </c>
      <c r="T557" s="771">
        <v>120869.7503</v>
      </c>
      <c r="U557" s="771">
        <v>149889.7983</v>
      </c>
      <c r="V557" s="772">
        <v>96102.67042</v>
      </c>
      <c r="X557" s="769" t="s">
        <v>496</v>
      </c>
      <c r="Y557" s="770" t="s">
        <v>494</v>
      </c>
      <c r="Z557" s="770" t="s">
        <v>513</v>
      </c>
      <c r="AA557" s="770" t="s">
        <v>38</v>
      </c>
      <c r="AB557" s="770" t="s">
        <v>493</v>
      </c>
      <c r="AC557" s="770" t="s">
        <v>103</v>
      </c>
      <c r="AD557" s="770" t="s">
        <v>501</v>
      </c>
      <c r="AE557" s="784" t="s">
        <v>502</v>
      </c>
      <c r="AF557" s="771">
        <v>13333.45365</v>
      </c>
      <c r="AG557" s="771">
        <v>10845.26838</v>
      </c>
      <c r="AH557" s="771">
        <v>16604.50026</v>
      </c>
      <c r="AI557" s="772" t="s">
        <v>233</v>
      </c>
      <c r="AK557" s="769" t="s">
        <v>496</v>
      </c>
      <c r="AL557" s="770" t="s">
        <v>494</v>
      </c>
      <c r="AM557" s="770" t="s">
        <v>513</v>
      </c>
      <c r="AN557" s="770" t="s">
        <v>38</v>
      </c>
      <c r="AO557" s="770" t="s">
        <v>493</v>
      </c>
      <c r="AP557" s="770" t="s">
        <v>504</v>
      </c>
      <c r="AQ557" s="770" t="s">
        <v>501</v>
      </c>
      <c r="AR557" s="784" t="s">
        <v>502</v>
      </c>
      <c r="AS557" s="771">
        <v>1763.388791</v>
      </c>
      <c r="AT557" s="771">
        <v>1434.31891</v>
      </c>
      <c r="AU557" s="771">
        <v>2195.994408</v>
      </c>
      <c r="AV557" s="989" t="s">
        <v>233</v>
      </c>
      <c r="AW557" s="714"/>
    </row>
    <row r="558">
      <c r="A558" s="761"/>
      <c r="B558" s="769" t="s">
        <v>493</v>
      </c>
      <c r="C558" s="770" t="s">
        <v>9</v>
      </c>
      <c r="D558" s="770" t="s">
        <v>494</v>
      </c>
      <c r="E558" s="770" t="s">
        <v>508</v>
      </c>
      <c r="F558" s="770" t="s">
        <v>496</v>
      </c>
      <c r="G558" s="770" t="s">
        <v>103</v>
      </c>
      <c r="H558" s="770">
        <v>2019.0</v>
      </c>
      <c r="I558" s="771">
        <v>11984.04726</v>
      </c>
      <c r="J558" s="771">
        <v>14749.57439</v>
      </c>
      <c r="K558" s="772">
        <v>9604.648311</v>
      </c>
      <c r="M558" s="769" t="s">
        <v>493</v>
      </c>
      <c r="N558" s="770" t="s">
        <v>9</v>
      </c>
      <c r="O558" s="770" t="s">
        <v>494</v>
      </c>
      <c r="P558" s="770" t="s">
        <v>508</v>
      </c>
      <c r="Q558" s="770" t="s">
        <v>496</v>
      </c>
      <c r="R558" s="770" t="s">
        <v>497</v>
      </c>
      <c r="S558" s="770">
        <v>2019.0</v>
      </c>
      <c r="T558" s="771">
        <v>2864.38094</v>
      </c>
      <c r="U558" s="771">
        <v>3525.386611</v>
      </c>
      <c r="V558" s="772">
        <v>2295.666144</v>
      </c>
      <c r="X558" s="769" t="s">
        <v>514</v>
      </c>
      <c r="Y558" s="770" t="s">
        <v>494</v>
      </c>
      <c r="Z558" s="770" t="s">
        <v>499</v>
      </c>
      <c r="AA558" s="770" t="s">
        <v>38</v>
      </c>
      <c r="AB558" s="770" t="s">
        <v>493</v>
      </c>
      <c r="AC558" s="770" t="s">
        <v>103</v>
      </c>
      <c r="AD558" s="770" t="s">
        <v>501</v>
      </c>
      <c r="AE558" s="784" t="s">
        <v>502</v>
      </c>
      <c r="AF558" s="771">
        <v>4091.97616</v>
      </c>
      <c r="AG558" s="771">
        <v>3310.562961</v>
      </c>
      <c r="AH558" s="771">
        <v>5058.949576</v>
      </c>
      <c r="AI558" s="772" t="s">
        <v>233</v>
      </c>
      <c r="AK558" s="769" t="s">
        <v>514</v>
      </c>
      <c r="AL558" s="770" t="s">
        <v>494</v>
      </c>
      <c r="AM558" s="770" t="s">
        <v>499</v>
      </c>
      <c r="AN558" s="770" t="s">
        <v>38</v>
      </c>
      <c r="AO558" s="770" t="s">
        <v>493</v>
      </c>
      <c r="AP558" s="770" t="s">
        <v>504</v>
      </c>
      <c r="AQ558" s="770" t="s">
        <v>501</v>
      </c>
      <c r="AR558" s="784" t="s">
        <v>502</v>
      </c>
      <c r="AS558" s="771">
        <v>128617.7487</v>
      </c>
      <c r="AT558" s="771">
        <v>104056.607</v>
      </c>
      <c r="AU558" s="771">
        <v>159011.3627</v>
      </c>
      <c r="AV558" s="989" t="s">
        <v>233</v>
      </c>
      <c r="AW558" s="714"/>
    </row>
    <row r="559">
      <c r="A559" s="761"/>
      <c r="B559" s="769" t="s">
        <v>493</v>
      </c>
      <c r="C559" s="770" t="s">
        <v>9</v>
      </c>
      <c r="D559" s="770" t="s">
        <v>494</v>
      </c>
      <c r="E559" s="770" t="s">
        <v>512</v>
      </c>
      <c r="F559" s="770" t="s">
        <v>496</v>
      </c>
      <c r="G559" s="770" t="s">
        <v>103</v>
      </c>
      <c r="H559" s="770">
        <v>2019.0</v>
      </c>
      <c r="I559" s="771">
        <v>3633.856099</v>
      </c>
      <c r="J559" s="771">
        <v>4534.981118</v>
      </c>
      <c r="K559" s="772">
        <v>2865.327428</v>
      </c>
      <c r="M559" s="769" t="s">
        <v>493</v>
      </c>
      <c r="N559" s="770" t="s">
        <v>9</v>
      </c>
      <c r="O559" s="770" t="s">
        <v>494</v>
      </c>
      <c r="P559" s="770" t="s">
        <v>512</v>
      </c>
      <c r="Q559" s="770" t="s">
        <v>496</v>
      </c>
      <c r="R559" s="770" t="s">
        <v>497</v>
      </c>
      <c r="S559" s="770">
        <v>2019.0</v>
      </c>
      <c r="T559" s="771">
        <v>13529.41921</v>
      </c>
      <c r="U559" s="771">
        <v>16884.44974</v>
      </c>
      <c r="V559" s="772">
        <v>10668.06579</v>
      </c>
      <c r="X559" s="769" t="s">
        <v>514</v>
      </c>
      <c r="Y559" s="770" t="s">
        <v>494</v>
      </c>
      <c r="Z559" s="770" t="s">
        <v>507</v>
      </c>
      <c r="AA559" s="770" t="s">
        <v>38</v>
      </c>
      <c r="AB559" s="770" t="s">
        <v>493</v>
      </c>
      <c r="AC559" s="770" t="s">
        <v>103</v>
      </c>
      <c r="AD559" s="770" t="s">
        <v>501</v>
      </c>
      <c r="AE559" s="784" t="s">
        <v>502</v>
      </c>
      <c r="AF559" s="771">
        <v>3116.060354</v>
      </c>
      <c r="AG559" s="771">
        <v>2459.114697</v>
      </c>
      <c r="AH559" s="771">
        <v>3899.780694</v>
      </c>
      <c r="AI559" s="772" t="s">
        <v>233</v>
      </c>
      <c r="AK559" s="769" t="s">
        <v>514</v>
      </c>
      <c r="AL559" s="770" t="s">
        <v>494</v>
      </c>
      <c r="AM559" s="770" t="s">
        <v>507</v>
      </c>
      <c r="AN559" s="770" t="s">
        <v>38</v>
      </c>
      <c r="AO559" s="770" t="s">
        <v>493</v>
      </c>
      <c r="AP559" s="770" t="s">
        <v>504</v>
      </c>
      <c r="AQ559" s="770" t="s">
        <v>501</v>
      </c>
      <c r="AR559" s="784" t="s">
        <v>502</v>
      </c>
      <c r="AS559" s="771">
        <v>2154.578266</v>
      </c>
      <c r="AT559" s="771">
        <v>1700.33776</v>
      </c>
      <c r="AU559" s="771">
        <v>2696.476246</v>
      </c>
      <c r="AV559" s="989" t="s">
        <v>233</v>
      </c>
      <c r="AW559" s="714"/>
    </row>
    <row r="560">
      <c r="A560" s="761"/>
      <c r="B560" s="769" t="s">
        <v>493</v>
      </c>
      <c r="C560" s="770" t="s">
        <v>9</v>
      </c>
      <c r="D560" s="770" t="s">
        <v>494</v>
      </c>
      <c r="E560" s="770" t="s">
        <v>495</v>
      </c>
      <c r="F560" s="770" t="s">
        <v>514</v>
      </c>
      <c r="G560" s="770" t="s">
        <v>103</v>
      </c>
      <c r="H560" s="770">
        <v>2019.0</v>
      </c>
      <c r="I560" s="771">
        <v>38803.1646</v>
      </c>
      <c r="J560" s="771">
        <v>47698.39168</v>
      </c>
      <c r="K560" s="772">
        <v>30779.64237</v>
      </c>
      <c r="M560" s="769" t="s">
        <v>493</v>
      </c>
      <c r="N560" s="770" t="s">
        <v>9</v>
      </c>
      <c r="O560" s="770" t="s">
        <v>494</v>
      </c>
      <c r="P560" s="770" t="s">
        <v>495</v>
      </c>
      <c r="Q560" s="770" t="s">
        <v>514</v>
      </c>
      <c r="R560" s="770" t="s">
        <v>497</v>
      </c>
      <c r="S560" s="770">
        <v>2019.0</v>
      </c>
      <c r="T560" s="771">
        <v>1810.360052</v>
      </c>
      <c r="U560" s="771">
        <v>2225.366506</v>
      </c>
      <c r="V560" s="772">
        <v>1436.022951</v>
      </c>
      <c r="X560" s="769" t="s">
        <v>514</v>
      </c>
      <c r="Y560" s="770" t="s">
        <v>494</v>
      </c>
      <c r="Z560" s="770" t="s">
        <v>509</v>
      </c>
      <c r="AA560" s="770" t="s">
        <v>38</v>
      </c>
      <c r="AB560" s="770" t="s">
        <v>493</v>
      </c>
      <c r="AC560" s="770" t="s">
        <v>103</v>
      </c>
      <c r="AD560" s="770" t="s">
        <v>501</v>
      </c>
      <c r="AE560" s="784" t="s">
        <v>502</v>
      </c>
      <c r="AF560" s="771">
        <v>840.6320517</v>
      </c>
      <c r="AG560" s="771">
        <v>667.9218607</v>
      </c>
      <c r="AH560" s="771">
        <v>1053.013568</v>
      </c>
      <c r="AI560" s="772" t="s">
        <v>233</v>
      </c>
      <c r="AK560" s="769" t="s">
        <v>514</v>
      </c>
      <c r="AL560" s="770" t="s">
        <v>494</v>
      </c>
      <c r="AM560" s="770" t="s">
        <v>509</v>
      </c>
      <c r="AN560" s="770" t="s">
        <v>38</v>
      </c>
      <c r="AO560" s="770" t="s">
        <v>493</v>
      </c>
      <c r="AP560" s="770" t="s">
        <v>504</v>
      </c>
      <c r="AQ560" s="770" t="s">
        <v>501</v>
      </c>
      <c r="AR560" s="784" t="s">
        <v>502</v>
      </c>
      <c r="AS560" s="771">
        <v>8973.751927</v>
      </c>
      <c r="AT560" s="771">
        <v>7130.069657</v>
      </c>
      <c r="AU560" s="771">
        <v>11240.92581</v>
      </c>
      <c r="AV560" s="989" t="s">
        <v>233</v>
      </c>
      <c r="AW560" s="714"/>
    </row>
    <row r="561">
      <c r="A561" s="761"/>
      <c r="B561" s="769" t="s">
        <v>493</v>
      </c>
      <c r="C561" s="770" t="s">
        <v>9</v>
      </c>
      <c r="D561" s="770" t="s">
        <v>494</v>
      </c>
      <c r="E561" s="770" t="s">
        <v>505</v>
      </c>
      <c r="F561" s="770" t="s">
        <v>514</v>
      </c>
      <c r="G561" s="770" t="s">
        <v>103</v>
      </c>
      <c r="H561" s="770">
        <v>2019.0</v>
      </c>
      <c r="I561" s="771">
        <v>10088.26102</v>
      </c>
      <c r="J561" s="771">
        <v>12492.94348</v>
      </c>
      <c r="K561" s="772">
        <v>7949.470117</v>
      </c>
      <c r="M561" s="769" t="s">
        <v>493</v>
      </c>
      <c r="N561" s="770" t="s">
        <v>9</v>
      </c>
      <c r="O561" s="770" t="s">
        <v>494</v>
      </c>
      <c r="P561" s="770" t="s">
        <v>505</v>
      </c>
      <c r="Q561" s="770" t="s">
        <v>514</v>
      </c>
      <c r="R561" s="770" t="s">
        <v>497</v>
      </c>
      <c r="S561" s="770">
        <v>2019.0</v>
      </c>
      <c r="T561" s="771">
        <v>110824.5991</v>
      </c>
      <c r="U561" s="771">
        <v>137241.24</v>
      </c>
      <c r="V561" s="772">
        <v>87328.90994</v>
      </c>
      <c r="X561" s="769" t="s">
        <v>514</v>
      </c>
      <c r="Y561" s="770" t="s">
        <v>494</v>
      </c>
      <c r="Z561" s="770" t="s">
        <v>513</v>
      </c>
      <c r="AA561" s="770" t="s">
        <v>38</v>
      </c>
      <c r="AB561" s="770" t="s">
        <v>493</v>
      </c>
      <c r="AC561" s="770" t="s">
        <v>103</v>
      </c>
      <c r="AD561" s="770" t="s">
        <v>501</v>
      </c>
      <c r="AE561" s="784" t="s">
        <v>502</v>
      </c>
      <c r="AF561" s="771">
        <v>11638.50733</v>
      </c>
      <c r="AG561" s="771">
        <v>9372.152547</v>
      </c>
      <c r="AH561" s="771">
        <v>14585.21711</v>
      </c>
      <c r="AI561" s="772" t="s">
        <v>233</v>
      </c>
      <c r="AK561" s="769" t="s">
        <v>514</v>
      </c>
      <c r="AL561" s="770" t="s">
        <v>494</v>
      </c>
      <c r="AM561" s="770" t="s">
        <v>513</v>
      </c>
      <c r="AN561" s="770" t="s">
        <v>38</v>
      </c>
      <c r="AO561" s="770" t="s">
        <v>493</v>
      </c>
      <c r="AP561" s="770" t="s">
        <v>504</v>
      </c>
      <c r="AQ561" s="770" t="s">
        <v>501</v>
      </c>
      <c r="AR561" s="784" t="s">
        <v>502</v>
      </c>
      <c r="AS561" s="771">
        <v>1539.227114</v>
      </c>
      <c r="AT561" s="771">
        <v>1239.494972</v>
      </c>
      <c r="AU561" s="771">
        <v>1928.938222</v>
      </c>
      <c r="AV561" s="989" t="s">
        <v>233</v>
      </c>
      <c r="AW561" s="714"/>
    </row>
    <row r="562">
      <c r="A562" s="761"/>
      <c r="B562" s="769" t="s">
        <v>493</v>
      </c>
      <c r="C562" s="770" t="s">
        <v>9</v>
      </c>
      <c r="D562" s="770" t="s">
        <v>494</v>
      </c>
      <c r="E562" s="770" t="s">
        <v>508</v>
      </c>
      <c r="F562" s="770" t="s">
        <v>514</v>
      </c>
      <c r="G562" s="770" t="s">
        <v>103</v>
      </c>
      <c r="H562" s="770">
        <v>2019.0</v>
      </c>
      <c r="I562" s="771">
        <v>10131.7027</v>
      </c>
      <c r="J562" s="771">
        <v>12511.36816</v>
      </c>
      <c r="K562" s="772">
        <v>7912.259561</v>
      </c>
      <c r="M562" s="769" t="s">
        <v>493</v>
      </c>
      <c r="N562" s="770" t="s">
        <v>9</v>
      </c>
      <c r="O562" s="770" t="s">
        <v>494</v>
      </c>
      <c r="P562" s="770" t="s">
        <v>508</v>
      </c>
      <c r="Q562" s="770" t="s">
        <v>514</v>
      </c>
      <c r="R562" s="770" t="s">
        <v>497</v>
      </c>
      <c r="S562" s="770">
        <v>2019.0</v>
      </c>
      <c r="T562" s="771">
        <v>2421.640661</v>
      </c>
      <c r="U562" s="771">
        <v>2990.419157</v>
      </c>
      <c r="V562" s="772">
        <v>1891.157886</v>
      </c>
      <c r="X562" s="769" t="s">
        <v>518</v>
      </c>
      <c r="Y562" s="770" t="s">
        <v>494</v>
      </c>
      <c r="Z562" s="770" t="s">
        <v>499</v>
      </c>
      <c r="AA562" s="770" t="s">
        <v>38</v>
      </c>
      <c r="AB562" s="770" t="s">
        <v>493</v>
      </c>
      <c r="AC562" s="770" t="s">
        <v>103</v>
      </c>
      <c r="AD562" s="770" t="s">
        <v>501</v>
      </c>
      <c r="AE562" s="784" t="s">
        <v>502</v>
      </c>
      <c r="AF562" s="771">
        <v>32.05425906</v>
      </c>
      <c r="AG562" s="771">
        <v>13.77504842</v>
      </c>
      <c r="AH562" s="771">
        <v>63.67085481</v>
      </c>
      <c r="AI562" s="772" t="s">
        <v>233</v>
      </c>
      <c r="AK562" s="769" t="s">
        <v>518</v>
      </c>
      <c r="AL562" s="770" t="s">
        <v>494</v>
      </c>
      <c r="AM562" s="770" t="s">
        <v>499</v>
      </c>
      <c r="AN562" s="770" t="s">
        <v>38</v>
      </c>
      <c r="AO562" s="770" t="s">
        <v>493</v>
      </c>
      <c r="AP562" s="770" t="s">
        <v>504</v>
      </c>
      <c r="AQ562" s="770" t="s">
        <v>501</v>
      </c>
      <c r="AR562" s="784" t="s">
        <v>502</v>
      </c>
      <c r="AS562" s="771">
        <v>1007.519711</v>
      </c>
      <c r="AT562" s="771">
        <v>432.9731276</v>
      </c>
      <c r="AU562" s="771">
        <v>2001.282921</v>
      </c>
      <c r="AV562" s="989" t="s">
        <v>233</v>
      </c>
      <c r="AW562" s="714"/>
    </row>
    <row r="563">
      <c r="A563" s="761"/>
      <c r="B563" s="769" t="s">
        <v>493</v>
      </c>
      <c r="C563" s="770" t="s">
        <v>9</v>
      </c>
      <c r="D563" s="770" t="s">
        <v>494</v>
      </c>
      <c r="E563" s="770" t="s">
        <v>512</v>
      </c>
      <c r="F563" s="770" t="s">
        <v>514</v>
      </c>
      <c r="G563" s="770" t="s">
        <v>103</v>
      </c>
      <c r="H563" s="770">
        <v>2019.0</v>
      </c>
      <c r="I563" s="771">
        <v>3198.653959</v>
      </c>
      <c r="J563" s="771">
        <v>4027.008288</v>
      </c>
      <c r="K563" s="772">
        <v>2489.430622</v>
      </c>
      <c r="M563" s="769" t="s">
        <v>493</v>
      </c>
      <c r="N563" s="770" t="s">
        <v>9</v>
      </c>
      <c r="O563" s="770" t="s">
        <v>494</v>
      </c>
      <c r="P563" s="770" t="s">
        <v>512</v>
      </c>
      <c r="Q563" s="770" t="s">
        <v>514</v>
      </c>
      <c r="R563" s="770" t="s">
        <v>497</v>
      </c>
      <c r="S563" s="770">
        <v>2019.0</v>
      </c>
      <c r="T563" s="771">
        <v>11909.09302</v>
      </c>
      <c r="U563" s="771">
        <v>14993.1868</v>
      </c>
      <c r="V563" s="772">
        <v>9268.542715</v>
      </c>
      <c r="X563" s="769" t="s">
        <v>518</v>
      </c>
      <c r="Y563" s="770" t="s">
        <v>494</v>
      </c>
      <c r="Z563" s="770" t="s">
        <v>507</v>
      </c>
      <c r="AA563" s="770" t="s">
        <v>38</v>
      </c>
      <c r="AB563" s="770" t="s">
        <v>493</v>
      </c>
      <c r="AC563" s="770" t="s">
        <v>103</v>
      </c>
      <c r="AD563" s="770" t="s">
        <v>501</v>
      </c>
      <c r="AE563" s="784" t="s">
        <v>502</v>
      </c>
      <c r="AF563" s="771">
        <v>796.09716</v>
      </c>
      <c r="AG563" s="771">
        <v>407.187766</v>
      </c>
      <c r="AH563" s="771">
        <v>1348.530704</v>
      </c>
      <c r="AI563" s="772" t="s">
        <v>233</v>
      </c>
      <c r="AK563" s="769" t="s">
        <v>518</v>
      </c>
      <c r="AL563" s="770" t="s">
        <v>494</v>
      </c>
      <c r="AM563" s="770" t="s">
        <v>507</v>
      </c>
      <c r="AN563" s="770" t="s">
        <v>38</v>
      </c>
      <c r="AO563" s="770" t="s">
        <v>493</v>
      </c>
      <c r="AP563" s="770" t="s">
        <v>504</v>
      </c>
      <c r="AQ563" s="770" t="s">
        <v>501</v>
      </c>
      <c r="AR563" s="784" t="s">
        <v>502</v>
      </c>
      <c r="AS563" s="771">
        <v>550.4558461</v>
      </c>
      <c r="AT563" s="771">
        <v>281.5471497</v>
      </c>
      <c r="AU563" s="771">
        <v>932.4321791</v>
      </c>
      <c r="AV563" s="989" t="s">
        <v>233</v>
      </c>
      <c r="AW563" s="714"/>
    </row>
    <row r="564">
      <c r="A564" s="761"/>
      <c r="B564" s="769" t="s">
        <v>493</v>
      </c>
      <c r="C564" s="770" t="s">
        <v>9</v>
      </c>
      <c r="D564" s="770" t="s">
        <v>494</v>
      </c>
      <c r="E564" s="770" t="s">
        <v>495</v>
      </c>
      <c r="F564" s="770" t="s">
        <v>518</v>
      </c>
      <c r="G564" s="770" t="s">
        <v>103</v>
      </c>
      <c r="H564" s="770">
        <v>2019.0</v>
      </c>
      <c r="I564" s="771">
        <v>2792.805045</v>
      </c>
      <c r="J564" s="771">
        <v>4855.283455</v>
      </c>
      <c r="K564" s="772">
        <v>1430.051363</v>
      </c>
      <c r="M564" s="769" t="s">
        <v>493</v>
      </c>
      <c r="N564" s="770" t="s">
        <v>9</v>
      </c>
      <c r="O564" s="770" t="s">
        <v>494</v>
      </c>
      <c r="P564" s="770" t="s">
        <v>495</v>
      </c>
      <c r="Q564" s="770" t="s">
        <v>518</v>
      </c>
      <c r="R564" s="770" t="s">
        <v>497</v>
      </c>
      <c r="S564" s="770">
        <v>2019.0</v>
      </c>
      <c r="T564" s="771">
        <v>130.2982047</v>
      </c>
      <c r="U564" s="771">
        <v>226.5230503</v>
      </c>
      <c r="V564" s="772">
        <v>66.71898762</v>
      </c>
      <c r="X564" s="769" t="s">
        <v>518</v>
      </c>
      <c r="Y564" s="770" t="s">
        <v>494</v>
      </c>
      <c r="Z564" s="770" t="s">
        <v>509</v>
      </c>
      <c r="AA564" s="770" t="s">
        <v>38</v>
      </c>
      <c r="AB564" s="770" t="s">
        <v>493</v>
      </c>
      <c r="AC564" s="770" t="s">
        <v>103</v>
      </c>
      <c r="AD564" s="770" t="s">
        <v>501</v>
      </c>
      <c r="AE564" s="784" t="s">
        <v>502</v>
      </c>
      <c r="AF564" s="771">
        <v>67.02773261</v>
      </c>
      <c r="AG564" s="771">
        <v>33.48277591</v>
      </c>
      <c r="AH564" s="771">
        <v>120.3454386</v>
      </c>
      <c r="AI564" s="772" t="s">
        <v>233</v>
      </c>
      <c r="AK564" s="769" t="s">
        <v>518</v>
      </c>
      <c r="AL564" s="770" t="s">
        <v>494</v>
      </c>
      <c r="AM564" s="770" t="s">
        <v>509</v>
      </c>
      <c r="AN564" s="770" t="s">
        <v>38</v>
      </c>
      <c r="AO564" s="770" t="s">
        <v>493</v>
      </c>
      <c r="AP564" s="770" t="s">
        <v>504</v>
      </c>
      <c r="AQ564" s="770" t="s">
        <v>501</v>
      </c>
      <c r="AR564" s="784" t="s">
        <v>502</v>
      </c>
      <c r="AS564" s="771">
        <v>715.5214263</v>
      </c>
      <c r="AT564" s="771">
        <v>357.428823</v>
      </c>
      <c r="AU564" s="771">
        <v>1284.688241</v>
      </c>
      <c r="AV564" s="989" t="s">
        <v>233</v>
      </c>
      <c r="AW564" s="714"/>
    </row>
    <row r="565">
      <c r="A565" s="761"/>
      <c r="B565" s="769" t="s">
        <v>493</v>
      </c>
      <c r="C565" s="770" t="s">
        <v>9</v>
      </c>
      <c r="D565" s="770" t="s">
        <v>494</v>
      </c>
      <c r="E565" s="770" t="s">
        <v>505</v>
      </c>
      <c r="F565" s="770" t="s">
        <v>518</v>
      </c>
      <c r="G565" s="770" t="s">
        <v>103</v>
      </c>
      <c r="H565" s="770">
        <v>2019.0</v>
      </c>
      <c r="I565" s="771">
        <v>61.52402053</v>
      </c>
      <c r="J565" s="771">
        <v>110.3040705</v>
      </c>
      <c r="K565" s="772">
        <v>30.60290339</v>
      </c>
      <c r="M565" s="769" t="s">
        <v>493</v>
      </c>
      <c r="N565" s="770" t="s">
        <v>9</v>
      </c>
      <c r="O565" s="770" t="s">
        <v>494</v>
      </c>
      <c r="P565" s="770" t="s">
        <v>505</v>
      </c>
      <c r="Q565" s="770" t="s">
        <v>518</v>
      </c>
      <c r="R565" s="770" t="s">
        <v>497</v>
      </c>
      <c r="S565" s="770">
        <v>2019.0</v>
      </c>
      <c r="T565" s="771">
        <v>675.8721738</v>
      </c>
      <c r="U565" s="771">
        <v>1211.74545</v>
      </c>
      <c r="V565" s="772">
        <v>336.1882181</v>
      </c>
      <c r="X565" s="769" t="s">
        <v>518</v>
      </c>
      <c r="Y565" s="770" t="s">
        <v>494</v>
      </c>
      <c r="Z565" s="770" t="s">
        <v>513</v>
      </c>
      <c r="AA565" s="770" t="s">
        <v>38</v>
      </c>
      <c r="AB565" s="770" t="s">
        <v>493</v>
      </c>
      <c r="AC565" s="770" t="s">
        <v>103</v>
      </c>
      <c r="AD565" s="770" t="s">
        <v>501</v>
      </c>
      <c r="AE565" s="784" t="s">
        <v>502</v>
      </c>
      <c r="AF565" s="771">
        <v>1488.494934</v>
      </c>
      <c r="AG565" s="771">
        <v>868.7667824</v>
      </c>
      <c r="AH565" s="771">
        <v>2316.002675</v>
      </c>
      <c r="AI565" s="772" t="s">
        <v>233</v>
      </c>
      <c r="AK565" s="769" t="s">
        <v>518</v>
      </c>
      <c r="AL565" s="770" t="s">
        <v>494</v>
      </c>
      <c r="AM565" s="770" t="s">
        <v>513</v>
      </c>
      <c r="AN565" s="770" t="s">
        <v>38</v>
      </c>
      <c r="AO565" s="770" t="s">
        <v>493</v>
      </c>
      <c r="AP565" s="770" t="s">
        <v>504</v>
      </c>
      <c r="AQ565" s="770" t="s">
        <v>501</v>
      </c>
      <c r="AR565" s="784" t="s">
        <v>502</v>
      </c>
      <c r="AS565" s="771">
        <v>196.8578698</v>
      </c>
      <c r="AT565" s="771">
        <v>114.8969837</v>
      </c>
      <c r="AU565" s="771">
        <v>306.2982229</v>
      </c>
      <c r="AV565" s="989" t="s">
        <v>233</v>
      </c>
      <c r="AW565" s="714"/>
    </row>
    <row r="566">
      <c r="A566" s="761"/>
      <c r="B566" s="769" t="s">
        <v>493</v>
      </c>
      <c r="C566" s="770" t="s">
        <v>9</v>
      </c>
      <c r="D566" s="770" t="s">
        <v>494</v>
      </c>
      <c r="E566" s="770" t="s">
        <v>508</v>
      </c>
      <c r="F566" s="770" t="s">
        <v>518</v>
      </c>
      <c r="G566" s="770" t="s">
        <v>103</v>
      </c>
      <c r="H566" s="770">
        <v>2019.0</v>
      </c>
      <c r="I566" s="771">
        <v>1141.932824</v>
      </c>
      <c r="J566" s="771">
        <v>2198.697883</v>
      </c>
      <c r="K566" s="772">
        <v>450.0427611</v>
      </c>
      <c r="M566" s="769" t="s">
        <v>493</v>
      </c>
      <c r="N566" s="770" t="s">
        <v>9</v>
      </c>
      <c r="O566" s="770" t="s">
        <v>494</v>
      </c>
      <c r="P566" s="770" t="s">
        <v>508</v>
      </c>
      <c r="Q566" s="770" t="s">
        <v>518</v>
      </c>
      <c r="R566" s="770" t="s">
        <v>497</v>
      </c>
      <c r="S566" s="770">
        <v>2019.0</v>
      </c>
      <c r="T566" s="771">
        <v>272.940397</v>
      </c>
      <c r="U566" s="771">
        <v>525.5243219</v>
      </c>
      <c r="V566" s="772">
        <v>107.567492</v>
      </c>
      <c r="X566" s="769" t="s">
        <v>519</v>
      </c>
      <c r="Y566" s="770" t="s">
        <v>494</v>
      </c>
      <c r="Z566" s="770" t="s">
        <v>499</v>
      </c>
      <c r="AA566" s="770" t="s">
        <v>38</v>
      </c>
      <c r="AB566" s="770" t="s">
        <v>493</v>
      </c>
      <c r="AC566" s="770" t="s">
        <v>103</v>
      </c>
      <c r="AD566" s="770" t="s">
        <v>501</v>
      </c>
      <c r="AE566" s="784" t="s">
        <v>502</v>
      </c>
      <c r="AF566" s="771">
        <v>3435.724413</v>
      </c>
      <c r="AG566" s="771">
        <v>2769.868404</v>
      </c>
      <c r="AH566" s="771">
        <v>4324.677876</v>
      </c>
      <c r="AI566" s="772" t="s">
        <v>233</v>
      </c>
      <c r="AK566" s="769" t="s">
        <v>519</v>
      </c>
      <c r="AL566" s="770" t="s">
        <v>494</v>
      </c>
      <c r="AM566" s="770" t="s">
        <v>499</v>
      </c>
      <c r="AN566" s="770" t="s">
        <v>38</v>
      </c>
      <c r="AO566" s="770" t="s">
        <v>493</v>
      </c>
      <c r="AP566" s="770" t="s">
        <v>504</v>
      </c>
      <c r="AQ566" s="770" t="s">
        <v>501</v>
      </c>
      <c r="AR566" s="784" t="s">
        <v>502</v>
      </c>
      <c r="AS566" s="771">
        <v>107990.6436</v>
      </c>
      <c r="AT566" s="771">
        <v>87061.66027</v>
      </c>
      <c r="AU566" s="771">
        <v>135931.9582</v>
      </c>
      <c r="AV566" s="989" t="s">
        <v>233</v>
      </c>
      <c r="AW566" s="714"/>
    </row>
    <row r="567">
      <c r="A567" s="761"/>
      <c r="B567" s="769" t="s">
        <v>493</v>
      </c>
      <c r="C567" s="770" t="s">
        <v>9</v>
      </c>
      <c r="D567" s="770" t="s">
        <v>494</v>
      </c>
      <c r="E567" s="770" t="s">
        <v>512</v>
      </c>
      <c r="F567" s="770" t="s">
        <v>518</v>
      </c>
      <c r="G567" s="770" t="s">
        <v>103</v>
      </c>
      <c r="H567" s="770">
        <v>2019.0</v>
      </c>
      <c r="I567" s="771">
        <v>145.2444333</v>
      </c>
      <c r="J567" s="771">
        <v>323.9916539</v>
      </c>
      <c r="K567" s="772">
        <v>50.8472765</v>
      </c>
      <c r="M567" s="769" t="s">
        <v>493</v>
      </c>
      <c r="N567" s="770" t="s">
        <v>9</v>
      </c>
      <c r="O567" s="770" t="s">
        <v>494</v>
      </c>
      <c r="P567" s="770" t="s">
        <v>512</v>
      </c>
      <c r="Q567" s="770" t="s">
        <v>518</v>
      </c>
      <c r="R567" s="770" t="s">
        <v>497</v>
      </c>
      <c r="S567" s="770">
        <v>2019.0</v>
      </c>
      <c r="T567" s="771">
        <v>540.767926</v>
      </c>
      <c r="U567" s="771">
        <v>1206.272011</v>
      </c>
      <c r="V567" s="772">
        <v>189.3124275</v>
      </c>
      <c r="X567" s="769" t="s">
        <v>519</v>
      </c>
      <c r="Y567" s="770" t="s">
        <v>494</v>
      </c>
      <c r="Z567" s="770" t="s">
        <v>507</v>
      </c>
      <c r="AA567" s="770" t="s">
        <v>38</v>
      </c>
      <c r="AB567" s="770" t="s">
        <v>493</v>
      </c>
      <c r="AC567" s="770" t="s">
        <v>103</v>
      </c>
      <c r="AD567" s="770" t="s">
        <v>501</v>
      </c>
      <c r="AE567" s="784" t="s">
        <v>502</v>
      </c>
      <c r="AF567" s="771">
        <v>25.34467223</v>
      </c>
      <c r="AG567" s="771">
        <v>14.48940185</v>
      </c>
      <c r="AH567" s="771">
        <v>40.87305046</v>
      </c>
      <c r="AI567" s="772" t="s">
        <v>233</v>
      </c>
      <c r="AK567" s="769" t="s">
        <v>519</v>
      </c>
      <c r="AL567" s="770" t="s">
        <v>494</v>
      </c>
      <c r="AM567" s="770" t="s">
        <v>507</v>
      </c>
      <c r="AN567" s="770" t="s">
        <v>38</v>
      </c>
      <c r="AO567" s="770" t="s">
        <v>493</v>
      </c>
      <c r="AP567" s="770" t="s">
        <v>504</v>
      </c>
      <c r="AQ567" s="770" t="s">
        <v>501</v>
      </c>
      <c r="AR567" s="784" t="s">
        <v>502</v>
      </c>
      <c r="AS567" s="771">
        <v>17.52439739</v>
      </c>
      <c r="AT567" s="771">
        <v>10.01859617</v>
      </c>
      <c r="AU567" s="771">
        <v>28.26138655</v>
      </c>
      <c r="AV567" s="989" t="s">
        <v>233</v>
      </c>
      <c r="AW567" s="714"/>
    </row>
    <row r="568">
      <c r="A568" s="761"/>
      <c r="B568" s="769" t="s">
        <v>493</v>
      </c>
      <c r="C568" s="770" t="s">
        <v>9</v>
      </c>
      <c r="D568" s="770" t="s">
        <v>494</v>
      </c>
      <c r="E568" s="770" t="s">
        <v>495</v>
      </c>
      <c r="F568" s="770" t="s">
        <v>519</v>
      </c>
      <c r="G568" s="770" t="s">
        <v>103</v>
      </c>
      <c r="H568" s="770">
        <v>2019.0</v>
      </c>
      <c r="I568" s="771">
        <v>10932.30342</v>
      </c>
      <c r="J568" s="771">
        <v>13791.87729</v>
      </c>
      <c r="K568" s="772">
        <v>8438.977526</v>
      </c>
      <c r="M568" s="769" t="s">
        <v>493</v>
      </c>
      <c r="N568" s="770" t="s">
        <v>9</v>
      </c>
      <c r="O568" s="770" t="s">
        <v>494</v>
      </c>
      <c r="P568" s="770" t="s">
        <v>495</v>
      </c>
      <c r="Q568" s="770" t="s">
        <v>519</v>
      </c>
      <c r="R568" s="770" t="s">
        <v>497</v>
      </c>
      <c r="S568" s="770">
        <v>2019.0</v>
      </c>
      <c r="T568" s="771">
        <v>510.0461672</v>
      </c>
      <c r="U568" s="771">
        <v>643.4594689</v>
      </c>
      <c r="V568" s="772">
        <v>393.7201501</v>
      </c>
      <c r="X568" s="769" t="s">
        <v>519</v>
      </c>
      <c r="Y568" s="770" t="s">
        <v>494</v>
      </c>
      <c r="Z568" s="770" t="s">
        <v>509</v>
      </c>
      <c r="AA568" s="770" t="s">
        <v>38</v>
      </c>
      <c r="AB568" s="770" t="s">
        <v>493</v>
      </c>
      <c r="AC568" s="770" t="s">
        <v>103</v>
      </c>
      <c r="AD568" s="770" t="s">
        <v>501</v>
      </c>
      <c r="AE568" s="784" t="s">
        <v>502</v>
      </c>
      <c r="AF568" s="771">
        <v>383.3115867</v>
      </c>
      <c r="AG568" s="771">
        <v>275.9034194</v>
      </c>
      <c r="AH568" s="771">
        <v>509.8807946</v>
      </c>
      <c r="AI568" s="772" t="s">
        <v>233</v>
      </c>
      <c r="AK568" s="769" t="s">
        <v>519</v>
      </c>
      <c r="AL568" s="770" t="s">
        <v>494</v>
      </c>
      <c r="AM568" s="770" t="s">
        <v>509</v>
      </c>
      <c r="AN568" s="770" t="s">
        <v>38</v>
      </c>
      <c r="AO568" s="770" t="s">
        <v>493</v>
      </c>
      <c r="AP568" s="770" t="s">
        <v>504</v>
      </c>
      <c r="AQ568" s="770" t="s">
        <v>501</v>
      </c>
      <c r="AR568" s="784" t="s">
        <v>502</v>
      </c>
      <c r="AS568" s="771">
        <v>4091.853365</v>
      </c>
      <c r="AT568" s="771">
        <v>2945.270569</v>
      </c>
      <c r="AU568" s="771">
        <v>5442.980378</v>
      </c>
      <c r="AV568" s="989" t="s">
        <v>233</v>
      </c>
      <c r="AW568" s="714"/>
    </row>
    <row r="569">
      <c r="A569" s="761"/>
      <c r="B569" s="769" t="s">
        <v>493</v>
      </c>
      <c r="C569" s="770" t="s">
        <v>9</v>
      </c>
      <c r="D569" s="770" t="s">
        <v>494</v>
      </c>
      <c r="E569" s="770" t="s">
        <v>505</v>
      </c>
      <c r="F569" s="770" t="s">
        <v>519</v>
      </c>
      <c r="G569" s="770" t="s">
        <v>103</v>
      </c>
      <c r="H569" s="770">
        <v>2019.0</v>
      </c>
      <c r="I569" s="771">
        <v>8793.836189</v>
      </c>
      <c r="J569" s="771">
        <v>10834.96832</v>
      </c>
      <c r="K569" s="772">
        <v>6948.205776</v>
      </c>
      <c r="M569" s="769" t="s">
        <v>493</v>
      </c>
      <c r="N569" s="770" t="s">
        <v>9</v>
      </c>
      <c r="O569" s="770" t="s">
        <v>494</v>
      </c>
      <c r="P569" s="770" t="s">
        <v>505</v>
      </c>
      <c r="Q569" s="770" t="s">
        <v>519</v>
      </c>
      <c r="R569" s="770" t="s">
        <v>497</v>
      </c>
      <c r="S569" s="770">
        <v>2019.0</v>
      </c>
      <c r="T569" s="771">
        <v>96604.69407</v>
      </c>
      <c r="U569" s="771">
        <v>119027.5526</v>
      </c>
      <c r="V569" s="772">
        <v>76329.51977</v>
      </c>
      <c r="X569" s="769" t="s">
        <v>519</v>
      </c>
      <c r="Y569" s="770" t="s">
        <v>494</v>
      </c>
      <c r="Z569" s="770" t="s">
        <v>513</v>
      </c>
      <c r="AA569" s="770" t="s">
        <v>38</v>
      </c>
      <c r="AB569" s="770" t="s">
        <v>493</v>
      </c>
      <c r="AC569" s="770" t="s">
        <v>103</v>
      </c>
      <c r="AD569" s="770" t="s">
        <v>501</v>
      </c>
      <c r="AE569" s="784" t="s">
        <v>502</v>
      </c>
      <c r="AF569" s="771">
        <v>3849.674858</v>
      </c>
      <c r="AG569" s="771">
        <v>3111.818433</v>
      </c>
      <c r="AH569" s="771">
        <v>4866.026773</v>
      </c>
      <c r="AI569" s="772" t="s">
        <v>233</v>
      </c>
      <c r="AK569" s="769" t="s">
        <v>519</v>
      </c>
      <c r="AL569" s="770" t="s">
        <v>494</v>
      </c>
      <c r="AM569" s="770" t="s">
        <v>513</v>
      </c>
      <c r="AN569" s="770" t="s">
        <v>38</v>
      </c>
      <c r="AO569" s="770" t="s">
        <v>493</v>
      </c>
      <c r="AP569" s="770" t="s">
        <v>504</v>
      </c>
      <c r="AQ569" s="770" t="s">
        <v>501</v>
      </c>
      <c r="AR569" s="784" t="s">
        <v>502</v>
      </c>
      <c r="AS569" s="771">
        <v>509.1309178</v>
      </c>
      <c r="AT569" s="771">
        <v>411.5472173</v>
      </c>
      <c r="AU569" s="771">
        <v>643.5464731</v>
      </c>
      <c r="AV569" s="989" t="s">
        <v>233</v>
      </c>
      <c r="AW569" s="714"/>
    </row>
    <row r="570">
      <c r="A570" s="761"/>
      <c r="B570" s="769" t="s">
        <v>493</v>
      </c>
      <c r="C570" s="770" t="s">
        <v>9</v>
      </c>
      <c r="D570" s="770" t="s">
        <v>494</v>
      </c>
      <c r="E570" s="770" t="s">
        <v>508</v>
      </c>
      <c r="F570" s="770" t="s">
        <v>519</v>
      </c>
      <c r="G570" s="770" t="s">
        <v>103</v>
      </c>
      <c r="H570" s="770">
        <v>2019.0</v>
      </c>
      <c r="I570" s="771">
        <v>382.6165192</v>
      </c>
      <c r="J570" s="771">
        <v>697.8566606</v>
      </c>
      <c r="K570" s="772">
        <v>193.9701996</v>
      </c>
      <c r="M570" s="769" t="s">
        <v>493</v>
      </c>
      <c r="N570" s="770" t="s">
        <v>9</v>
      </c>
      <c r="O570" s="770" t="s">
        <v>494</v>
      </c>
      <c r="P570" s="770" t="s">
        <v>508</v>
      </c>
      <c r="Q570" s="770" t="s">
        <v>519</v>
      </c>
      <c r="R570" s="770" t="s">
        <v>497</v>
      </c>
      <c r="S570" s="770">
        <v>2019.0</v>
      </c>
      <c r="T570" s="771">
        <v>91.45153065</v>
      </c>
      <c r="U570" s="771">
        <v>166.7990183</v>
      </c>
      <c r="V570" s="772">
        <v>46.362012</v>
      </c>
      <c r="X570" s="769" t="s">
        <v>521</v>
      </c>
      <c r="Y570" s="770" t="s">
        <v>494</v>
      </c>
      <c r="Z570" s="770" t="s">
        <v>499</v>
      </c>
      <c r="AA570" s="770" t="s">
        <v>38</v>
      </c>
      <c r="AB570" s="770" t="s">
        <v>493</v>
      </c>
      <c r="AC570" s="770" t="s">
        <v>103</v>
      </c>
      <c r="AD570" s="770" t="s">
        <v>501</v>
      </c>
      <c r="AE570" s="784" t="s">
        <v>502</v>
      </c>
      <c r="AF570" s="771">
        <v>0.0</v>
      </c>
      <c r="AG570" s="771">
        <v>0.0</v>
      </c>
      <c r="AH570" s="771">
        <v>0.0</v>
      </c>
      <c r="AI570" s="772" t="s">
        <v>233</v>
      </c>
      <c r="AK570" s="769" t="s">
        <v>521</v>
      </c>
      <c r="AL570" s="770" t="s">
        <v>494</v>
      </c>
      <c r="AM570" s="770" t="s">
        <v>499</v>
      </c>
      <c r="AN570" s="770" t="s">
        <v>38</v>
      </c>
      <c r="AO570" s="770" t="s">
        <v>493</v>
      </c>
      <c r="AP570" s="770" t="s">
        <v>504</v>
      </c>
      <c r="AQ570" s="770" t="s">
        <v>501</v>
      </c>
      <c r="AR570" s="784" t="s">
        <v>502</v>
      </c>
      <c r="AS570" s="771">
        <v>0.0</v>
      </c>
      <c r="AT570" s="771">
        <v>0.0</v>
      </c>
      <c r="AU570" s="771">
        <v>0.0</v>
      </c>
      <c r="AV570" s="989" t="s">
        <v>233</v>
      </c>
      <c r="AW570" s="714"/>
    </row>
    <row r="571">
      <c r="A571" s="761"/>
      <c r="B571" s="769" t="s">
        <v>493</v>
      </c>
      <c r="C571" s="770" t="s">
        <v>9</v>
      </c>
      <c r="D571" s="770" t="s">
        <v>494</v>
      </c>
      <c r="E571" s="770" t="s">
        <v>512</v>
      </c>
      <c r="F571" s="770" t="s">
        <v>519</v>
      </c>
      <c r="G571" s="770" t="s">
        <v>103</v>
      </c>
      <c r="H571" s="770">
        <v>2019.0</v>
      </c>
      <c r="I571" s="771">
        <v>1682.633262</v>
      </c>
      <c r="J571" s="771">
        <v>2420.547557</v>
      </c>
      <c r="K571" s="772">
        <v>1065.456752</v>
      </c>
      <c r="M571" s="769" t="s">
        <v>493</v>
      </c>
      <c r="N571" s="770" t="s">
        <v>9</v>
      </c>
      <c r="O571" s="770" t="s">
        <v>494</v>
      </c>
      <c r="P571" s="770" t="s">
        <v>512</v>
      </c>
      <c r="Q571" s="770" t="s">
        <v>519</v>
      </c>
      <c r="R571" s="770" t="s">
        <v>497</v>
      </c>
      <c r="S571" s="770">
        <v>2019.0</v>
      </c>
      <c r="T571" s="771">
        <v>6264.708938</v>
      </c>
      <c r="U571" s="771">
        <v>9012.080206</v>
      </c>
      <c r="V571" s="772">
        <v>3966.863478</v>
      </c>
      <c r="X571" s="769" t="s">
        <v>521</v>
      </c>
      <c r="Y571" s="770" t="s">
        <v>494</v>
      </c>
      <c r="Z571" s="770" t="s">
        <v>507</v>
      </c>
      <c r="AA571" s="770" t="s">
        <v>38</v>
      </c>
      <c r="AB571" s="770" t="s">
        <v>493</v>
      </c>
      <c r="AC571" s="770" t="s">
        <v>103</v>
      </c>
      <c r="AD571" s="770" t="s">
        <v>501</v>
      </c>
      <c r="AE571" s="784" t="s">
        <v>502</v>
      </c>
      <c r="AF571" s="771">
        <v>10.62345897</v>
      </c>
      <c r="AG571" s="771">
        <v>3.114984163</v>
      </c>
      <c r="AH571" s="771">
        <v>25.58543557</v>
      </c>
      <c r="AI571" s="772" t="s">
        <v>233</v>
      </c>
      <c r="AK571" s="769" t="s">
        <v>521</v>
      </c>
      <c r="AL571" s="770" t="s">
        <v>494</v>
      </c>
      <c r="AM571" s="770" t="s">
        <v>507</v>
      </c>
      <c r="AN571" s="770" t="s">
        <v>38</v>
      </c>
      <c r="AO571" s="770" t="s">
        <v>493</v>
      </c>
      <c r="AP571" s="770" t="s">
        <v>504</v>
      </c>
      <c r="AQ571" s="770" t="s">
        <v>501</v>
      </c>
      <c r="AR571" s="784" t="s">
        <v>502</v>
      </c>
      <c r="AS571" s="771">
        <v>7.345516843</v>
      </c>
      <c r="AT571" s="771">
        <v>2.153834142</v>
      </c>
      <c r="AU571" s="771">
        <v>17.69087153</v>
      </c>
      <c r="AV571" s="989" t="s">
        <v>233</v>
      </c>
      <c r="AW571" s="714"/>
    </row>
    <row r="572">
      <c r="A572" s="761"/>
      <c r="B572" s="769" t="s">
        <v>493</v>
      </c>
      <c r="C572" s="770" t="s">
        <v>9</v>
      </c>
      <c r="D572" s="770" t="s">
        <v>494</v>
      </c>
      <c r="E572" s="770" t="s">
        <v>495</v>
      </c>
      <c r="F572" s="770" t="s">
        <v>521</v>
      </c>
      <c r="G572" s="770" t="s">
        <v>103</v>
      </c>
      <c r="H572" s="770">
        <v>2019.0</v>
      </c>
      <c r="I572" s="771">
        <v>995.7713051</v>
      </c>
      <c r="J572" s="771">
        <v>2426.673439</v>
      </c>
      <c r="K572" s="772">
        <v>302.9588871</v>
      </c>
      <c r="M572" s="769" t="s">
        <v>493</v>
      </c>
      <c r="N572" s="770" t="s">
        <v>9</v>
      </c>
      <c r="O572" s="770" t="s">
        <v>494</v>
      </c>
      <c r="P572" s="770" t="s">
        <v>495</v>
      </c>
      <c r="Q572" s="770" t="s">
        <v>521</v>
      </c>
      <c r="R572" s="770" t="s">
        <v>497</v>
      </c>
      <c r="S572" s="770">
        <v>2019.0</v>
      </c>
      <c r="T572" s="771">
        <v>46.45766936</v>
      </c>
      <c r="U572" s="771">
        <v>113.2163497</v>
      </c>
      <c r="V572" s="772">
        <v>14.13453444</v>
      </c>
      <c r="X572" s="769" t="s">
        <v>521</v>
      </c>
      <c r="Y572" s="770" t="s">
        <v>494</v>
      </c>
      <c r="Z572" s="770" t="s">
        <v>509</v>
      </c>
      <c r="AA572" s="770" t="s">
        <v>38</v>
      </c>
      <c r="AB572" s="770" t="s">
        <v>493</v>
      </c>
      <c r="AC572" s="770" t="s">
        <v>103</v>
      </c>
      <c r="AD572" s="770" t="s">
        <v>501</v>
      </c>
      <c r="AE572" s="784" t="s">
        <v>502</v>
      </c>
      <c r="AF572" s="771">
        <v>0.0</v>
      </c>
      <c r="AG572" s="771">
        <v>0.0</v>
      </c>
      <c r="AH572" s="771">
        <v>0.0</v>
      </c>
      <c r="AI572" s="772" t="s">
        <v>233</v>
      </c>
      <c r="AK572" s="769" t="s">
        <v>521</v>
      </c>
      <c r="AL572" s="770" t="s">
        <v>494</v>
      </c>
      <c r="AM572" s="770" t="s">
        <v>509</v>
      </c>
      <c r="AN572" s="770" t="s">
        <v>38</v>
      </c>
      <c r="AO572" s="770" t="s">
        <v>493</v>
      </c>
      <c r="AP572" s="770" t="s">
        <v>504</v>
      </c>
      <c r="AQ572" s="770" t="s">
        <v>501</v>
      </c>
      <c r="AR572" s="784" t="s">
        <v>502</v>
      </c>
      <c r="AS572" s="771">
        <v>0.0</v>
      </c>
      <c r="AT572" s="771">
        <v>0.0</v>
      </c>
      <c r="AU572" s="771">
        <v>0.0</v>
      </c>
      <c r="AV572" s="989" t="s">
        <v>233</v>
      </c>
      <c r="AW572" s="714"/>
    </row>
    <row r="573">
      <c r="A573" s="761"/>
      <c r="B573" s="769" t="s">
        <v>493</v>
      </c>
      <c r="C573" s="770" t="s">
        <v>9</v>
      </c>
      <c r="D573" s="770" t="s">
        <v>494</v>
      </c>
      <c r="E573" s="770" t="s">
        <v>505</v>
      </c>
      <c r="F573" s="770" t="s">
        <v>521</v>
      </c>
      <c r="G573" s="770" t="s">
        <v>103</v>
      </c>
      <c r="H573" s="770">
        <v>2019.0</v>
      </c>
      <c r="I573" s="771">
        <v>0.0</v>
      </c>
      <c r="J573" s="771">
        <v>0.0</v>
      </c>
      <c r="K573" s="772">
        <v>0.0</v>
      </c>
      <c r="M573" s="769" t="s">
        <v>493</v>
      </c>
      <c r="N573" s="770" t="s">
        <v>9</v>
      </c>
      <c r="O573" s="770" t="s">
        <v>494</v>
      </c>
      <c r="P573" s="770" t="s">
        <v>505</v>
      </c>
      <c r="Q573" s="770" t="s">
        <v>521</v>
      </c>
      <c r="R573" s="770" t="s">
        <v>497</v>
      </c>
      <c r="S573" s="770">
        <v>2019.0</v>
      </c>
      <c r="T573" s="771">
        <v>0.0</v>
      </c>
      <c r="U573" s="771">
        <v>0.0</v>
      </c>
      <c r="V573" s="772">
        <v>0.0</v>
      </c>
      <c r="X573" s="769" t="s">
        <v>521</v>
      </c>
      <c r="Y573" s="770" t="s">
        <v>494</v>
      </c>
      <c r="Z573" s="770" t="s">
        <v>513</v>
      </c>
      <c r="AA573" s="770" t="s">
        <v>38</v>
      </c>
      <c r="AB573" s="770" t="s">
        <v>493</v>
      </c>
      <c r="AC573" s="770" t="s">
        <v>103</v>
      </c>
      <c r="AD573" s="770" t="s">
        <v>501</v>
      </c>
      <c r="AE573" s="784" t="s">
        <v>502</v>
      </c>
      <c r="AF573" s="771">
        <v>50.87708862</v>
      </c>
      <c r="AG573" s="771">
        <v>14.57728811</v>
      </c>
      <c r="AH573" s="771">
        <v>129.6472198</v>
      </c>
      <c r="AI573" s="772" t="s">
        <v>233</v>
      </c>
      <c r="AK573" s="769" t="s">
        <v>521</v>
      </c>
      <c r="AL573" s="770" t="s">
        <v>494</v>
      </c>
      <c r="AM573" s="770" t="s">
        <v>513</v>
      </c>
      <c r="AN573" s="770" t="s">
        <v>38</v>
      </c>
      <c r="AO573" s="770" t="s">
        <v>493</v>
      </c>
      <c r="AP573" s="770" t="s">
        <v>504</v>
      </c>
      <c r="AQ573" s="770" t="s">
        <v>501</v>
      </c>
      <c r="AR573" s="784" t="s">
        <v>502</v>
      </c>
      <c r="AS573" s="771">
        <v>6.728645869</v>
      </c>
      <c r="AT573" s="771">
        <v>1.927889588</v>
      </c>
      <c r="AU573" s="771">
        <v>17.14622935</v>
      </c>
      <c r="AV573" s="989" t="s">
        <v>233</v>
      </c>
      <c r="AW573" s="714"/>
    </row>
    <row r="574">
      <c r="A574" s="761"/>
      <c r="B574" s="769" t="s">
        <v>493</v>
      </c>
      <c r="C574" s="770" t="s">
        <v>9</v>
      </c>
      <c r="D574" s="770" t="s">
        <v>494</v>
      </c>
      <c r="E574" s="770" t="s">
        <v>508</v>
      </c>
      <c r="F574" s="770" t="s">
        <v>521</v>
      </c>
      <c r="G574" s="770" t="s">
        <v>103</v>
      </c>
      <c r="H574" s="770">
        <v>2019.0</v>
      </c>
      <c r="I574" s="771">
        <v>252.3160467</v>
      </c>
      <c r="J574" s="771">
        <v>621.0778546</v>
      </c>
      <c r="K574" s="772">
        <v>77.31790258</v>
      </c>
      <c r="M574" s="769" t="s">
        <v>493</v>
      </c>
      <c r="N574" s="770" t="s">
        <v>9</v>
      </c>
      <c r="O574" s="770" t="s">
        <v>494</v>
      </c>
      <c r="P574" s="770" t="s">
        <v>508</v>
      </c>
      <c r="Q574" s="770" t="s">
        <v>521</v>
      </c>
      <c r="R574" s="770" t="s">
        <v>497</v>
      </c>
      <c r="S574" s="770">
        <v>2019.0</v>
      </c>
      <c r="T574" s="771">
        <v>60.30761225</v>
      </c>
      <c r="U574" s="771">
        <v>148.447643</v>
      </c>
      <c r="V574" s="772">
        <v>18.48022807</v>
      </c>
      <c r="X574" s="769" t="s">
        <v>523</v>
      </c>
      <c r="Y574" s="770" t="s">
        <v>494</v>
      </c>
      <c r="Z574" s="770" t="s">
        <v>507</v>
      </c>
      <c r="AA574" s="770" t="s">
        <v>38</v>
      </c>
      <c r="AB574" s="770" t="s">
        <v>493</v>
      </c>
      <c r="AC574" s="770" t="s">
        <v>103</v>
      </c>
      <c r="AD574" s="770" t="s">
        <v>501</v>
      </c>
      <c r="AE574" s="784" t="s">
        <v>502</v>
      </c>
      <c r="AF574" s="771">
        <v>44.7369121</v>
      </c>
      <c r="AG574" s="771">
        <v>21.99198721</v>
      </c>
      <c r="AH574" s="771">
        <v>76.96416862</v>
      </c>
      <c r="AI574" s="772" t="s">
        <v>233</v>
      </c>
      <c r="AK574" s="769" t="s">
        <v>523</v>
      </c>
      <c r="AL574" s="770" t="s">
        <v>494</v>
      </c>
      <c r="AM574" s="770" t="s">
        <v>507</v>
      </c>
      <c r="AN574" s="770" t="s">
        <v>38</v>
      </c>
      <c r="AO574" s="770" t="s">
        <v>493</v>
      </c>
      <c r="AP574" s="770" t="s">
        <v>504</v>
      </c>
      <c r="AQ574" s="770" t="s">
        <v>501</v>
      </c>
      <c r="AR574" s="784" t="s">
        <v>502</v>
      </c>
      <c r="AS574" s="771">
        <v>30.93302682</v>
      </c>
      <c r="AT574" s="771">
        <v>15.20620665</v>
      </c>
      <c r="AU574" s="771">
        <v>53.21633927</v>
      </c>
      <c r="AV574" s="989" t="s">
        <v>233</v>
      </c>
      <c r="AW574" s="714"/>
    </row>
    <row r="575">
      <c r="A575" s="761"/>
      <c r="B575" s="769" t="s">
        <v>493</v>
      </c>
      <c r="C575" s="770" t="s">
        <v>9</v>
      </c>
      <c r="D575" s="770" t="s">
        <v>494</v>
      </c>
      <c r="E575" s="770" t="s">
        <v>512</v>
      </c>
      <c r="F575" s="770" t="s">
        <v>521</v>
      </c>
      <c r="G575" s="770" t="s">
        <v>103</v>
      </c>
      <c r="H575" s="770">
        <v>2019.0</v>
      </c>
      <c r="I575" s="771">
        <v>0.0</v>
      </c>
      <c r="J575" s="771">
        <v>0.0</v>
      </c>
      <c r="K575" s="772">
        <v>0.0</v>
      </c>
      <c r="M575" s="769" t="s">
        <v>493</v>
      </c>
      <c r="N575" s="770" t="s">
        <v>9</v>
      </c>
      <c r="O575" s="770" t="s">
        <v>494</v>
      </c>
      <c r="P575" s="770" t="s">
        <v>512</v>
      </c>
      <c r="Q575" s="770" t="s">
        <v>521</v>
      </c>
      <c r="R575" s="770" t="s">
        <v>497</v>
      </c>
      <c r="S575" s="770">
        <v>2019.0</v>
      </c>
      <c r="T575" s="771">
        <v>0.0</v>
      </c>
      <c r="U575" s="771">
        <v>0.0</v>
      </c>
      <c r="V575" s="772">
        <v>0.0</v>
      </c>
      <c r="X575" s="769" t="s">
        <v>523</v>
      </c>
      <c r="Y575" s="770" t="s">
        <v>494</v>
      </c>
      <c r="Z575" s="770" t="s">
        <v>513</v>
      </c>
      <c r="AA575" s="770" t="s">
        <v>38</v>
      </c>
      <c r="AB575" s="770" t="s">
        <v>493</v>
      </c>
      <c r="AC575" s="770" t="s">
        <v>103</v>
      </c>
      <c r="AD575" s="770" t="s">
        <v>501</v>
      </c>
      <c r="AE575" s="784" t="s">
        <v>502</v>
      </c>
      <c r="AF575" s="771">
        <v>76.47365451</v>
      </c>
      <c r="AG575" s="771">
        <v>41.25329718</v>
      </c>
      <c r="AH575" s="771">
        <v>129.0433077</v>
      </c>
      <c r="AI575" s="772" t="s">
        <v>233</v>
      </c>
      <c r="AK575" s="769" t="s">
        <v>523</v>
      </c>
      <c r="AL575" s="770" t="s">
        <v>494</v>
      </c>
      <c r="AM575" s="770" t="s">
        <v>513</v>
      </c>
      <c r="AN575" s="770" t="s">
        <v>38</v>
      </c>
      <c r="AO575" s="770" t="s">
        <v>493</v>
      </c>
      <c r="AP575" s="770" t="s">
        <v>504</v>
      </c>
      <c r="AQ575" s="770" t="s">
        <v>501</v>
      </c>
      <c r="AR575" s="784" t="s">
        <v>502</v>
      </c>
      <c r="AS575" s="771">
        <v>10.11386763</v>
      </c>
      <c r="AT575" s="771">
        <v>5.455870907</v>
      </c>
      <c r="AU575" s="771">
        <v>17.06636017</v>
      </c>
      <c r="AV575" s="989" t="s">
        <v>233</v>
      </c>
      <c r="AW575" s="714"/>
    </row>
    <row r="576">
      <c r="A576" s="761"/>
      <c r="B576" s="786" t="s">
        <v>493</v>
      </c>
      <c r="C576" s="787" t="s">
        <v>9</v>
      </c>
      <c r="D576" s="787" t="s">
        <v>494</v>
      </c>
      <c r="E576" s="787" t="s">
        <v>495</v>
      </c>
      <c r="F576" s="787" t="s">
        <v>523</v>
      </c>
      <c r="G576" s="787" t="s">
        <v>103</v>
      </c>
      <c r="H576" s="788">
        <v>2019.0</v>
      </c>
      <c r="I576" s="789">
        <v>1366.196343</v>
      </c>
      <c r="J576" s="789">
        <v>2336.850678</v>
      </c>
      <c r="K576" s="790">
        <v>712.7052352</v>
      </c>
      <c r="M576" s="786" t="s">
        <v>493</v>
      </c>
      <c r="N576" s="787" t="s">
        <v>9</v>
      </c>
      <c r="O576" s="787" t="s">
        <v>494</v>
      </c>
      <c r="P576" s="787" t="s">
        <v>495</v>
      </c>
      <c r="Q576" s="787" t="s">
        <v>523</v>
      </c>
      <c r="R576" s="787" t="s">
        <v>497</v>
      </c>
      <c r="S576" s="788">
        <v>2019.0</v>
      </c>
      <c r="T576" s="789">
        <v>63.73983432</v>
      </c>
      <c r="U576" s="789">
        <v>109.0256724</v>
      </c>
      <c r="V576" s="790">
        <v>33.25123349</v>
      </c>
      <c r="X576" s="769" t="s">
        <v>496</v>
      </c>
      <c r="Y576" s="770" t="s">
        <v>494</v>
      </c>
      <c r="Z576" s="770" t="s">
        <v>499</v>
      </c>
      <c r="AA576" s="770" t="s">
        <v>13</v>
      </c>
      <c r="AB576" s="770" t="s">
        <v>493</v>
      </c>
      <c r="AC576" s="770" t="s">
        <v>103</v>
      </c>
      <c r="AD576" s="770" t="s">
        <v>501</v>
      </c>
      <c r="AE576" s="784" t="s">
        <v>502</v>
      </c>
      <c r="AF576" s="771">
        <v>14136.3269</v>
      </c>
      <c r="AG576" s="771">
        <v>11551.54157</v>
      </c>
      <c r="AH576" s="771">
        <v>17427.27101</v>
      </c>
      <c r="AI576" s="772" t="s">
        <v>233</v>
      </c>
      <c r="AK576" s="769" t="s">
        <v>496</v>
      </c>
      <c r="AL576" s="770" t="s">
        <v>494</v>
      </c>
      <c r="AM576" s="770" t="s">
        <v>499</v>
      </c>
      <c r="AN576" s="770" t="s">
        <v>13</v>
      </c>
      <c r="AO576" s="770" t="s">
        <v>493</v>
      </c>
      <c r="AP576" s="770" t="s">
        <v>504</v>
      </c>
      <c r="AQ576" s="770" t="s">
        <v>501</v>
      </c>
      <c r="AR576" s="784" t="s">
        <v>502</v>
      </c>
      <c r="AS576" s="771">
        <v>150143.6415</v>
      </c>
      <c r="AT576" s="771">
        <v>122690.3231</v>
      </c>
      <c r="AU576" s="771">
        <v>185097.1577</v>
      </c>
      <c r="AV576" s="989" t="s">
        <v>233</v>
      </c>
      <c r="AW576" s="714"/>
    </row>
    <row r="577">
      <c r="A577" s="761"/>
      <c r="B577" s="776" t="s">
        <v>493</v>
      </c>
      <c r="C577" s="777" t="s">
        <v>9</v>
      </c>
      <c r="D577" s="777" t="s">
        <v>494</v>
      </c>
      <c r="E577" s="777" t="s">
        <v>505</v>
      </c>
      <c r="F577" s="777" t="s">
        <v>523</v>
      </c>
      <c r="G577" s="777" t="s">
        <v>103</v>
      </c>
      <c r="H577" s="778">
        <v>2019.0</v>
      </c>
      <c r="I577" s="780">
        <v>0.0</v>
      </c>
      <c r="J577" s="780">
        <v>0.0</v>
      </c>
      <c r="K577" s="782">
        <v>0.0</v>
      </c>
      <c r="M577" s="776" t="s">
        <v>493</v>
      </c>
      <c r="N577" s="777" t="s">
        <v>9</v>
      </c>
      <c r="O577" s="777" t="s">
        <v>494</v>
      </c>
      <c r="P577" s="777" t="s">
        <v>505</v>
      </c>
      <c r="Q577" s="777" t="s">
        <v>523</v>
      </c>
      <c r="R577" s="777" t="s">
        <v>497</v>
      </c>
      <c r="S577" s="778">
        <v>2019.0</v>
      </c>
      <c r="T577" s="780">
        <v>0.0</v>
      </c>
      <c r="U577" s="780">
        <v>0.0</v>
      </c>
      <c r="V577" s="782">
        <v>0.0</v>
      </c>
      <c r="X577" s="769" t="s">
        <v>496</v>
      </c>
      <c r="Y577" s="770" t="s">
        <v>494</v>
      </c>
      <c r="Z577" s="770" t="s">
        <v>507</v>
      </c>
      <c r="AA577" s="770" t="s">
        <v>13</v>
      </c>
      <c r="AB577" s="770" t="s">
        <v>493</v>
      </c>
      <c r="AC577" s="770" t="s">
        <v>103</v>
      </c>
      <c r="AD577" s="770" t="s">
        <v>501</v>
      </c>
      <c r="AE577" s="784" t="s">
        <v>502</v>
      </c>
      <c r="AF577" s="771">
        <v>12501.05371</v>
      </c>
      <c r="AG577" s="771">
        <v>10189.1372</v>
      </c>
      <c r="AH577" s="771">
        <v>15427.32146</v>
      </c>
      <c r="AI577" s="772" t="s">
        <v>233</v>
      </c>
      <c r="AK577" s="769" t="s">
        <v>496</v>
      </c>
      <c r="AL577" s="770" t="s">
        <v>494</v>
      </c>
      <c r="AM577" s="770" t="s">
        <v>507</v>
      </c>
      <c r="AN577" s="770" t="s">
        <v>13</v>
      </c>
      <c r="AO577" s="770" t="s">
        <v>493</v>
      </c>
      <c r="AP577" s="770" t="s">
        <v>504</v>
      </c>
      <c r="AQ577" s="770" t="s">
        <v>501</v>
      </c>
      <c r="AR577" s="784" t="s">
        <v>502</v>
      </c>
      <c r="AS577" s="771">
        <v>2940.713053</v>
      </c>
      <c r="AT577" s="771">
        <v>2396.864254</v>
      </c>
      <c r="AU577" s="771">
        <v>3629.080126</v>
      </c>
      <c r="AV577" s="989" t="s">
        <v>233</v>
      </c>
      <c r="AW577" s="714"/>
    </row>
    <row r="578">
      <c r="A578" s="761"/>
      <c r="B578" s="776" t="s">
        <v>493</v>
      </c>
      <c r="C578" s="777" t="s">
        <v>9</v>
      </c>
      <c r="D578" s="777" t="s">
        <v>494</v>
      </c>
      <c r="E578" s="777" t="s">
        <v>508</v>
      </c>
      <c r="F578" s="777" t="s">
        <v>523</v>
      </c>
      <c r="G578" s="777" t="s">
        <v>103</v>
      </c>
      <c r="H578" s="778">
        <v>2019.0</v>
      </c>
      <c r="I578" s="780">
        <v>474.3186015</v>
      </c>
      <c r="J578" s="780">
        <v>869.7805275</v>
      </c>
      <c r="K578" s="782">
        <v>223.8299538</v>
      </c>
      <c r="M578" s="776" t="s">
        <v>493</v>
      </c>
      <c r="N578" s="777" t="s">
        <v>9</v>
      </c>
      <c r="O578" s="777" t="s">
        <v>494</v>
      </c>
      <c r="P578" s="777" t="s">
        <v>508</v>
      </c>
      <c r="Q578" s="777" t="s">
        <v>523</v>
      </c>
      <c r="R578" s="777" t="s">
        <v>497</v>
      </c>
      <c r="S578" s="778">
        <v>2019.0</v>
      </c>
      <c r="T578" s="780">
        <v>113.3698101</v>
      </c>
      <c r="U578" s="780">
        <v>207.8916005</v>
      </c>
      <c r="V578" s="782">
        <v>53.49897574</v>
      </c>
      <c r="X578" s="769" t="s">
        <v>496</v>
      </c>
      <c r="Y578" s="770" t="s">
        <v>494</v>
      </c>
      <c r="Z578" s="770" t="s">
        <v>509</v>
      </c>
      <c r="AA578" s="770" t="s">
        <v>13</v>
      </c>
      <c r="AB578" s="770" t="s">
        <v>493</v>
      </c>
      <c r="AC578" s="770" t="s">
        <v>103</v>
      </c>
      <c r="AD578" s="770" t="s">
        <v>501</v>
      </c>
      <c r="AE578" s="784" t="s">
        <v>502</v>
      </c>
      <c r="AF578" s="771">
        <v>3299.395693</v>
      </c>
      <c r="AG578" s="771">
        <v>2678.216174</v>
      </c>
      <c r="AH578" s="771">
        <v>4084.718858</v>
      </c>
      <c r="AI578" s="772" t="s">
        <v>233</v>
      </c>
      <c r="AK578" s="769" t="s">
        <v>496</v>
      </c>
      <c r="AL578" s="770" t="s">
        <v>494</v>
      </c>
      <c r="AM578" s="770" t="s">
        <v>509</v>
      </c>
      <c r="AN578" s="770" t="s">
        <v>13</v>
      </c>
      <c r="AO578" s="770" t="s">
        <v>493</v>
      </c>
      <c r="AP578" s="770" t="s">
        <v>504</v>
      </c>
      <c r="AQ578" s="770" t="s">
        <v>501</v>
      </c>
      <c r="AR578" s="784" t="s">
        <v>502</v>
      </c>
      <c r="AS578" s="771">
        <v>11919.60921</v>
      </c>
      <c r="AT578" s="771">
        <v>9675.496108</v>
      </c>
      <c r="AU578" s="771">
        <v>14756.71822</v>
      </c>
      <c r="AV578" s="989" t="s">
        <v>233</v>
      </c>
      <c r="AW578" s="714"/>
    </row>
    <row r="579">
      <c r="A579" s="761"/>
      <c r="B579" s="786" t="s">
        <v>493</v>
      </c>
      <c r="C579" s="787" t="s">
        <v>9</v>
      </c>
      <c r="D579" s="787" t="s">
        <v>494</v>
      </c>
      <c r="E579" s="787" t="s">
        <v>512</v>
      </c>
      <c r="F579" s="787" t="s">
        <v>523</v>
      </c>
      <c r="G579" s="787" t="s">
        <v>103</v>
      </c>
      <c r="H579" s="788">
        <v>2019.0</v>
      </c>
      <c r="I579" s="789">
        <v>0.0</v>
      </c>
      <c r="J579" s="789">
        <v>0.0</v>
      </c>
      <c r="K579" s="790">
        <v>0.0</v>
      </c>
      <c r="M579" s="786" t="s">
        <v>493</v>
      </c>
      <c r="N579" s="787" t="s">
        <v>9</v>
      </c>
      <c r="O579" s="787" t="s">
        <v>494</v>
      </c>
      <c r="P579" s="787" t="s">
        <v>512</v>
      </c>
      <c r="Q579" s="787" t="s">
        <v>523</v>
      </c>
      <c r="R579" s="787" t="s">
        <v>497</v>
      </c>
      <c r="S579" s="788">
        <v>2019.0</v>
      </c>
      <c r="T579" s="789">
        <v>0.0</v>
      </c>
      <c r="U579" s="789">
        <v>0.0</v>
      </c>
      <c r="V579" s="790">
        <v>0.0</v>
      </c>
      <c r="X579" s="769" t="s">
        <v>496</v>
      </c>
      <c r="Y579" s="770" t="s">
        <v>494</v>
      </c>
      <c r="Z579" s="770" t="s">
        <v>513</v>
      </c>
      <c r="AA579" s="770" t="s">
        <v>13</v>
      </c>
      <c r="AB579" s="770" t="s">
        <v>493</v>
      </c>
      <c r="AC579" s="770" t="s">
        <v>103</v>
      </c>
      <c r="AD579" s="770" t="s">
        <v>501</v>
      </c>
      <c r="AE579" s="784" t="s">
        <v>502</v>
      </c>
      <c r="AF579" s="771">
        <v>45040.57729</v>
      </c>
      <c r="AG579" s="771">
        <v>36708.46046</v>
      </c>
      <c r="AH579" s="771">
        <v>55578.66069</v>
      </c>
      <c r="AI579" s="772" t="s">
        <v>233</v>
      </c>
      <c r="AK579" s="769" t="s">
        <v>496</v>
      </c>
      <c r="AL579" s="770" t="s">
        <v>494</v>
      </c>
      <c r="AM579" s="770" t="s">
        <v>513</v>
      </c>
      <c r="AN579" s="770" t="s">
        <v>13</v>
      </c>
      <c r="AO579" s="770" t="s">
        <v>493</v>
      </c>
      <c r="AP579" s="770" t="s">
        <v>504</v>
      </c>
      <c r="AQ579" s="770" t="s">
        <v>501</v>
      </c>
      <c r="AR579" s="784" t="s">
        <v>502</v>
      </c>
      <c r="AS579" s="771">
        <v>2170.846264</v>
      </c>
      <c r="AT579" s="771">
        <v>1769.258501</v>
      </c>
      <c r="AU579" s="771">
        <v>2678.75625</v>
      </c>
      <c r="AV579" s="989" t="s">
        <v>233</v>
      </c>
      <c r="AW579" s="714"/>
    </row>
    <row r="580">
      <c r="A580" s="761"/>
      <c r="B580" s="769" t="s">
        <v>493</v>
      </c>
      <c r="C580" s="770" t="s">
        <v>625</v>
      </c>
      <c r="D580" s="770" t="s">
        <v>494</v>
      </c>
      <c r="E580" s="770" t="s">
        <v>495</v>
      </c>
      <c r="F580" s="770" t="s">
        <v>496</v>
      </c>
      <c r="G580" s="770" t="s">
        <v>103</v>
      </c>
      <c r="H580" s="770">
        <v>2019.0</v>
      </c>
      <c r="I580" s="771">
        <v>4429.588727</v>
      </c>
      <c r="J580" s="771">
        <v>5415.475874</v>
      </c>
      <c r="K580" s="772">
        <v>3538.353478</v>
      </c>
      <c r="M580" s="769" t="s">
        <v>493</v>
      </c>
      <c r="N580" s="770" t="s">
        <v>625</v>
      </c>
      <c r="O580" s="770" t="s">
        <v>494</v>
      </c>
      <c r="P580" s="770" t="s">
        <v>495</v>
      </c>
      <c r="Q580" s="770" t="s">
        <v>496</v>
      </c>
      <c r="R580" s="770" t="s">
        <v>497</v>
      </c>
      <c r="S580" s="770">
        <v>2019.0</v>
      </c>
      <c r="T580" s="771">
        <v>1541.000418</v>
      </c>
      <c r="U580" s="771">
        <v>1883.978649</v>
      </c>
      <c r="V580" s="772">
        <v>1230.950439</v>
      </c>
      <c r="X580" s="769" t="s">
        <v>514</v>
      </c>
      <c r="Y580" s="770" t="s">
        <v>494</v>
      </c>
      <c r="Z580" s="770" t="s">
        <v>499</v>
      </c>
      <c r="AA580" s="770" t="s">
        <v>13</v>
      </c>
      <c r="AB580" s="770" t="s">
        <v>493</v>
      </c>
      <c r="AC580" s="770" t="s">
        <v>103</v>
      </c>
      <c r="AD580" s="770" t="s">
        <v>501</v>
      </c>
      <c r="AE580" s="784" t="s">
        <v>502</v>
      </c>
      <c r="AF580" s="771">
        <v>13035.73616</v>
      </c>
      <c r="AG580" s="771">
        <v>10511.8798</v>
      </c>
      <c r="AH580" s="771">
        <v>16105.04726</v>
      </c>
      <c r="AI580" s="772" t="s">
        <v>233</v>
      </c>
      <c r="AK580" s="769" t="s">
        <v>514</v>
      </c>
      <c r="AL580" s="770" t="s">
        <v>494</v>
      </c>
      <c r="AM580" s="770" t="s">
        <v>499</v>
      </c>
      <c r="AN580" s="770" t="s">
        <v>13</v>
      </c>
      <c r="AO580" s="770" t="s">
        <v>493</v>
      </c>
      <c r="AP580" s="770" t="s">
        <v>504</v>
      </c>
      <c r="AQ580" s="770" t="s">
        <v>501</v>
      </c>
      <c r="AR580" s="784" t="s">
        <v>502</v>
      </c>
      <c r="AS580" s="771">
        <v>138454.1337</v>
      </c>
      <c r="AT580" s="771">
        <v>111647.9495</v>
      </c>
      <c r="AU580" s="771">
        <v>171053.659</v>
      </c>
      <c r="AV580" s="989" t="s">
        <v>233</v>
      </c>
      <c r="AW580" s="714"/>
    </row>
    <row r="581">
      <c r="A581" s="761"/>
      <c r="B581" s="769" t="s">
        <v>493</v>
      </c>
      <c r="C581" s="770" t="s">
        <v>625</v>
      </c>
      <c r="D581" s="770" t="s">
        <v>494</v>
      </c>
      <c r="E581" s="770" t="s">
        <v>505</v>
      </c>
      <c r="F581" s="770" t="s">
        <v>496</v>
      </c>
      <c r="G581" s="770" t="s">
        <v>103</v>
      </c>
      <c r="H581" s="770">
        <v>2019.0</v>
      </c>
      <c r="I581" s="771">
        <v>1642.925232</v>
      </c>
      <c r="J581" s="771">
        <v>1938.683955</v>
      </c>
      <c r="K581" s="772">
        <v>1358.43372</v>
      </c>
      <c r="M581" s="769" t="s">
        <v>493</v>
      </c>
      <c r="N581" s="770" t="s">
        <v>625</v>
      </c>
      <c r="O581" s="770" t="s">
        <v>494</v>
      </c>
      <c r="P581" s="770" t="s">
        <v>505</v>
      </c>
      <c r="Q581" s="770" t="s">
        <v>496</v>
      </c>
      <c r="R581" s="770" t="s">
        <v>497</v>
      </c>
      <c r="S581" s="770">
        <v>2019.0</v>
      </c>
      <c r="T581" s="771">
        <v>138662.746</v>
      </c>
      <c r="U581" s="771">
        <v>163624.7564</v>
      </c>
      <c r="V581" s="772">
        <v>114651.6872</v>
      </c>
      <c r="X581" s="769" t="s">
        <v>514</v>
      </c>
      <c r="Y581" s="770" t="s">
        <v>494</v>
      </c>
      <c r="Z581" s="770" t="s">
        <v>507</v>
      </c>
      <c r="AA581" s="770" t="s">
        <v>13</v>
      </c>
      <c r="AB581" s="770" t="s">
        <v>493</v>
      </c>
      <c r="AC581" s="770" t="s">
        <v>103</v>
      </c>
      <c r="AD581" s="770" t="s">
        <v>501</v>
      </c>
      <c r="AE581" s="784" t="s">
        <v>502</v>
      </c>
      <c r="AF581" s="771">
        <v>10444.08646</v>
      </c>
      <c r="AG581" s="771">
        <v>8243.487983</v>
      </c>
      <c r="AH581" s="771">
        <v>13179.34577</v>
      </c>
      <c r="AI581" s="772" t="s">
        <v>233</v>
      </c>
      <c r="AK581" s="769" t="s">
        <v>514</v>
      </c>
      <c r="AL581" s="770" t="s">
        <v>494</v>
      </c>
      <c r="AM581" s="770" t="s">
        <v>507</v>
      </c>
      <c r="AN581" s="770" t="s">
        <v>13</v>
      </c>
      <c r="AO581" s="770" t="s">
        <v>493</v>
      </c>
      <c r="AP581" s="770" t="s">
        <v>504</v>
      </c>
      <c r="AQ581" s="770" t="s">
        <v>501</v>
      </c>
      <c r="AR581" s="784" t="s">
        <v>502</v>
      </c>
      <c r="AS581" s="771">
        <v>2456.837805</v>
      </c>
      <c r="AT581" s="771">
        <v>1939.175151</v>
      </c>
      <c r="AU581" s="771">
        <v>3100.272588</v>
      </c>
      <c r="AV581" s="989" t="s">
        <v>233</v>
      </c>
      <c r="AW581" s="714"/>
    </row>
    <row r="582">
      <c r="A582" s="761"/>
      <c r="B582" s="769" t="s">
        <v>493</v>
      </c>
      <c r="C582" s="770" t="s">
        <v>625</v>
      </c>
      <c r="D582" s="770" t="s">
        <v>494</v>
      </c>
      <c r="E582" s="770" t="s">
        <v>508</v>
      </c>
      <c r="F582" s="770" t="s">
        <v>496</v>
      </c>
      <c r="G582" s="770" t="s">
        <v>103</v>
      </c>
      <c r="H582" s="770">
        <v>2019.0</v>
      </c>
      <c r="I582" s="771">
        <v>994.6367975</v>
      </c>
      <c r="J582" s="771">
        <v>1171.863905</v>
      </c>
      <c r="K582" s="772">
        <v>829.0890127</v>
      </c>
      <c r="M582" s="769" t="s">
        <v>493</v>
      </c>
      <c r="N582" s="770" t="s">
        <v>625</v>
      </c>
      <c r="O582" s="770" t="s">
        <v>494</v>
      </c>
      <c r="P582" s="770" t="s">
        <v>508</v>
      </c>
      <c r="Q582" s="770" t="s">
        <v>496</v>
      </c>
      <c r="R582" s="770" t="s">
        <v>497</v>
      </c>
      <c r="S582" s="770">
        <v>2019.0</v>
      </c>
      <c r="T582" s="771">
        <v>1807.94672</v>
      </c>
      <c r="U582" s="771">
        <v>2130.091617</v>
      </c>
      <c r="V582" s="772">
        <v>1507.031275</v>
      </c>
      <c r="X582" s="769" t="s">
        <v>514</v>
      </c>
      <c r="Y582" s="770" t="s">
        <v>494</v>
      </c>
      <c r="Z582" s="770" t="s">
        <v>509</v>
      </c>
      <c r="AA582" s="770" t="s">
        <v>13</v>
      </c>
      <c r="AB582" s="770" t="s">
        <v>493</v>
      </c>
      <c r="AC582" s="770" t="s">
        <v>103</v>
      </c>
      <c r="AD582" s="770" t="s">
        <v>501</v>
      </c>
      <c r="AE582" s="784" t="s">
        <v>502</v>
      </c>
      <c r="AF582" s="771">
        <v>2892.813771</v>
      </c>
      <c r="AG582" s="771">
        <v>2298.080235</v>
      </c>
      <c r="AH582" s="771">
        <v>3614.802293</v>
      </c>
      <c r="AI582" s="772" t="s">
        <v>233</v>
      </c>
      <c r="AK582" s="769" t="s">
        <v>514</v>
      </c>
      <c r="AL582" s="770" t="s">
        <v>494</v>
      </c>
      <c r="AM582" s="770" t="s">
        <v>509</v>
      </c>
      <c r="AN582" s="770" t="s">
        <v>13</v>
      </c>
      <c r="AO582" s="770" t="s">
        <v>493</v>
      </c>
      <c r="AP582" s="770" t="s">
        <v>504</v>
      </c>
      <c r="AQ582" s="770" t="s">
        <v>501</v>
      </c>
      <c r="AR582" s="784" t="s">
        <v>502</v>
      </c>
      <c r="AS582" s="771">
        <v>10450.7652</v>
      </c>
      <c r="AT582" s="771">
        <v>8302.192551</v>
      </c>
      <c r="AU582" s="771">
        <v>13059.06739</v>
      </c>
      <c r="AV582" s="989" t="s">
        <v>233</v>
      </c>
      <c r="AW582" s="714"/>
    </row>
    <row r="583">
      <c r="A583" s="761"/>
      <c r="B583" s="769" t="s">
        <v>493</v>
      </c>
      <c r="C583" s="770" t="s">
        <v>625</v>
      </c>
      <c r="D583" s="770" t="s">
        <v>494</v>
      </c>
      <c r="E583" s="770" t="s">
        <v>512</v>
      </c>
      <c r="F583" s="770" t="s">
        <v>496</v>
      </c>
      <c r="G583" s="770" t="s">
        <v>103</v>
      </c>
      <c r="H583" s="770">
        <v>2019.0</v>
      </c>
      <c r="I583" s="771">
        <v>334.7930047</v>
      </c>
      <c r="J583" s="771">
        <v>394.8461254</v>
      </c>
      <c r="K583" s="772">
        <v>276.2127832</v>
      </c>
      <c r="M583" s="769" t="s">
        <v>493</v>
      </c>
      <c r="N583" s="770" t="s">
        <v>625</v>
      </c>
      <c r="O583" s="770" t="s">
        <v>494</v>
      </c>
      <c r="P583" s="770" t="s">
        <v>512</v>
      </c>
      <c r="Q583" s="770" t="s">
        <v>496</v>
      </c>
      <c r="R583" s="770" t="s">
        <v>497</v>
      </c>
      <c r="S583" s="770">
        <v>2019.0</v>
      </c>
      <c r="T583" s="771">
        <v>9577.899601</v>
      </c>
      <c r="U583" s="771">
        <v>11295.92463</v>
      </c>
      <c r="V583" s="772">
        <v>7902.011895</v>
      </c>
      <c r="X583" s="769" t="s">
        <v>514</v>
      </c>
      <c r="Y583" s="770" t="s">
        <v>494</v>
      </c>
      <c r="Z583" s="770" t="s">
        <v>513</v>
      </c>
      <c r="AA583" s="770" t="s">
        <v>13</v>
      </c>
      <c r="AB583" s="770" t="s">
        <v>493</v>
      </c>
      <c r="AC583" s="770" t="s">
        <v>103</v>
      </c>
      <c r="AD583" s="770" t="s">
        <v>501</v>
      </c>
      <c r="AE583" s="784" t="s">
        <v>502</v>
      </c>
      <c r="AF583" s="771">
        <v>39198.77153</v>
      </c>
      <c r="AG583" s="771">
        <v>31255.11514</v>
      </c>
      <c r="AH583" s="771">
        <v>49069.08431</v>
      </c>
      <c r="AI583" s="772" t="s">
        <v>233</v>
      </c>
      <c r="AK583" s="769" t="s">
        <v>514</v>
      </c>
      <c r="AL583" s="770" t="s">
        <v>494</v>
      </c>
      <c r="AM583" s="770" t="s">
        <v>513</v>
      </c>
      <c r="AN583" s="770" t="s">
        <v>13</v>
      </c>
      <c r="AO583" s="770" t="s">
        <v>493</v>
      </c>
      <c r="AP583" s="770" t="s">
        <v>504</v>
      </c>
      <c r="AQ583" s="770" t="s">
        <v>501</v>
      </c>
      <c r="AR583" s="784" t="s">
        <v>502</v>
      </c>
      <c r="AS583" s="771">
        <v>1889.285437</v>
      </c>
      <c r="AT583" s="771">
        <v>1506.420522</v>
      </c>
      <c r="AU583" s="771">
        <v>2365.010503</v>
      </c>
      <c r="AV583" s="989" t="s">
        <v>233</v>
      </c>
      <c r="AW583" s="714"/>
    </row>
    <row r="584">
      <c r="A584" s="761"/>
      <c r="B584" s="769" t="s">
        <v>493</v>
      </c>
      <c r="C584" s="770" t="s">
        <v>625</v>
      </c>
      <c r="D584" s="770" t="s">
        <v>494</v>
      </c>
      <c r="E584" s="770" t="s">
        <v>495</v>
      </c>
      <c r="F584" s="770" t="s">
        <v>514</v>
      </c>
      <c r="G584" s="770" t="s">
        <v>103</v>
      </c>
      <c r="H584" s="770">
        <v>2019.0</v>
      </c>
      <c r="I584" s="771">
        <v>3849.810032</v>
      </c>
      <c r="J584" s="771">
        <v>4695.594565</v>
      </c>
      <c r="K584" s="772">
        <v>3048.572988</v>
      </c>
      <c r="M584" s="769" t="s">
        <v>493</v>
      </c>
      <c r="N584" s="770" t="s">
        <v>625</v>
      </c>
      <c r="O584" s="770" t="s">
        <v>494</v>
      </c>
      <c r="P584" s="770" t="s">
        <v>495</v>
      </c>
      <c r="Q584" s="770" t="s">
        <v>514</v>
      </c>
      <c r="R584" s="770" t="s">
        <v>497</v>
      </c>
      <c r="S584" s="770">
        <v>2019.0</v>
      </c>
      <c r="T584" s="771">
        <v>1339.302413</v>
      </c>
      <c r="U584" s="771">
        <v>1633.540636</v>
      </c>
      <c r="V584" s="772">
        <v>1060.561722</v>
      </c>
      <c r="X584" s="769" t="s">
        <v>518</v>
      </c>
      <c r="Y584" s="770" t="s">
        <v>494</v>
      </c>
      <c r="Z584" s="770" t="s">
        <v>499</v>
      </c>
      <c r="AA584" s="770" t="s">
        <v>13</v>
      </c>
      <c r="AB584" s="770" t="s">
        <v>493</v>
      </c>
      <c r="AC584" s="770" t="s">
        <v>103</v>
      </c>
      <c r="AD584" s="770" t="s">
        <v>501</v>
      </c>
      <c r="AE584" s="784" t="s">
        <v>502</v>
      </c>
      <c r="AF584" s="771">
        <v>114.2281227</v>
      </c>
      <c r="AG584" s="771">
        <v>50.81369148</v>
      </c>
      <c r="AH584" s="771">
        <v>229.3393801</v>
      </c>
      <c r="AI584" s="772" t="s">
        <v>233</v>
      </c>
      <c r="AK584" s="769" t="s">
        <v>518</v>
      </c>
      <c r="AL584" s="770" t="s">
        <v>494</v>
      </c>
      <c r="AM584" s="770" t="s">
        <v>499</v>
      </c>
      <c r="AN584" s="770" t="s">
        <v>13</v>
      </c>
      <c r="AO584" s="770" t="s">
        <v>493</v>
      </c>
      <c r="AP584" s="770" t="s">
        <v>504</v>
      </c>
      <c r="AQ584" s="770" t="s">
        <v>501</v>
      </c>
      <c r="AR584" s="784" t="s">
        <v>502</v>
      </c>
      <c r="AS584" s="771">
        <v>1213.230737</v>
      </c>
      <c r="AT584" s="771">
        <v>539.6983761</v>
      </c>
      <c r="AU584" s="771">
        <v>2435.841353</v>
      </c>
      <c r="AV584" s="989" t="s">
        <v>233</v>
      </c>
      <c r="AW584" s="714"/>
    </row>
    <row r="585">
      <c r="A585" s="761"/>
      <c r="B585" s="769" t="s">
        <v>493</v>
      </c>
      <c r="C585" s="770" t="s">
        <v>625</v>
      </c>
      <c r="D585" s="770" t="s">
        <v>494</v>
      </c>
      <c r="E585" s="770" t="s">
        <v>505</v>
      </c>
      <c r="F585" s="770" t="s">
        <v>514</v>
      </c>
      <c r="G585" s="770" t="s">
        <v>103</v>
      </c>
      <c r="H585" s="770">
        <v>2019.0</v>
      </c>
      <c r="I585" s="771">
        <v>1518.135278</v>
      </c>
      <c r="J585" s="771">
        <v>1796.286217</v>
      </c>
      <c r="K585" s="772">
        <v>1251.014534</v>
      </c>
      <c r="M585" s="769" t="s">
        <v>493</v>
      </c>
      <c r="N585" s="770" t="s">
        <v>625</v>
      </c>
      <c r="O585" s="770" t="s">
        <v>494</v>
      </c>
      <c r="P585" s="770" t="s">
        <v>505</v>
      </c>
      <c r="Q585" s="770" t="s">
        <v>514</v>
      </c>
      <c r="R585" s="770" t="s">
        <v>497</v>
      </c>
      <c r="S585" s="770">
        <v>2019.0</v>
      </c>
      <c r="T585" s="771">
        <v>128130.4848</v>
      </c>
      <c r="U585" s="771">
        <v>151606.3997</v>
      </c>
      <c r="V585" s="772">
        <v>105585.5173</v>
      </c>
      <c r="X585" s="769" t="s">
        <v>518</v>
      </c>
      <c r="Y585" s="770" t="s">
        <v>494</v>
      </c>
      <c r="Z585" s="770" t="s">
        <v>507</v>
      </c>
      <c r="AA585" s="770" t="s">
        <v>13</v>
      </c>
      <c r="AB585" s="770" t="s">
        <v>493</v>
      </c>
      <c r="AC585" s="770" t="s">
        <v>103</v>
      </c>
      <c r="AD585" s="770" t="s">
        <v>501</v>
      </c>
      <c r="AE585" s="784" t="s">
        <v>502</v>
      </c>
      <c r="AF585" s="771">
        <v>3190.1675</v>
      </c>
      <c r="AG585" s="771">
        <v>1693.88609</v>
      </c>
      <c r="AH585" s="771">
        <v>5154.205616</v>
      </c>
      <c r="AI585" s="772" t="s">
        <v>233</v>
      </c>
      <c r="AK585" s="769" t="s">
        <v>518</v>
      </c>
      <c r="AL585" s="770" t="s">
        <v>494</v>
      </c>
      <c r="AM585" s="770" t="s">
        <v>507</v>
      </c>
      <c r="AN585" s="770" t="s">
        <v>13</v>
      </c>
      <c r="AO585" s="770" t="s">
        <v>493</v>
      </c>
      <c r="AP585" s="770" t="s">
        <v>504</v>
      </c>
      <c r="AQ585" s="770" t="s">
        <v>501</v>
      </c>
      <c r="AR585" s="784" t="s">
        <v>502</v>
      </c>
      <c r="AS585" s="771">
        <v>750.4461164</v>
      </c>
      <c r="AT585" s="771">
        <v>398.4650454</v>
      </c>
      <c r="AU585" s="771">
        <v>1212.460972</v>
      </c>
      <c r="AV585" s="989" t="s">
        <v>233</v>
      </c>
      <c r="AW585" s="714"/>
    </row>
    <row r="586">
      <c r="A586" s="761"/>
      <c r="B586" s="769" t="s">
        <v>493</v>
      </c>
      <c r="C586" s="770" t="s">
        <v>625</v>
      </c>
      <c r="D586" s="770" t="s">
        <v>494</v>
      </c>
      <c r="E586" s="770" t="s">
        <v>508</v>
      </c>
      <c r="F586" s="770" t="s">
        <v>514</v>
      </c>
      <c r="G586" s="770" t="s">
        <v>103</v>
      </c>
      <c r="H586" s="770">
        <v>2019.0</v>
      </c>
      <c r="I586" s="771">
        <v>837.8676774</v>
      </c>
      <c r="J586" s="771">
        <v>998.9157125</v>
      </c>
      <c r="K586" s="772">
        <v>678.5577945</v>
      </c>
      <c r="M586" s="769" t="s">
        <v>493</v>
      </c>
      <c r="N586" s="770" t="s">
        <v>625</v>
      </c>
      <c r="O586" s="770" t="s">
        <v>494</v>
      </c>
      <c r="P586" s="770" t="s">
        <v>508</v>
      </c>
      <c r="Q586" s="770" t="s">
        <v>514</v>
      </c>
      <c r="R586" s="770" t="s">
        <v>497</v>
      </c>
      <c r="S586" s="770">
        <v>2019.0</v>
      </c>
      <c r="T586" s="771">
        <v>1522.988214</v>
      </c>
      <c r="U586" s="771">
        <v>1815.724485</v>
      </c>
      <c r="V586" s="772">
        <v>1233.411374</v>
      </c>
      <c r="X586" s="769" t="s">
        <v>518</v>
      </c>
      <c r="Y586" s="770" t="s">
        <v>494</v>
      </c>
      <c r="Z586" s="770" t="s">
        <v>509</v>
      </c>
      <c r="AA586" s="770" t="s">
        <v>13</v>
      </c>
      <c r="AB586" s="770" t="s">
        <v>493</v>
      </c>
      <c r="AC586" s="770" t="s">
        <v>103</v>
      </c>
      <c r="AD586" s="770" t="s">
        <v>501</v>
      </c>
      <c r="AE586" s="784" t="s">
        <v>502</v>
      </c>
      <c r="AF586" s="771">
        <v>257.7342737</v>
      </c>
      <c r="AG586" s="771">
        <v>130.8239603</v>
      </c>
      <c r="AH586" s="771">
        <v>449.0642599</v>
      </c>
      <c r="AI586" s="772" t="s">
        <v>233</v>
      </c>
      <c r="AK586" s="769" t="s">
        <v>518</v>
      </c>
      <c r="AL586" s="770" t="s">
        <v>494</v>
      </c>
      <c r="AM586" s="770" t="s">
        <v>509</v>
      </c>
      <c r="AN586" s="770" t="s">
        <v>13</v>
      </c>
      <c r="AO586" s="770" t="s">
        <v>493</v>
      </c>
      <c r="AP586" s="770" t="s">
        <v>504</v>
      </c>
      <c r="AQ586" s="770" t="s">
        <v>501</v>
      </c>
      <c r="AR586" s="784" t="s">
        <v>502</v>
      </c>
      <c r="AS586" s="771">
        <v>931.1074235</v>
      </c>
      <c r="AT586" s="771">
        <v>472.6230581</v>
      </c>
      <c r="AU586" s="771">
        <v>1622.318445</v>
      </c>
      <c r="AV586" s="989" t="s">
        <v>233</v>
      </c>
      <c r="AW586" s="714"/>
    </row>
    <row r="587">
      <c r="A587" s="761"/>
      <c r="B587" s="769" t="s">
        <v>493</v>
      </c>
      <c r="C587" s="770" t="s">
        <v>625</v>
      </c>
      <c r="D587" s="770" t="s">
        <v>494</v>
      </c>
      <c r="E587" s="770" t="s">
        <v>512</v>
      </c>
      <c r="F587" s="770" t="s">
        <v>514</v>
      </c>
      <c r="G587" s="770" t="s">
        <v>103</v>
      </c>
      <c r="H587" s="770">
        <v>2019.0</v>
      </c>
      <c r="I587" s="771">
        <v>295.2814103</v>
      </c>
      <c r="J587" s="771">
        <v>350.6641452</v>
      </c>
      <c r="K587" s="772">
        <v>238.5678227</v>
      </c>
      <c r="M587" s="769" t="s">
        <v>493</v>
      </c>
      <c r="N587" s="770" t="s">
        <v>625</v>
      </c>
      <c r="O587" s="770" t="s">
        <v>494</v>
      </c>
      <c r="P587" s="770" t="s">
        <v>512</v>
      </c>
      <c r="Q587" s="770" t="s">
        <v>514</v>
      </c>
      <c r="R587" s="770" t="s">
        <v>497</v>
      </c>
      <c r="S587" s="770">
        <v>2019.0</v>
      </c>
      <c r="T587" s="771">
        <v>8447.535229</v>
      </c>
      <c r="U587" s="771">
        <v>10031.94789</v>
      </c>
      <c r="V587" s="772">
        <v>6825.048976</v>
      </c>
      <c r="X587" s="769" t="s">
        <v>518</v>
      </c>
      <c r="Y587" s="770" t="s">
        <v>494</v>
      </c>
      <c r="Z587" s="770" t="s">
        <v>513</v>
      </c>
      <c r="AA587" s="770" t="s">
        <v>13</v>
      </c>
      <c r="AB587" s="770" t="s">
        <v>493</v>
      </c>
      <c r="AC587" s="770" t="s">
        <v>103</v>
      </c>
      <c r="AD587" s="770" t="s">
        <v>501</v>
      </c>
      <c r="AE587" s="784" t="s">
        <v>502</v>
      </c>
      <c r="AF587" s="771">
        <v>6089.348895</v>
      </c>
      <c r="AG587" s="771">
        <v>3816.353325</v>
      </c>
      <c r="AH587" s="771">
        <v>9085.877001</v>
      </c>
      <c r="AI587" s="772" t="s">
        <v>233</v>
      </c>
      <c r="AK587" s="769" t="s">
        <v>518</v>
      </c>
      <c r="AL587" s="770" t="s">
        <v>494</v>
      </c>
      <c r="AM587" s="770" t="s">
        <v>513</v>
      </c>
      <c r="AN587" s="770" t="s">
        <v>13</v>
      </c>
      <c r="AO587" s="770" t="s">
        <v>493</v>
      </c>
      <c r="AP587" s="770" t="s">
        <v>504</v>
      </c>
      <c r="AQ587" s="770" t="s">
        <v>501</v>
      </c>
      <c r="AR587" s="784" t="s">
        <v>502</v>
      </c>
      <c r="AS587" s="771">
        <v>293.4918044</v>
      </c>
      <c r="AT587" s="771">
        <v>183.938947</v>
      </c>
      <c r="AU587" s="771">
        <v>437.9171701</v>
      </c>
      <c r="AV587" s="989" t="s">
        <v>233</v>
      </c>
      <c r="AW587" s="714"/>
    </row>
    <row r="588">
      <c r="A588" s="761"/>
      <c r="B588" s="769" t="s">
        <v>493</v>
      </c>
      <c r="C588" s="770" t="s">
        <v>625</v>
      </c>
      <c r="D588" s="770" t="s">
        <v>494</v>
      </c>
      <c r="E588" s="770" t="s">
        <v>495</v>
      </c>
      <c r="F588" s="770" t="s">
        <v>518</v>
      </c>
      <c r="G588" s="770" t="s">
        <v>103</v>
      </c>
      <c r="H588" s="770">
        <v>2019.0</v>
      </c>
      <c r="I588" s="771">
        <v>646.5874294</v>
      </c>
      <c r="J588" s="771">
        <v>1321.001137</v>
      </c>
      <c r="K588" s="772">
        <v>272.0877322</v>
      </c>
      <c r="M588" s="769" t="s">
        <v>493</v>
      </c>
      <c r="N588" s="770" t="s">
        <v>625</v>
      </c>
      <c r="O588" s="770" t="s">
        <v>494</v>
      </c>
      <c r="P588" s="770" t="s">
        <v>495</v>
      </c>
      <c r="Q588" s="770" t="s">
        <v>518</v>
      </c>
      <c r="R588" s="770" t="s">
        <v>497</v>
      </c>
      <c r="S588" s="770">
        <v>2019.0</v>
      </c>
      <c r="T588" s="771">
        <v>224.9399573</v>
      </c>
      <c r="U588" s="771">
        <v>459.5603407</v>
      </c>
      <c r="V588" s="772">
        <v>94.6560358</v>
      </c>
      <c r="X588" s="769" t="s">
        <v>519</v>
      </c>
      <c r="Y588" s="770" t="s">
        <v>494</v>
      </c>
      <c r="Z588" s="770" t="s">
        <v>499</v>
      </c>
      <c r="AA588" s="770" t="s">
        <v>13</v>
      </c>
      <c r="AB588" s="770" t="s">
        <v>493</v>
      </c>
      <c r="AC588" s="770" t="s">
        <v>103</v>
      </c>
      <c r="AD588" s="770" t="s">
        <v>501</v>
      </c>
      <c r="AE588" s="784" t="s">
        <v>502</v>
      </c>
      <c r="AF588" s="771">
        <v>10926.59018</v>
      </c>
      <c r="AG588" s="771">
        <v>8690.772597</v>
      </c>
      <c r="AH588" s="771">
        <v>13616.26457</v>
      </c>
      <c r="AI588" s="772" t="s">
        <v>233</v>
      </c>
      <c r="AK588" s="769" t="s">
        <v>519</v>
      </c>
      <c r="AL588" s="770" t="s">
        <v>494</v>
      </c>
      <c r="AM588" s="770" t="s">
        <v>499</v>
      </c>
      <c r="AN588" s="770" t="s">
        <v>13</v>
      </c>
      <c r="AO588" s="770" t="s">
        <v>493</v>
      </c>
      <c r="AP588" s="770" t="s">
        <v>504</v>
      </c>
      <c r="AQ588" s="770" t="s">
        <v>501</v>
      </c>
      <c r="AR588" s="784" t="s">
        <v>502</v>
      </c>
      <c r="AS588" s="771">
        <v>116052.6386</v>
      </c>
      <c r="AT588" s="771">
        <v>92305.74912</v>
      </c>
      <c r="AU588" s="771">
        <v>144619.9963</v>
      </c>
      <c r="AV588" s="989" t="s">
        <v>233</v>
      </c>
      <c r="AW588" s="714"/>
    </row>
    <row r="589">
      <c r="A589" s="761"/>
      <c r="B589" s="769" t="s">
        <v>493</v>
      </c>
      <c r="C589" s="770" t="s">
        <v>625</v>
      </c>
      <c r="D589" s="770" t="s">
        <v>494</v>
      </c>
      <c r="E589" s="770" t="s">
        <v>505</v>
      </c>
      <c r="F589" s="770" t="s">
        <v>518</v>
      </c>
      <c r="G589" s="770" t="s">
        <v>103</v>
      </c>
      <c r="H589" s="770">
        <v>2019.0</v>
      </c>
      <c r="I589" s="771">
        <v>17.11120757</v>
      </c>
      <c r="J589" s="771">
        <v>39.15384758</v>
      </c>
      <c r="K589" s="772">
        <v>5.80802128</v>
      </c>
      <c r="M589" s="769" t="s">
        <v>493</v>
      </c>
      <c r="N589" s="770" t="s">
        <v>625</v>
      </c>
      <c r="O589" s="770" t="s">
        <v>494</v>
      </c>
      <c r="P589" s="770" t="s">
        <v>505</v>
      </c>
      <c r="Q589" s="770" t="s">
        <v>518</v>
      </c>
      <c r="R589" s="770" t="s">
        <v>497</v>
      </c>
      <c r="S589" s="770">
        <v>2019.0</v>
      </c>
      <c r="T589" s="771">
        <v>1444.184423</v>
      </c>
      <c r="U589" s="771">
        <v>3304.581314</v>
      </c>
      <c r="V589" s="772">
        <v>490.1964885</v>
      </c>
      <c r="X589" s="769" t="s">
        <v>519</v>
      </c>
      <c r="Y589" s="770" t="s">
        <v>494</v>
      </c>
      <c r="Z589" s="770" t="s">
        <v>507</v>
      </c>
      <c r="AA589" s="770" t="s">
        <v>13</v>
      </c>
      <c r="AB589" s="770" t="s">
        <v>493</v>
      </c>
      <c r="AC589" s="770" t="s">
        <v>103</v>
      </c>
      <c r="AD589" s="770" t="s">
        <v>501</v>
      </c>
      <c r="AE589" s="784" t="s">
        <v>502</v>
      </c>
      <c r="AF589" s="771">
        <v>84.15835745</v>
      </c>
      <c r="AG589" s="771">
        <v>49.74670353</v>
      </c>
      <c r="AH589" s="771">
        <v>135.8798125</v>
      </c>
      <c r="AI589" s="772" t="s">
        <v>233</v>
      </c>
      <c r="AK589" s="769" t="s">
        <v>519</v>
      </c>
      <c r="AL589" s="770" t="s">
        <v>494</v>
      </c>
      <c r="AM589" s="770" t="s">
        <v>507</v>
      </c>
      <c r="AN589" s="770" t="s">
        <v>13</v>
      </c>
      <c r="AO589" s="770" t="s">
        <v>493</v>
      </c>
      <c r="AP589" s="770" t="s">
        <v>504</v>
      </c>
      <c r="AQ589" s="770" t="s">
        <v>501</v>
      </c>
      <c r="AR589" s="784" t="s">
        <v>502</v>
      </c>
      <c r="AS589" s="771">
        <v>19.79717758</v>
      </c>
      <c r="AT589" s="771">
        <v>11.70227597</v>
      </c>
      <c r="AU589" s="771">
        <v>31.96398859</v>
      </c>
      <c r="AV589" s="989" t="s">
        <v>233</v>
      </c>
      <c r="AW589" s="714"/>
    </row>
    <row r="590">
      <c r="A590" s="761"/>
      <c r="B590" s="769" t="s">
        <v>493</v>
      </c>
      <c r="C590" s="770" t="s">
        <v>625</v>
      </c>
      <c r="D590" s="770" t="s">
        <v>494</v>
      </c>
      <c r="E590" s="770" t="s">
        <v>508</v>
      </c>
      <c r="F590" s="770" t="s">
        <v>518</v>
      </c>
      <c r="G590" s="770" t="s">
        <v>103</v>
      </c>
      <c r="H590" s="770">
        <v>2019.0</v>
      </c>
      <c r="I590" s="771">
        <v>268.8162116</v>
      </c>
      <c r="J590" s="771">
        <v>543.7735734</v>
      </c>
      <c r="K590" s="772">
        <v>105.2712659</v>
      </c>
      <c r="M590" s="769" t="s">
        <v>493</v>
      </c>
      <c r="N590" s="770" t="s">
        <v>625</v>
      </c>
      <c r="O590" s="770" t="s">
        <v>494</v>
      </c>
      <c r="P590" s="770" t="s">
        <v>508</v>
      </c>
      <c r="Q590" s="770" t="s">
        <v>518</v>
      </c>
      <c r="R590" s="770" t="s">
        <v>497</v>
      </c>
      <c r="S590" s="770">
        <v>2019.0</v>
      </c>
      <c r="T590" s="771">
        <v>488.6259884</v>
      </c>
      <c r="U590" s="771">
        <v>988.4147169</v>
      </c>
      <c r="V590" s="772">
        <v>191.3510946</v>
      </c>
      <c r="X590" s="769" t="s">
        <v>519</v>
      </c>
      <c r="Y590" s="770" t="s">
        <v>494</v>
      </c>
      <c r="Z590" s="770" t="s">
        <v>509</v>
      </c>
      <c r="AA590" s="770" t="s">
        <v>13</v>
      </c>
      <c r="AB590" s="770" t="s">
        <v>493</v>
      </c>
      <c r="AC590" s="770" t="s">
        <v>103</v>
      </c>
      <c r="AD590" s="770" t="s">
        <v>501</v>
      </c>
      <c r="AE590" s="784" t="s">
        <v>502</v>
      </c>
      <c r="AF590" s="771">
        <v>1372.471085</v>
      </c>
      <c r="AG590" s="771">
        <v>989.2244757</v>
      </c>
      <c r="AH590" s="771">
        <v>1839.47113</v>
      </c>
      <c r="AI590" s="772" t="s">
        <v>233</v>
      </c>
      <c r="AK590" s="769" t="s">
        <v>519</v>
      </c>
      <c r="AL590" s="770" t="s">
        <v>494</v>
      </c>
      <c r="AM590" s="770" t="s">
        <v>509</v>
      </c>
      <c r="AN590" s="770" t="s">
        <v>13</v>
      </c>
      <c r="AO590" s="770" t="s">
        <v>493</v>
      </c>
      <c r="AP590" s="770" t="s">
        <v>504</v>
      </c>
      <c r="AQ590" s="770" t="s">
        <v>501</v>
      </c>
      <c r="AR590" s="784" t="s">
        <v>502</v>
      </c>
      <c r="AS590" s="771">
        <v>4958.277367</v>
      </c>
      <c r="AT590" s="771">
        <v>3573.736002</v>
      </c>
      <c r="AU590" s="771">
        <v>6645.391783</v>
      </c>
      <c r="AV590" s="989" t="s">
        <v>233</v>
      </c>
      <c r="AW590" s="714"/>
    </row>
    <row r="591">
      <c r="A591" s="761"/>
      <c r="B591" s="769" t="s">
        <v>493</v>
      </c>
      <c r="C591" s="770" t="s">
        <v>625</v>
      </c>
      <c r="D591" s="770" t="s">
        <v>494</v>
      </c>
      <c r="E591" s="770" t="s">
        <v>512</v>
      </c>
      <c r="F591" s="770" t="s">
        <v>518</v>
      </c>
      <c r="G591" s="770" t="s">
        <v>103</v>
      </c>
      <c r="H591" s="770">
        <v>2019.0</v>
      </c>
      <c r="I591" s="771">
        <v>34.15523565</v>
      </c>
      <c r="J591" s="771">
        <v>76.88657563</v>
      </c>
      <c r="K591" s="772">
        <v>11.82308926</v>
      </c>
      <c r="M591" s="769" t="s">
        <v>493</v>
      </c>
      <c r="N591" s="770" t="s">
        <v>625</v>
      </c>
      <c r="O591" s="770" t="s">
        <v>494</v>
      </c>
      <c r="P591" s="770" t="s">
        <v>512</v>
      </c>
      <c r="Q591" s="770" t="s">
        <v>518</v>
      </c>
      <c r="R591" s="770" t="s">
        <v>497</v>
      </c>
      <c r="S591" s="770">
        <v>2019.0</v>
      </c>
      <c r="T591" s="771">
        <v>977.127399</v>
      </c>
      <c r="U591" s="771">
        <v>2199.603611</v>
      </c>
      <c r="V591" s="772">
        <v>338.2399283</v>
      </c>
      <c r="X591" s="769" t="s">
        <v>519</v>
      </c>
      <c r="Y591" s="770" t="s">
        <v>494</v>
      </c>
      <c r="Z591" s="770" t="s">
        <v>513</v>
      </c>
      <c r="AA591" s="770" t="s">
        <v>13</v>
      </c>
      <c r="AB591" s="770" t="s">
        <v>493</v>
      </c>
      <c r="AC591" s="770" t="s">
        <v>103</v>
      </c>
      <c r="AD591" s="770" t="s">
        <v>501</v>
      </c>
      <c r="AE591" s="784" t="s">
        <v>502</v>
      </c>
      <c r="AF591" s="771">
        <v>12404.36807</v>
      </c>
      <c r="AG591" s="771">
        <v>9883.671535</v>
      </c>
      <c r="AH591" s="771">
        <v>15511.81987</v>
      </c>
      <c r="AI591" s="772" t="s">
        <v>233</v>
      </c>
      <c r="AK591" s="769" t="s">
        <v>519</v>
      </c>
      <c r="AL591" s="770" t="s">
        <v>494</v>
      </c>
      <c r="AM591" s="770" t="s">
        <v>513</v>
      </c>
      <c r="AN591" s="770" t="s">
        <v>13</v>
      </c>
      <c r="AO591" s="770" t="s">
        <v>493</v>
      </c>
      <c r="AP591" s="770" t="s">
        <v>504</v>
      </c>
      <c r="AQ591" s="770" t="s">
        <v>501</v>
      </c>
      <c r="AR591" s="784" t="s">
        <v>502</v>
      </c>
      <c r="AS591" s="771">
        <v>597.8603675</v>
      </c>
      <c r="AT591" s="771">
        <v>476.368926</v>
      </c>
      <c r="AU591" s="771">
        <v>747.6319851</v>
      </c>
      <c r="AV591" s="989" t="s">
        <v>233</v>
      </c>
      <c r="AW591" s="714"/>
    </row>
    <row r="592">
      <c r="A592" s="761"/>
      <c r="B592" s="769" t="s">
        <v>493</v>
      </c>
      <c r="C592" s="770" t="s">
        <v>625</v>
      </c>
      <c r="D592" s="770" t="s">
        <v>494</v>
      </c>
      <c r="E592" s="770" t="s">
        <v>495</v>
      </c>
      <c r="F592" s="770" t="s">
        <v>519</v>
      </c>
      <c r="G592" s="770" t="s">
        <v>103</v>
      </c>
      <c r="H592" s="770">
        <v>2019.0</v>
      </c>
      <c r="I592" s="771">
        <v>1548.724362</v>
      </c>
      <c r="J592" s="771">
        <v>1849.162921</v>
      </c>
      <c r="K592" s="772">
        <v>1278.001485</v>
      </c>
      <c r="M592" s="769" t="s">
        <v>493</v>
      </c>
      <c r="N592" s="770" t="s">
        <v>625</v>
      </c>
      <c r="O592" s="770" t="s">
        <v>494</v>
      </c>
      <c r="P592" s="770" t="s">
        <v>495</v>
      </c>
      <c r="Q592" s="770" t="s">
        <v>519</v>
      </c>
      <c r="R592" s="770" t="s">
        <v>497</v>
      </c>
      <c r="S592" s="770">
        <v>2019.0</v>
      </c>
      <c r="T592" s="771">
        <v>538.7825001</v>
      </c>
      <c r="U592" s="771">
        <v>643.3014462</v>
      </c>
      <c r="V592" s="772">
        <v>444.601281</v>
      </c>
      <c r="X592" s="769" t="s">
        <v>521</v>
      </c>
      <c r="Y592" s="770" t="s">
        <v>494</v>
      </c>
      <c r="Z592" s="770" t="s">
        <v>499</v>
      </c>
      <c r="AA592" s="770" t="s">
        <v>13</v>
      </c>
      <c r="AB592" s="770" t="s">
        <v>493</v>
      </c>
      <c r="AC592" s="770" t="s">
        <v>103</v>
      </c>
      <c r="AD592" s="770" t="s">
        <v>501</v>
      </c>
      <c r="AE592" s="784" t="s">
        <v>502</v>
      </c>
      <c r="AF592" s="771">
        <v>0.0</v>
      </c>
      <c r="AG592" s="771">
        <v>0.0</v>
      </c>
      <c r="AH592" s="771">
        <v>0.0</v>
      </c>
      <c r="AI592" s="772" t="s">
        <v>233</v>
      </c>
      <c r="AK592" s="769" t="s">
        <v>521</v>
      </c>
      <c r="AL592" s="770" t="s">
        <v>494</v>
      </c>
      <c r="AM592" s="770" t="s">
        <v>499</v>
      </c>
      <c r="AN592" s="770" t="s">
        <v>13</v>
      </c>
      <c r="AO592" s="770" t="s">
        <v>493</v>
      </c>
      <c r="AP592" s="770" t="s">
        <v>504</v>
      </c>
      <c r="AQ592" s="770" t="s">
        <v>501</v>
      </c>
      <c r="AR592" s="784" t="s">
        <v>502</v>
      </c>
      <c r="AS592" s="771">
        <v>0.0</v>
      </c>
      <c r="AT592" s="771">
        <v>0.0</v>
      </c>
      <c r="AU592" s="771">
        <v>0.0</v>
      </c>
      <c r="AV592" s="989" t="s">
        <v>233</v>
      </c>
      <c r="AW592" s="714"/>
    </row>
    <row r="593">
      <c r="A593" s="761"/>
      <c r="B593" s="769" t="s">
        <v>493</v>
      </c>
      <c r="C593" s="770" t="s">
        <v>625</v>
      </c>
      <c r="D593" s="770" t="s">
        <v>494</v>
      </c>
      <c r="E593" s="770" t="s">
        <v>505</v>
      </c>
      <c r="F593" s="770" t="s">
        <v>519</v>
      </c>
      <c r="G593" s="770" t="s">
        <v>103</v>
      </c>
      <c r="H593" s="770">
        <v>2019.0</v>
      </c>
      <c r="I593" s="771">
        <v>1352.855997</v>
      </c>
      <c r="J593" s="771">
        <v>1603.459994</v>
      </c>
      <c r="K593" s="772">
        <v>1118.580505</v>
      </c>
      <c r="M593" s="769" t="s">
        <v>493</v>
      </c>
      <c r="N593" s="770" t="s">
        <v>625</v>
      </c>
      <c r="O593" s="770" t="s">
        <v>494</v>
      </c>
      <c r="P593" s="770" t="s">
        <v>505</v>
      </c>
      <c r="Q593" s="770" t="s">
        <v>519</v>
      </c>
      <c r="R593" s="770" t="s">
        <v>497</v>
      </c>
      <c r="S593" s="770">
        <v>2019.0</v>
      </c>
      <c r="T593" s="771">
        <v>114180.9279</v>
      </c>
      <c r="U593" s="771">
        <v>135331.8834</v>
      </c>
      <c r="V593" s="772">
        <v>94408.0969</v>
      </c>
      <c r="X593" s="769" t="s">
        <v>521</v>
      </c>
      <c r="Y593" s="770" t="s">
        <v>494</v>
      </c>
      <c r="Z593" s="770" t="s">
        <v>507</v>
      </c>
      <c r="AA593" s="770" t="s">
        <v>13</v>
      </c>
      <c r="AB593" s="770" t="s">
        <v>493</v>
      </c>
      <c r="AC593" s="770" t="s">
        <v>103</v>
      </c>
      <c r="AD593" s="770" t="s">
        <v>501</v>
      </c>
      <c r="AE593" s="784" t="s">
        <v>502</v>
      </c>
      <c r="AF593" s="771">
        <v>66.91322288</v>
      </c>
      <c r="AG593" s="771">
        <v>20.06924007</v>
      </c>
      <c r="AH593" s="771">
        <v>162.6088271</v>
      </c>
      <c r="AI593" s="772" t="s">
        <v>233</v>
      </c>
      <c r="AK593" s="769" t="s">
        <v>521</v>
      </c>
      <c r="AL593" s="770" t="s">
        <v>494</v>
      </c>
      <c r="AM593" s="770" t="s">
        <v>507</v>
      </c>
      <c r="AN593" s="770" t="s">
        <v>13</v>
      </c>
      <c r="AO593" s="770" t="s">
        <v>493</v>
      </c>
      <c r="AP593" s="770" t="s">
        <v>504</v>
      </c>
      <c r="AQ593" s="770" t="s">
        <v>501</v>
      </c>
      <c r="AR593" s="784" t="s">
        <v>502</v>
      </c>
      <c r="AS593" s="771">
        <v>15.74048016</v>
      </c>
      <c r="AT593" s="771">
        <v>4.721032129</v>
      </c>
      <c r="AU593" s="771">
        <v>38.25164752</v>
      </c>
      <c r="AV593" s="989" t="s">
        <v>233</v>
      </c>
      <c r="AW593" s="714"/>
    </row>
    <row r="594">
      <c r="A594" s="761"/>
      <c r="B594" s="769" t="s">
        <v>493</v>
      </c>
      <c r="C594" s="770" t="s">
        <v>625</v>
      </c>
      <c r="D594" s="770" t="s">
        <v>494</v>
      </c>
      <c r="E594" s="770" t="s">
        <v>508</v>
      </c>
      <c r="F594" s="770" t="s">
        <v>519</v>
      </c>
      <c r="G594" s="770" t="s">
        <v>103</v>
      </c>
      <c r="H594" s="770">
        <v>2019.0</v>
      </c>
      <c r="I594" s="771">
        <v>20.95221936</v>
      </c>
      <c r="J594" s="771">
        <v>39.53713364</v>
      </c>
      <c r="K594" s="772">
        <v>7.154252937</v>
      </c>
      <c r="M594" s="769" t="s">
        <v>493</v>
      </c>
      <c r="N594" s="770" t="s">
        <v>625</v>
      </c>
      <c r="O594" s="770" t="s">
        <v>494</v>
      </c>
      <c r="P594" s="770" t="s">
        <v>508</v>
      </c>
      <c r="Q594" s="770" t="s">
        <v>519</v>
      </c>
      <c r="R594" s="770" t="s">
        <v>497</v>
      </c>
      <c r="S594" s="770">
        <v>2019.0</v>
      </c>
      <c r="T594" s="771">
        <v>38.08475252</v>
      </c>
      <c r="U594" s="771">
        <v>71.8664655</v>
      </c>
      <c r="V594" s="772">
        <v>13.00425257</v>
      </c>
      <c r="X594" s="769" t="s">
        <v>521</v>
      </c>
      <c r="Y594" s="770" t="s">
        <v>494</v>
      </c>
      <c r="Z594" s="770" t="s">
        <v>509</v>
      </c>
      <c r="AA594" s="770" t="s">
        <v>13</v>
      </c>
      <c r="AB594" s="770" t="s">
        <v>493</v>
      </c>
      <c r="AC594" s="770" t="s">
        <v>103</v>
      </c>
      <c r="AD594" s="770" t="s">
        <v>501</v>
      </c>
      <c r="AE594" s="784" t="s">
        <v>502</v>
      </c>
      <c r="AF594" s="771">
        <v>0.0</v>
      </c>
      <c r="AG594" s="771">
        <v>0.0</v>
      </c>
      <c r="AH594" s="771">
        <v>0.0</v>
      </c>
      <c r="AI594" s="772" t="s">
        <v>233</v>
      </c>
      <c r="AK594" s="769" t="s">
        <v>521</v>
      </c>
      <c r="AL594" s="770" t="s">
        <v>494</v>
      </c>
      <c r="AM594" s="770" t="s">
        <v>509</v>
      </c>
      <c r="AN594" s="770" t="s">
        <v>13</v>
      </c>
      <c r="AO594" s="770" t="s">
        <v>493</v>
      </c>
      <c r="AP594" s="770" t="s">
        <v>504</v>
      </c>
      <c r="AQ594" s="770" t="s">
        <v>501</v>
      </c>
      <c r="AR594" s="784" t="s">
        <v>502</v>
      </c>
      <c r="AS594" s="771">
        <v>0.0</v>
      </c>
      <c r="AT594" s="771">
        <v>0.0</v>
      </c>
      <c r="AU594" s="771">
        <v>0.0</v>
      </c>
      <c r="AV594" s="989" t="s">
        <v>233</v>
      </c>
      <c r="AW594" s="714"/>
    </row>
    <row r="595">
      <c r="A595" s="761"/>
      <c r="B595" s="769" t="s">
        <v>493</v>
      </c>
      <c r="C595" s="770" t="s">
        <v>625</v>
      </c>
      <c r="D595" s="770" t="s">
        <v>494</v>
      </c>
      <c r="E595" s="770" t="s">
        <v>512</v>
      </c>
      <c r="F595" s="770" t="s">
        <v>519</v>
      </c>
      <c r="G595" s="770" t="s">
        <v>103</v>
      </c>
      <c r="H595" s="770">
        <v>2019.0</v>
      </c>
      <c r="I595" s="771">
        <v>170.3394456</v>
      </c>
      <c r="J595" s="771">
        <v>220.1735891</v>
      </c>
      <c r="K595" s="772">
        <v>117.5801807</v>
      </c>
      <c r="M595" s="769" t="s">
        <v>493</v>
      </c>
      <c r="N595" s="770" t="s">
        <v>625</v>
      </c>
      <c r="O595" s="770" t="s">
        <v>494</v>
      </c>
      <c r="P595" s="770" t="s">
        <v>512</v>
      </c>
      <c r="Q595" s="770" t="s">
        <v>519</v>
      </c>
      <c r="R595" s="770" t="s">
        <v>497</v>
      </c>
      <c r="S595" s="770">
        <v>2019.0</v>
      </c>
      <c r="T595" s="771">
        <v>4873.142762</v>
      </c>
      <c r="U595" s="771">
        <v>6298.818976</v>
      </c>
      <c r="V595" s="772">
        <v>3363.783443</v>
      </c>
      <c r="X595" s="769" t="s">
        <v>521</v>
      </c>
      <c r="Y595" s="770" t="s">
        <v>494</v>
      </c>
      <c r="Z595" s="770" t="s">
        <v>513</v>
      </c>
      <c r="AA595" s="770" t="s">
        <v>13</v>
      </c>
      <c r="AB595" s="770" t="s">
        <v>493</v>
      </c>
      <c r="AC595" s="770" t="s">
        <v>103</v>
      </c>
      <c r="AD595" s="770" t="s">
        <v>501</v>
      </c>
      <c r="AE595" s="784" t="s">
        <v>502</v>
      </c>
      <c r="AF595" s="771">
        <v>320.4482868</v>
      </c>
      <c r="AG595" s="771">
        <v>94.04835741</v>
      </c>
      <c r="AH595" s="771">
        <v>808.0904835</v>
      </c>
      <c r="AI595" s="772" t="s">
        <v>233</v>
      </c>
      <c r="AK595" s="769" t="s">
        <v>521</v>
      </c>
      <c r="AL595" s="770" t="s">
        <v>494</v>
      </c>
      <c r="AM595" s="770" t="s">
        <v>513</v>
      </c>
      <c r="AN595" s="770" t="s">
        <v>13</v>
      </c>
      <c r="AO595" s="770" t="s">
        <v>493</v>
      </c>
      <c r="AP595" s="770" t="s">
        <v>504</v>
      </c>
      <c r="AQ595" s="770" t="s">
        <v>501</v>
      </c>
      <c r="AR595" s="784" t="s">
        <v>502</v>
      </c>
      <c r="AS595" s="771">
        <v>15.44482793</v>
      </c>
      <c r="AT595" s="771">
        <v>4.532902055</v>
      </c>
      <c r="AU595" s="771">
        <v>38.94799563</v>
      </c>
      <c r="AV595" s="989" t="s">
        <v>233</v>
      </c>
      <c r="AW595" s="714"/>
    </row>
    <row r="596">
      <c r="A596" s="761"/>
      <c r="B596" s="769" t="s">
        <v>493</v>
      </c>
      <c r="C596" s="770" t="s">
        <v>625</v>
      </c>
      <c r="D596" s="770" t="s">
        <v>494</v>
      </c>
      <c r="E596" s="770" t="s">
        <v>495</v>
      </c>
      <c r="F596" s="770" t="s">
        <v>521</v>
      </c>
      <c r="G596" s="770" t="s">
        <v>103</v>
      </c>
      <c r="H596" s="770">
        <v>2019.0</v>
      </c>
      <c r="I596" s="771">
        <v>492.5461163</v>
      </c>
      <c r="J596" s="771">
        <v>1030.781971</v>
      </c>
      <c r="K596" s="772">
        <v>167.227619</v>
      </c>
      <c r="M596" s="769" t="s">
        <v>493</v>
      </c>
      <c r="N596" s="770" t="s">
        <v>625</v>
      </c>
      <c r="O596" s="770" t="s">
        <v>494</v>
      </c>
      <c r="P596" s="770" t="s">
        <v>495</v>
      </c>
      <c r="Q596" s="770" t="s">
        <v>521</v>
      </c>
      <c r="R596" s="770" t="s">
        <v>497</v>
      </c>
      <c r="S596" s="770">
        <v>2019.0</v>
      </c>
      <c r="T596" s="771">
        <v>171.3508449</v>
      </c>
      <c r="U596" s="771">
        <v>358.5965981</v>
      </c>
      <c r="V596" s="772">
        <v>58.17646889</v>
      </c>
      <c r="X596" s="769" t="s">
        <v>523</v>
      </c>
      <c r="Y596" s="770" t="s">
        <v>494</v>
      </c>
      <c r="Z596" s="770" t="s">
        <v>507</v>
      </c>
      <c r="AA596" s="770" t="s">
        <v>13</v>
      </c>
      <c r="AB596" s="770" t="s">
        <v>493</v>
      </c>
      <c r="AC596" s="770" t="s">
        <v>103</v>
      </c>
      <c r="AD596" s="770" t="s">
        <v>501</v>
      </c>
      <c r="AE596" s="784" t="s">
        <v>502</v>
      </c>
      <c r="AF596" s="771">
        <v>144.1114765</v>
      </c>
      <c r="AG596" s="771">
        <v>66.94519438</v>
      </c>
      <c r="AH596" s="771">
        <v>265.2426738</v>
      </c>
      <c r="AI596" s="772" t="s">
        <v>233</v>
      </c>
      <c r="AK596" s="769" t="s">
        <v>523</v>
      </c>
      <c r="AL596" s="770" t="s">
        <v>494</v>
      </c>
      <c r="AM596" s="770" t="s">
        <v>507</v>
      </c>
      <c r="AN596" s="770" t="s">
        <v>13</v>
      </c>
      <c r="AO596" s="770" t="s">
        <v>493</v>
      </c>
      <c r="AP596" s="770" t="s">
        <v>504</v>
      </c>
      <c r="AQ596" s="770" t="s">
        <v>501</v>
      </c>
      <c r="AR596" s="784" t="s">
        <v>502</v>
      </c>
      <c r="AS596" s="771">
        <v>33.90038231</v>
      </c>
      <c r="AT596" s="771">
        <v>15.74800105</v>
      </c>
      <c r="AU596" s="771">
        <v>62.39494774</v>
      </c>
      <c r="AV596" s="989" t="s">
        <v>233</v>
      </c>
      <c r="AW596" s="714"/>
    </row>
    <row r="597">
      <c r="A597" s="761"/>
      <c r="B597" s="769" t="s">
        <v>493</v>
      </c>
      <c r="C597" s="770" t="s">
        <v>625</v>
      </c>
      <c r="D597" s="770" t="s">
        <v>494</v>
      </c>
      <c r="E597" s="770" t="s">
        <v>505</v>
      </c>
      <c r="F597" s="770" t="s">
        <v>521</v>
      </c>
      <c r="G597" s="770" t="s">
        <v>103</v>
      </c>
      <c r="H597" s="770">
        <v>2019.0</v>
      </c>
      <c r="I597" s="771">
        <v>0.0</v>
      </c>
      <c r="J597" s="771">
        <v>0.0</v>
      </c>
      <c r="K597" s="772">
        <v>0.0</v>
      </c>
      <c r="M597" s="769" t="s">
        <v>493</v>
      </c>
      <c r="N597" s="770" t="s">
        <v>625</v>
      </c>
      <c r="O597" s="770" t="s">
        <v>494</v>
      </c>
      <c r="P597" s="770" t="s">
        <v>505</v>
      </c>
      <c r="Q597" s="770" t="s">
        <v>521</v>
      </c>
      <c r="R597" s="770" t="s">
        <v>497</v>
      </c>
      <c r="S597" s="770">
        <v>2019.0</v>
      </c>
      <c r="T597" s="771">
        <v>0.0</v>
      </c>
      <c r="U597" s="771">
        <v>0.0</v>
      </c>
      <c r="V597" s="772">
        <v>0.0</v>
      </c>
      <c r="X597" s="769" t="s">
        <v>523</v>
      </c>
      <c r="Y597" s="770" t="s">
        <v>494</v>
      </c>
      <c r="Z597" s="770" t="s">
        <v>513</v>
      </c>
      <c r="AA597" s="770" t="s">
        <v>13</v>
      </c>
      <c r="AB597" s="770" t="s">
        <v>493</v>
      </c>
      <c r="AC597" s="770" t="s">
        <v>103</v>
      </c>
      <c r="AD597" s="770" t="s">
        <v>501</v>
      </c>
      <c r="AE597" s="784" t="s">
        <v>502</v>
      </c>
      <c r="AF597" s="771">
        <v>273.6193869</v>
      </c>
      <c r="AG597" s="771">
        <v>151.6598902</v>
      </c>
      <c r="AH597" s="771">
        <v>448.7911282</v>
      </c>
      <c r="AI597" s="772" t="s">
        <v>233</v>
      </c>
      <c r="AK597" s="769" t="s">
        <v>523</v>
      </c>
      <c r="AL597" s="770" t="s">
        <v>494</v>
      </c>
      <c r="AM597" s="770" t="s">
        <v>513</v>
      </c>
      <c r="AN597" s="770" t="s">
        <v>13</v>
      </c>
      <c r="AO597" s="770" t="s">
        <v>493</v>
      </c>
      <c r="AP597" s="770" t="s">
        <v>504</v>
      </c>
      <c r="AQ597" s="770" t="s">
        <v>501</v>
      </c>
      <c r="AR597" s="784" t="s">
        <v>502</v>
      </c>
      <c r="AS597" s="771">
        <v>13.18778887</v>
      </c>
      <c r="AT597" s="771">
        <v>7.309637797</v>
      </c>
      <c r="AU597" s="771">
        <v>21.63064069</v>
      </c>
      <c r="AV597" s="989" t="s">
        <v>233</v>
      </c>
      <c r="AW597" s="714"/>
    </row>
    <row r="598">
      <c r="A598" s="761"/>
      <c r="B598" s="769" t="s">
        <v>493</v>
      </c>
      <c r="C598" s="770" t="s">
        <v>625</v>
      </c>
      <c r="D598" s="770" t="s">
        <v>494</v>
      </c>
      <c r="E598" s="770" t="s">
        <v>508</v>
      </c>
      <c r="F598" s="770" t="s">
        <v>521</v>
      </c>
      <c r="G598" s="770" t="s">
        <v>103</v>
      </c>
      <c r="H598" s="770">
        <v>2019.0</v>
      </c>
      <c r="I598" s="771">
        <v>135.3580553</v>
      </c>
      <c r="J598" s="771">
        <v>284.4327482</v>
      </c>
      <c r="K598" s="772">
        <v>46.60668095</v>
      </c>
      <c r="M598" s="769" t="s">
        <v>493</v>
      </c>
      <c r="N598" s="770" t="s">
        <v>625</v>
      </c>
      <c r="O598" s="770" t="s">
        <v>494</v>
      </c>
      <c r="P598" s="770" t="s">
        <v>508</v>
      </c>
      <c r="Q598" s="770" t="s">
        <v>521</v>
      </c>
      <c r="R598" s="770" t="s">
        <v>497</v>
      </c>
      <c r="S598" s="770">
        <v>2019.0</v>
      </c>
      <c r="T598" s="771">
        <v>246.039713</v>
      </c>
      <c r="U598" s="771">
        <v>517.0120949</v>
      </c>
      <c r="V598" s="772">
        <v>84.71674906</v>
      </c>
      <c r="X598" s="769" t="s">
        <v>496</v>
      </c>
      <c r="Y598" s="770" t="s">
        <v>494</v>
      </c>
      <c r="Z598" s="770" t="s">
        <v>499</v>
      </c>
      <c r="AA598" s="770" t="s">
        <v>40</v>
      </c>
      <c r="AB598" s="770" t="s">
        <v>493</v>
      </c>
      <c r="AC598" s="770" t="s">
        <v>103</v>
      </c>
      <c r="AD598" s="770" t="s">
        <v>501</v>
      </c>
      <c r="AE598" s="784" t="s">
        <v>502</v>
      </c>
      <c r="AF598" s="771">
        <v>8159.989527</v>
      </c>
      <c r="AG598" s="771">
        <v>6231.653363</v>
      </c>
      <c r="AH598" s="771">
        <v>10775.68839</v>
      </c>
      <c r="AI598" s="772" t="s">
        <v>233</v>
      </c>
      <c r="AK598" s="769" t="s">
        <v>496</v>
      </c>
      <c r="AL598" s="770" t="s">
        <v>494</v>
      </c>
      <c r="AM598" s="770" t="s">
        <v>499</v>
      </c>
      <c r="AN598" s="770" t="s">
        <v>40</v>
      </c>
      <c r="AO598" s="770" t="s">
        <v>493</v>
      </c>
      <c r="AP598" s="770" t="s">
        <v>504</v>
      </c>
      <c r="AQ598" s="770" t="s">
        <v>501</v>
      </c>
      <c r="AR598" s="784" t="s">
        <v>502</v>
      </c>
      <c r="AS598" s="771">
        <v>125768.6533</v>
      </c>
      <c r="AT598" s="771">
        <v>96047.50704</v>
      </c>
      <c r="AU598" s="771">
        <v>166084.0143</v>
      </c>
      <c r="AV598" s="989" t="s">
        <v>233</v>
      </c>
      <c r="AW598" s="714"/>
    </row>
    <row r="599">
      <c r="A599" s="761"/>
      <c r="B599" s="769" t="s">
        <v>493</v>
      </c>
      <c r="C599" s="770" t="s">
        <v>625</v>
      </c>
      <c r="D599" s="770" t="s">
        <v>494</v>
      </c>
      <c r="E599" s="770" t="s">
        <v>512</v>
      </c>
      <c r="F599" s="770" t="s">
        <v>521</v>
      </c>
      <c r="G599" s="770" t="s">
        <v>103</v>
      </c>
      <c r="H599" s="770">
        <v>2019.0</v>
      </c>
      <c r="I599" s="771">
        <v>0.0</v>
      </c>
      <c r="J599" s="771">
        <v>0.0</v>
      </c>
      <c r="K599" s="772">
        <v>0.0</v>
      </c>
      <c r="M599" s="769" t="s">
        <v>493</v>
      </c>
      <c r="N599" s="770" t="s">
        <v>625</v>
      </c>
      <c r="O599" s="770" t="s">
        <v>494</v>
      </c>
      <c r="P599" s="770" t="s">
        <v>512</v>
      </c>
      <c r="Q599" s="770" t="s">
        <v>521</v>
      </c>
      <c r="R599" s="770" t="s">
        <v>497</v>
      </c>
      <c r="S599" s="770">
        <v>2019.0</v>
      </c>
      <c r="T599" s="771">
        <v>0.0</v>
      </c>
      <c r="U599" s="771">
        <v>0.0</v>
      </c>
      <c r="V599" s="772">
        <v>0.0</v>
      </c>
      <c r="X599" s="769" t="s">
        <v>496</v>
      </c>
      <c r="Y599" s="770" t="s">
        <v>494</v>
      </c>
      <c r="Z599" s="770" t="s">
        <v>507</v>
      </c>
      <c r="AA599" s="770" t="s">
        <v>40</v>
      </c>
      <c r="AB599" s="770" t="s">
        <v>493</v>
      </c>
      <c r="AC599" s="770" t="s">
        <v>103</v>
      </c>
      <c r="AD599" s="770" t="s">
        <v>501</v>
      </c>
      <c r="AE599" s="784" t="s">
        <v>502</v>
      </c>
      <c r="AF599" s="771">
        <v>5457.207151</v>
      </c>
      <c r="AG599" s="771">
        <v>4142.1169</v>
      </c>
      <c r="AH599" s="771">
        <v>7217.431806</v>
      </c>
      <c r="AI599" s="772" t="s">
        <v>233</v>
      </c>
      <c r="AK599" s="769" t="s">
        <v>496</v>
      </c>
      <c r="AL599" s="770" t="s">
        <v>494</v>
      </c>
      <c r="AM599" s="770" t="s">
        <v>507</v>
      </c>
      <c r="AN599" s="770" t="s">
        <v>40</v>
      </c>
      <c r="AO599" s="770" t="s">
        <v>493</v>
      </c>
      <c r="AP599" s="770" t="s">
        <v>504</v>
      </c>
      <c r="AQ599" s="770" t="s">
        <v>501</v>
      </c>
      <c r="AR599" s="784" t="s">
        <v>502</v>
      </c>
      <c r="AS599" s="771">
        <v>1843.928359</v>
      </c>
      <c r="AT599" s="771">
        <v>1399.574289</v>
      </c>
      <c r="AU599" s="771">
        <v>2438.688292</v>
      </c>
      <c r="AV599" s="989" t="s">
        <v>233</v>
      </c>
      <c r="AW599" s="714"/>
    </row>
    <row r="600">
      <c r="A600" s="761"/>
      <c r="B600" s="769" t="s">
        <v>493</v>
      </c>
      <c r="C600" s="770" t="s">
        <v>625</v>
      </c>
      <c r="D600" s="770" t="s">
        <v>494</v>
      </c>
      <c r="E600" s="770" t="s">
        <v>495</v>
      </c>
      <c r="F600" s="770" t="s">
        <v>523</v>
      </c>
      <c r="G600" s="770" t="s">
        <v>103</v>
      </c>
      <c r="H600" s="770">
        <v>2019.0</v>
      </c>
      <c r="I600" s="771">
        <v>44.26152073</v>
      </c>
      <c r="J600" s="771">
        <v>83.80461335</v>
      </c>
      <c r="K600" s="772">
        <v>18.88446342</v>
      </c>
      <c r="M600" s="769" t="s">
        <v>493</v>
      </c>
      <c r="N600" s="770" t="s">
        <v>625</v>
      </c>
      <c r="O600" s="770" t="s">
        <v>494</v>
      </c>
      <c r="P600" s="770" t="s">
        <v>495</v>
      </c>
      <c r="Q600" s="770" t="s">
        <v>523</v>
      </c>
      <c r="R600" s="770" t="s">
        <v>497</v>
      </c>
      <c r="S600" s="770">
        <v>2019.0</v>
      </c>
      <c r="T600" s="771">
        <v>15.39804848</v>
      </c>
      <c r="U600" s="771">
        <v>29.15461281</v>
      </c>
      <c r="V600" s="772">
        <v>6.56967674</v>
      </c>
      <c r="X600" s="769" t="s">
        <v>496</v>
      </c>
      <c r="Y600" s="770" t="s">
        <v>494</v>
      </c>
      <c r="Z600" s="770" t="s">
        <v>509</v>
      </c>
      <c r="AA600" s="770" t="s">
        <v>40</v>
      </c>
      <c r="AB600" s="770" t="s">
        <v>493</v>
      </c>
      <c r="AC600" s="770" t="s">
        <v>103</v>
      </c>
      <c r="AD600" s="770" t="s">
        <v>501</v>
      </c>
      <c r="AE600" s="784" t="s">
        <v>502</v>
      </c>
      <c r="AF600" s="771">
        <v>1522.781504</v>
      </c>
      <c r="AG600" s="771">
        <v>1155.846995</v>
      </c>
      <c r="AH600" s="771">
        <v>2016.178872</v>
      </c>
      <c r="AI600" s="772" t="s">
        <v>233</v>
      </c>
      <c r="AK600" s="769" t="s">
        <v>496</v>
      </c>
      <c r="AL600" s="770" t="s">
        <v>494</v>
      </c>
      <c r="AM600" s="770" t="s">
        <v>509</v>
      </c>
      <c r="AN600" s="770" t="s">
        <v>40</v>
      </c>
      <c r="AO600" s="770" t="s">
        <v>493</v>
      </c>
      <c r="AP600" s="770" t="s">
        <v>504</v>
      </c>
      <c r="AQ600" s="770" t="s">
        <v>501</v>
      </c>
      <c r="AR600" s="784" t="s">
        <v>502</v>
      </c>
      <c r="AS600" s="771">
        <v>7957.360424</v>
      </c>
      <c r="AT600" s="771">
        <v>6039.928322</v>
      </c>
      <c r="AU600" s="771">
        <v>10535.62965</v>
      </c>
      <c r="AV600" s="989" t="s">
        <v>233</v>
      </c>
      <c r="AW600" s="714"/>
    </row>
    <row r="601">
      <c r="A601" s="761"/>
      <c r="B601" s="769" t="s">
        <v>493</v>
      </c>
      <c r="C601" s="770" t="s">
        <v>625</v>
      </c>
      <c r="D601" s="770" t="s">
        <v>494</v>
      </c>
      <c r="E601" s="770" t="s">
        <v>505</v>
      </c>
      <c r="F601" s="770" t="s">
        <v>523</v>
      </c>
      <c r="G601" s="770" t="s">
        <v>103</v>
      </c>
      <c r="H601" s="770">
        <v>2019.0</v>
      </c>
      <c r="I601" s="771">
        <v>0.0</v>
      </c>
      <c r="J601" s="771">
        <v>0.0</v>
      </c>
      <c r="K601" s="772">
        <v>0.0</v>
      </c>
      <c r="M601" s="769" t="s">
        <v>493</v>
      </c>
      <c r="N601" s="770" t="s">
        <v>625</v>
      </c>
      <c r="O601" s="770" t="s">
        <v>494</v>
      </c>
      <c r="P601" s="770" t="s">
        <v>505</v>
      </c>
      <c r="Q601" s="770" t="s">
        <v>523</v>
      </c>
      <c r="R601" s="770" t="s">
        <v>497</v>
      </c>
      <c r="S601" s="770">
        <v>2019.0</v>
      </c>
      <c r="T601" s="771">
        <v>0.0</v>
      </c>
      <c r="U601" s="771">
        <v>0.0</v>
      </c>
      <c r="V601" s="772">
        <v>0.0</v>
      </c>
      <c r="X601" s="769" t="s">
        <v>496</v>
      </c>
      <c r="Y601" s="770" t="s">
        <v>494</v>
      </c>
      <c r="Z601" s="770" t="s">
        <v>513</v>
      </c>
      <c r="AA601" s="770" t="s">
        <v>40</v>
      </c>
      <c r="AB601" s="770" t="s">
        <v>493</v>
      </c>
      <c r="AC601" s="770" t="s">
        <v>103</v>
      </c>
      <c r="AD601" s="770" t="s">
        <v>501</v>
      </c>
      <c r="AE601" s="784" t="s">
        <v>502</v>
      </c>
      <c r="AF601" s="771">
        <v>20448.01213</v>
      </c>
      <c r="AG601" s="771">
        <v>15521.00494</v>
      </c>
      <c r="AH601" s="771">
        <v>26974.12338</v>
      </c>
      <c r="AI601" s="772" t="s">
        <v>233</v>
      </c>
      <c r="AK601" s="769" t="s">
        <v>496</v>
      </c>
      <c r="AL601" s="770" t="s">
        <v>494</v>
      </c>
      <c r="AM601" s="770" t="s">
        <v>513</v>
      </c>
      <c r="AN601" s="770" t="s">
        <v>40</v>
      </c>
      <c r="AO601" s="770" t="s">
        <v>493</v>
      </c>
      <c r="AP601" s="770" t="s">
        <v>504</v>
      </c>
      <c r="AQ601" s="770" t="s">
        <v>501</v>
      </c>
      <c r="AR601" s="784" t="s">
        <v>502</v>
      </c>
      <c r="AS601" s="771">
        <v>1354.029628</v>
      </c>
      <c r="AT601" s="771">
        <v>1027.772304</v>
      </c>
      <c r="AU601" s="771">
        <v>1786.176672</v>
      </c>
      <c r="AV601" s="989" t="s">
        <v>233</v>
      </c>
      <c r="AW601" s="714"/>
    </row>
    <row r="602">
      <c r="A602" s="761"/>
      <c r="B602" s="769" t="s">
        <v>493</v>
      </c>
      <c r="C602" s="770" t="s">
        <v>625</v>
      </c>
      <c r="D602" s="770" t="s">
        <v>494</v>
      </c>
      <c r="E602" s="770" t="s">
        <v>508</v>
      </c>
      <c r="F602" s="770" t="s">
        <v>523</v>
      </c>
      <c r="G602" s="770" t="s">
        <v>103</v>
      </c>
      <c r="H602" s="770">
        <v>2019.0</v>
      </c>
      <c r="I602" s="771">
        <v>17.56463374</v>
      </c>
      <c r="J602" s="771">
        <v>37.40172745</v>
      </c>
      <c r="K602" s="772">
        <v>6.196517044</v>
      </c>
      <c r="M602" s="769" t="s">
        <v>493</v>
      </c>
      <c r="N602" s="770" t="s">
        <v>625</v>
      </c>
      <c r="O602" s="770" t="s">
        <v>494</v>
      </c>
      <c r="P602" s="770" t="s">
        <v>508</v>
      </c>
      <c r="Q602" s="770" t="s">
        <v>523</v>
      </c>
      <c r="R602" s="770" t="s">
        <v>497</v>
      </c>
      <c r="S602" s="770">
        <v>2019.0</v>
      </c>
      <c r="T602" s="771">
        <v>31.92715375</v>
      </c>
      <c r="U602" s="771">
        <v>67.98494752</v>
      </c>
      <c r="V602" s="772">
        <v>11.26338046</v>
      </c>
      <c r="X602" s="769" t="s">
        <v>514</v>
      </c>
      <c r="Y602" s="770" t="s">
        <v>494</v>
      </c>
      <c r="Z602" s="770" t="s">
        <v>499</v>
      </c>
      <c r="AA602" s="770" t="s">
        <v>40</v>
      </c>
      <c r="AB602" s="770" t="s">
        <v>493</v>
      </c>
      <c r="AC602" s="770" t="s">
        <v>103</v>
      </c>
      <c r="AD602" s="770" t="s">
        <v>501</v>
      </c>
      <c r="AE602" s="784" t="s">
        <v>502</v>
      </c>
      <c r="AF602" s="771">
        <v>7540.901279</v>
      </c>
      <c r="AG602" s="771">
        <v>5676.674012</v>
      </c>
      <c r="AH602" s="771">
        <v>9960.28436</v>
      </c>
      <c r="AI602" s="772" t="s">
        <v>233</v>
      </c>
      <c r="AK602" s="769" t="s">
        <v>514</v>
      </c>
      <c r="AL602" s="770" t="s">
        <v>494</v>
      </c>
      <c r="AM602" s="770" t="s">
        <v>499</v>
      </c>
      <c r="AN602" s="770" t="s">
        <v>40</v>
      </c>
      <c r="AO602" s="770" t="s">
        <v>493</v>
      </c>
      <c r="AP602" s="770" t="s">
        <v>504</v>
      </c>
      <c r="AQ602" s="770" t="s">
        <v>501</v>
      </c>
      <c r="AR602" s="784" t="s">
        <v>502</v>
      </c>
      <c r="AS602" s="771">
        <v>116226.7422</v>
      </c>
      <c r="AT602" s="771">
        <v>87493.69635</v>
      </c>
      <c r="AU602" s="771">
        <v>153516.3184</v>
      </c>
      <c r="AV602" s="989" t="s">
        <v>233</v>
      </c>
      <c r="AW602" s="714"/>
    </row>
    <row r="603">
      <c r="A603" s="761"/>
      <c r="B603" s="769" t="s">
        <v>493</v>
      </c>
      <c r="C603" s="770" t="s">
        <v>625</v>
      </c>
      <c r="D603" s="770" t="s">
        <v>494</v>
      </c>
      <c r="E603" s="770" t="s">
        <v>512</v>
      </c>
      <c r="F603" s="770" t="s">
        <v>523</v>
      </c>
      <c r="G603" s="770" t="s">
        <v>103</v>
      </c>
      <c r="H603" s="770">
        <v>2019.0</v>
      </c>
      <c r="I603" s="771">
        <v>0.0</v>
      </c>
      <c r="J603" s="771">
        <v>0.0</v>
      </c>
      <c r="K603" s="772">
        <v>0.0</v>
      </c>
      <c r="M603" s="769" t="s">
        <v>493</v>
      </c>
      <c r="N603" s="770" t="s">
        <v>625</v>
      </c>
      <c r="O603" s="770" t="s">
        <v>494</v>
      </c>
      <c r="P603" s="770" t="s">
        <v>512</v>
      </c>
      <c r="Q603" s="770" t="s">
        <v>523</v>
      </c>
      <c r="R603" s="770" t="s">
        <v>497</v>
      </c>
      <c r="S603" s="770">
        <v>2019.0</v>
      </c>
      <c r="T603" s="771">
        <v>0.0</v>
      </c>
      <c r="U603" s="771">
        <v>0.0</v>
      </c>
      <c r="V603" s="772">
        <v>0.0</v>
      </c>
      <c r="X603" s="769" t="s">
        <v>514</v>
      </c>
      <c r="Y603" s="770" t="s">
        <v>494</v>
      </c>
      <c r="Z603" s="770" t="s">
        <v>507</v>
      </c>
      <c r="AA603" s="770" t="s">
        <v>40</v>
      </c>
      <c r="AB603" s="770" t="s">
        <v>493</v>
      </c>
      <c r="AC603" s="770" t="s">
        <v>103</v>
      </c>
      <c r="AD603" s="770" t="s">
        <v>501</v>
      </c>
      <c r="AE603" s="784" t="s">
        <v>502</v>
      </c>
      <c r="AF603" s="771">
        <v>4685.581409</v>
      </c>
      <c r="AG603" s="771">
        <v>3507.415747</v>
      </c>
      <c r="AH603" s="771">
        <v>6217.600934</v>
      </c>
      <c r="AI603" s="772" t="s">
        <v>233</v>
      </c>
      <c r="AK603" s="769" t="s">
        <v>514</v>
      </c>
      <c r="AL603" s="770" t="s">
        <v>494</v>
      </c>
      <c r="AM603" s="770" t="s">
        <v>507</v>
      </c>
      <c r="AN603" s="770" t="s">
        <v>40</v>
      </c>
      <c r="AO603" s="770" t="s">
        <v>493</v>
      </c>
      <c r="AP603" s="770" t="s">
        <v>504</v>
      </c>
      <c r="AQ603" s="770" t="s">
        <v>501</v>
      </c>
      <c r="AR603" s="784" t="s">
        <v>502</v>
      </c>
      <c r="AS603" s="771">
        <v>1583.204778</v>
      </c>
      <c r="AT603" s="771">
        <v>1185.115973</v>
      </c>
      <c r="AU603" s="771">
        <v>2100.856788</v>
      </c>
      <c r="AV603" s="989" t="s">
        <v>233</v>
      </c>
      <c r="AW603" s="714"/>
    </row>
    <row r="604">
      <c r="A604" s="761"/>
      <c r="B604" s="769" t="s">
        <v>493</v>
      </c>
      <c r="C604" s="770" t="s">
        <v>626</v>
      </c>
      <c r="D604" s="770" t="s">
        <v>494</v>
      </c>
      <c r="E604" s="770" t="s">
        <v>495</v>
      </c>
      <c r="F604" s="770" t="s">
        <v>496</v>
      </c>
      <c r="G604" s="770" t="s">
        <v>103</v>
      </c>
      <c r="H604" s="770">
        <v>2019.0</v>
      </c>
      <c r="I604" s="771">
        <v>840402.1357</v>
      </c>
      <c r="J604" s="771">
        <v>1037258.109</v>
      </c>
      <c r="K604" s="772">
        <v>691899.712</v>
      </c>
      <c r="M604" s="769" t="s">
        <v>493</v>
      </c>
      <c r="N604" s="770" t="s">
        <v>626</v>
      </c>
      <c r="O604" s="770" t="s">
        <v>494</v>
      </c>
      <c r="P604" s="770" t="s">
        <v>495</v>
      </c>
      <c r="Q604" s="770" t="s">
        <v>496</v>
      </c>
      <c r="R604" s="770" t="s">
        <v>497</v>
      </c>
      <c r="S604" s="770">
        <v>2019.0</v>
      </c>
      <c r="T604" s="771">
        <v>717.8582648</v>
      </c>
      <c r="U604" s="771">
        <v>886.0095359</v>
      </c>
      <c r="V604" s="772">
        <v>591.009834</v>
      </c>
      <c r="X604" s="769" t="s">
        <v>514</v>
      </c>
      <c r="Y604" s="770" t="s">
        <v>494</v>
      </c>
      <c r="Z604" s="770" t="s">
        <v>509</v>
      </c>
      <c r="AA604" s="770" t="s">
        <v>40</v>
      </c>
      <c r="AB604" s="770" t="s">
        <v>493</v>
      </c>
      <c r="AC604" s="770" t="s">
        <v>103</v>
      </c>
      <c r="AD604" s="770" t="s">
        <v>501</v>
      </c>
      <c r="AE604" s="784" t="s">
        <v>502</v>
      </c>
      <c r="AF604" s="771">
        <v>1358.278824</v>
      </c>
      <c r="AG604" s="771">
        <v>1023.843476</v>
      </c>
      <c r="AH604" s="771">
        <v>1812.523729</v>
      </c>
      <c r="AI604" s="772" t="s">
        <v>233</v>
      </c>
      <c r="AK604" s="769" t="s">
        <v>514</v>
      </c>
      <c r="AL604" s="770" t="s">
        <v>494</v>
      </c>
      <c r="AM604" s="770" t="s">
        <v>509</v>
      </c>
      <c r="AN604" s="770" t="s">
        <v>40</v>
      </c>
      <c r="AO604" s="770" t="s">
        <v>493</v>
      </c>
      <c r="AP604" s="770" t="s">
        <v>504</v>
      </c>
      <c r="AQ604" s="770" t="s">
        <v>501</v>
      </c>
      <c r="AR604" s="784" t="s">
        <v>502</v>
      </c>
      <c r="AS604" s="771">
        <v>7097.744574</v>
      </c>
      <c r="AT604" s="771">
        <v>5350.138239</v>
      </c>
      <c r="AU604" s="771">
        <v>9471.420913</v>
      </c>
      <c r="AV604" s="989" t="s">
        <v>233</v>
      </c>
      <c r="AW604" s="714"/>
    </row>
    <row r="605">
      <c r="A605" s="761"/>
      <c r="B605" s="769" t="s">
        <v>493</v>
      </c>
      <c r="C605" s="770" t="s">
        <v>626</v>
      </c>
      <c r="D605" s="770" t="s">
        <v>494</v>
      </c>
      <c r="E605" s="770" t="s">
        <v>505</v>
      </c>
      <c r="F605" s="770" t="s">
        <v>496</v>
      </c>
      <c r="G605" s="770" t="s">
        <v>103</v>
      </c>
      <c r="H605" s="770">
        <v>2019.0</v>
      </c>
      <c r="I605" s="771">
        <v>456929.0519</v>
      </c>
      <c r="J605" s="771">
        <v>565608.254</v>
      </c>
      <c r="K605" s="772">
        <v>373667.6623</v>
      </c>
      <c r="M605" s="769" t="s">
        <v>493</v>
      </c>
      <c r="N605" s="770" t="s">
        <v>626</v>
      </c>
      <c r="O605" s="770" t="s">
        <v>494</v>
      </c>
      <c r="P605" s="770" t="s">
        <v>505</v>
      </c>
      <c r="Q605" s="770" t="s">
        <v>496</v>
      </c>
      <c r="R605" s="770" t="s">
        <v>497</v>
      </c>
      <c r="S605" s="770">
        <v>2019.0</v>
      </c>
      <c r="T605" s="771">
        <v>102173.0315</v>
      </c>
      <c r="U605" s="771">
        <v>126474.58</v>
      </c>
      <c r="V605" s="772">
        <v>83555.11138</v>
      </c>
      <c r="X605" s="769" t="s">
        <v>514</v>
      </c>
      <c r="Y605" s="770" t="s">
        <v>494</v>
      </c>
      <c r="Z605" s="770" t="s">
        <v>513</v>
      </c>
      <c r="AA605" s="770" t="s">
        <v>40</v>
      </c>
      <c r="AB605" s="770" t="s">
        <v>493</v>
      </c>
      <c r="AC605" s="770" t="s">
        <v>103</v>
      </c>
      <c r="AD605" s="770" t="s">
        <v>501</v>
      </c>
      <c r="AE605" s="784" t="s">
        <v>502</v>
      </c>
      <c r="AF605" s="771">
        <v>18287.14449</v>
      </c>
      <c r="AG605" s="771">
        <v>13761.68697</v>
      </c>
      <c r="AH605" s="771">
        <v>24294.92503</v>
      </c>
      <c r="AI605" s="772" t="s">
        <v>233</v>
      </c>
      <c r="AK605" s="769" t="s">
        <v>514</v>
      </c>
      <c r="AL605" s="770" t="s">
        <v>494</v>
      </c>
      <c r="AM605" s="770" t="s">
        <v>513</v>
      </c>
      <c r="AN605" s="770" t="s">
        <v>40</v>
      </c>
      <c r="AO605" s="770" t="s">
        <v>493</v>
      </c>
      <c r="AP605" s="770" t="s">
        <v>504</v>
      </c>
      <c r="AQ605" s="770" t="s">
        <v>501</v>
      </c>
      <c r="AR605" s="784" t="s">
        <v>502</v>
      </c>
      <c r="AS605" s="771">
        <v>1210.940961</v>
      </c>
      <c r="AT605" s="771">
        <v>911.2735154</v>
      </c>
      <c r="AU605" s="771">
        <v>1608.765101</v>
      </c>
      <c r="AV605" s="989" t="s">
        <v>233</v>
      </c>
      <c r="AW605" s="714"/>
    </row>
    <row r="606">
      <c r="A606" s="761"/>
      <c r="B606" s="769" t="s">
        <v>493</v>
      </c>
      <c r="C606" s="770" t="s">
        <v>626</v>
      </c>
      <c r="D606" s="770" t="s">
        <v>494</v>
      </c>
      <c r="E606" s="770" t="s">
        <v>508</v>
      </c>
      <c r="F606" s="770" t="s">
        <v>496</v>
      </c>
      <c r="G606" s="770" t="s">
        <v>103</v>
      </c>
      <c r="H606" s="770">
        <v>2019.0</v>
      </c>
      <c r="I606" s="771">
        <v>170800.0312</v>
      </c>
      <c r="J606" s="771">
        <v>209819.9628</v>
      </c>
      <c r="K606" s="772">
        <v>141219.1405</v>
      </c>
      <c r="M606" s="769" t="s">
        <v>493</v>
      </c>
      <c r="N606" s="770" t="s">
        <v>626</v>
      </c>
      <c r="O606" s="770" t="s">
        <v>494</v>
      </c>
      <c r="P606" s="770" t="s">
        <v>508</v>
      </c>
      <c r="Q606" s="770" t="s">
        <v>496</v>
      </c>
      <c r="R606" s="770" t="s">
        <v>497</v>
      </c>
      <c r="S606" s="770">
        <v>2019.0</v>
      </c>
      <c r="T606" s="771">
        <v>808.5652256</v>
      </c>
      <c r="U606" s="771">
        <v>993.2850971</v>
      </c>
      <c r="V606" s="772">
        <v>668.5296569</v>
      </c>
      <c r="X606" s="769" t="s">
        <v>518</v>
      </c>
      <c r="Y606" s="770" t="s">
        <v>494</v>
      </c>
      <c r="Z606" s="770" t="s">
        <v>499</v>
      </c>
      <c r="AA606" s="770" t="s">
        <v>40</v>
      </c>
      <c r="AB606" s="770" t="s">
        <v>493</v>
      </c>
      <c r="AC606" s="770" t="s">
        <v>103</v>
      </c>
      <c r="AD606" s="770" t="s">
        <v>501</v>
      </c>
      <c r="AE606" s="784" t="s">
        <v>502</v>
      </c>
      <c r="AF606" s="771">
        <v>58.34086374</v>
      </c>
      <c r="AG606" s="771">
        <v>23.61827988</v>
      </c>
      <c r="AH606" s="771">
        <v>122.0417592</v>
      </c>
      <c r="AI606" s="772" t="s">
        <v>233</v>
      </c>
      <c r="AK606" s="769" t="s">
        <v>518</v>
      </c>
      <c r="AL606" s="770" t="s">
        <v>494</v>
      </c>
      <c r="AM606" s="770" t="s">
        <v>499</v>
      </c>
      <c r="AN606" s="770" t="s">
        <v>40</v>
      </c>
      <c r="AO606" s="770" t="s">
        <v>493</v>
      </c>
      <c r="AP606" s="770" t="s">
        <v>504</v>
      </c>
      <c r="AQ606" s="770" t="s">
        <v>501</v>
      </c>
      <c r="AR606" s="784" t="s">
        <v>502</v>
      </c>
      <c r="AS606" s="771">
        <v>899.1986867</v>
      </c>
      <c r="AT606" s="771">
        <v>364.0248857</v>
      </c>
      <c r="AU606" s="771">
        <v>1881.010712</v>
      </c>
      <c r="AV606" s="989" t="s">
        <v>233</v>
      </c>
      <c r="AW606" s="714"/>
    </row>
    <row r="607">
      <c r="A607" s="761"/>
      <c r="B607" s="769" t="s">
        <v>493</v>
      </c>
      <c r="C607" s="770" t="s">
        <v>626</v>
      </c>
      <c r="D607" s="770" t="s">
        <v>494</v>
      </c>
      <c r="E607" s="770" t="s">
        <v>512</v>
      </c>
      <c r="F607" s="770" t="s">
        <v>496</v>
      </c>
      <c r="G607" s="770" t="s">
        <v>103</v>
      </c>
      <c r="H607" s="770">
        <v>2019.0</v>
      </c>
      <c r="I607" s="771">
        <v>100144.049</v>
      </c>
      <c r="J607" s="771">
        <v>123066.5371</v>
      </c>
      <c r="K607" s="772">
        <v>82366.8037</v>
      </c>
      <c r="M607" s="769" t="s">
        <v>493</v>
      </c>
      <c r="N607" s="770" t="s">
        <v>626</v>
      </c>
      <c r="O607" s="770" t="s">
        <v>494</v>
      </c>
      <c r="P607" s="770" t="s">
        <v>512</v>
      </c>
      <c r="Q607" s="770" t="s">
        <v>496</v>
      </c>
      <c r="R607" s="770" t="s">
        <v>497</v>
      </c>
      <c r="S607" s="770">
        <v>2019.0</v>
      </c>
      <c r="T607" s="771">
        <v>7555.562173</v>
      </c>
      <c r="U607" s="771">
        <v>9284.993779</v>
      </c>
      <c r="V607" s="772">
        <v>6214.323391</v>
      </c>
      <c r="X607" s="769" t="s">
        <v>518</v>
      </c>
      <c r="Y607" s="770" t="s">
        <v>494</v>
      </c>
      <c r="Z607" s="770" t="s">
        <v>507</v>
      </c>
      <c r="AA607" s="770" t="s">
        <v>40</v>
      </c>
      <c r="AB607" s="770" t="s">
        <v>493</v>
      </c>
      <c r="AC607" s="770" t="s">
        <v>103</v>
      </c>
      <c r="AD607" s="770" t="s">
        <v>501</v>
      </c>
      <c r="AE607" s="784" t="s">
        <v>502</v>
      </c>
      <c r="AF607" s="771">
        <v>1165.234307</v>
      </c>
      <c r="AG607" s="771">
        <v>574.8298977</v>
      </c>
      <c r="AH607" s="771">
        <v>1987.148557</v>
      </c>
      <c r="AI607" s="772" t="s">
        <v>233</v>
      </c>
      <c r="AK607" s="769" t="s">
        <v>518</v>
      </c>
      <c r="AL607" s="770" t="s">
        <v>494</v>
      </c>
      <c r="AM607" s="770" t="s">
        <v>507</v>
      </c>
      <c r="AN607" s="770" t="s">
        <v>40</v>
      </c>
      <c r="AO607" s="770" t="s">
        <v>493</v>
      </c>
      <c r="AP607" s="770" t="s">
        <v>504</v>
      </c>
      <c r="AQ607" s="770" t="s">
        <v>501</v>
      </c>
      <c r="AR607" s="784" t="s">
        <v>502</v>
      </c>
      <c r="AS607" s="771">
        <v>393.7194473</v>
      </c>
      <c r="AT607" s="771">
        <v>194.2284983</v>
      </c>
      <c r="AU607" s="771">
        <v>671.4349439</v>
      </c>
      <c r="AV607" s="989" t="s">
        <v>233</v>
      </c>
      <c r="AW607" s="714"/>
    </row>
    <row r="608">
      <c r="A608" s="761"/>
      <c r="B608" s="769" t="s">
        <v>493</v>
      </c>
      <c r="C608" s="770" t="s">
        <v>626</v>
      </c>
      <c r="D608" s="770" t="s">
        <v>494</v>
      </c>
      <c r="E608" s="770" t="s">
        <v>495</v>
      </c>
      <c r="F608" s="770" t="s">
        <v>514</v>
      </c>
      <c r="G608" s="770" t="s">
        <v>103</v>
      </c>
      <c r="H608" s="770">
        <v>2019.0</v>
      </c>
      <c r="I608" s="771">
        <v>720377.7672</v>
      </c>
      <c r="J608" s="771">
        <v>891759.2928</v>
      </c>
      <c r="K608" s="772">
        <v>588669.3322</v>
      </c>
      <c r="M608" s="769" t="s">
        <v>493</v>
      </c>
      <c r="N608" s="770" t="s">
        <v>626</v>
      </c>
      <c r="O608" s="770" t="s">
        <v>494</v>
      </c>
      <c r="P608" s="770" t="s">
        <v>495</v>
      </c>
      <c r="Q608" s="770" t="s">
        <v>514</v>
      </c>
      <c r="R608" s="770" t="s">
        <v>497</v>
      </c>
      <c r="S608" s="770">
        <v>2019.0</v>
      </c>
      <c r="T608" s="771">
        <v>615.3353401</v>
      </c>
      <c r="U608" s="771">
        <v>761.7267393</v>
      </c>
      <c r="V608" s="772">
        <v>502.8320698</v>
      </c>
      <c r="X608" s="769" t="s">
        <v>518</v>
      </c>
      <c r="Y608" s="770" t="s">
        <v>494</v>
      </c>
      <c r="Z608" s="770" t="s">
        <v>509</v>
      </c>
      <c r="AA608" s="770" t="s">
        <v>40</v>
      </c>
      <c r="AB608" s="770" t="s">
        <v>493</v>
      </c>
      <c r="AC608" s="770" t="s">
        <v>103</v>
      </c>
      <c r="AD608" s="770" t="s">
        <v>501</v>
      </c>
      <c r="AE608" s="784" t="s">
        <v>502</v>
      </c>
      <c r="AF608" s="771">
        <v>98.09492995</v>
      </c>
      <c r="AG608" s="771">
        <v>49.09777921</v>
      </c>
      <c r="AH608" s="771">
        <v>177.7419826</v>
      </c>
      <c r="AI608" s="772" t="s">
        <v>233</v>
      </c>
      <c r="AK608" s="769" t="s">
        <v>518</v>
      </c>
      <c r="AL608" s="770" t="s">
        <v>494</v>
      </c>
      <c r="AM608" s="770" t="s">
        <v>509</v>
      </c>
      <c r="AN608" s="770" t="s">
        <v>40</v>
      </c>
      <c r="AO608" s="770" t="s">
        <v>493</v>
      </c>
      <c r="AP608" s="770" t="s">
        <v>504</v>
      </c>
      <c r="AQ608" s="770" t="s">
        <v>501</v>
      </c>
      <c r="AR608" s="784" t="s">
        <v>502</v>
      </c>
      <c r="AS608" s="771">
        <v>512.599287</v>
      </c>
      <c r="AT608" s="771">
        <v>256.5625627</v>
      </c>
      <c r="AU608" s="771">
        <v>928.7983955</v>
      </c>
      <c r="AV608" s="989" t="s">
        <v>233</v>
      </c>
      <c r="AW608" s="714"/>
    </row>
    <row r="609">
      <c r="A609" s="761"/>
      <c r="B609" s="769" t="s">
        <v>493</v>
      </c>
      <c r="C609" s="770" t="s">
        <v>626</v>
      </c>
      <c r="D609" s="770" t="s">
        <v>494</v>
      </c>
      <c r="E609" s="770" t="s">
        <v>505</v>
      </c>
      <c r="F609" s="770" t="s">
        <v>514</v>
      </c>
      <c r="G609" s="770" t="s">
        <v>103</v>
      </c>
      <c r="H609" s="770">
        <v>2019.0</v>
      </c>
      <c r="I609" s="771">
        <v>420196.4673</v>
      </c>
      <c r="J609" s="771">
        <v>525316.3174</v>
      </c>
      <c r="K609" s="772">
        <v>342810.0207</v>
      </c>
      <c r="M609" s="769" t="s">
        <v>493</v>
      </c>
      <c r="N609" s="770" t="s">
        <v>626</v>
      </c>
      <c r="O609" s="770" t="s">
        <v>494</v>
      </c>
      <c r="P609" s="770" t="s">
        <v>505</v>
      </c>
      <c r="Q609" s="770" t="s">
        <v>514</v>
      </c>
      <c r="R609" s="770" t="s">
        <v>497</v>
      </c>
      <c r="S609" s="770">
        <v>2019.0</v>
      </c>
      <c r="T609" s="771">
        <v>93959.3285</v>
      </c>
      <c r="U609" s="771">
        <v>117464.9772</v>
      </c>
      <c r="V609" s="772">
        <v>76655.09317</v>
      </c>
      <c r="X609" s="769" t="s">
        <v>518</v>
      </c>
      <c r="Y609" s="770" t="s">
        <v>494</v>
      </c>
      <c r="Z609" s="770" t="s">
        <v>513</v>
      </c>
      <c r="AA609" s="770" t="s">
        <v>40</v>
      </c>
      <c r="AB609" s="770" t="s">
        <v>493</v>
      </c>
      <c r="AC609" s="770" t="s">
        <v>103</v>
      </c>
      <c r="AD609" s="770" t="s">
        <v>501</v>
      </c>
      <c r="AE609" s="784" t="s">
        <v>502</v>
      </c>
      <c r="AF609" s="771">
        <v>1961.576696</v>
      </c>
      <c r="AG609" s="771">
        <v>1037.656692</v>
      </c>
      <c r="AH609" s="771">
        <v>3223.722431</v>
      </c>
      <c r="AI609" s="772" t="s">
        <v>233</v>
      </c>
      <c r="AK609" s="769" t="s">
        <v>518</v>
      </c>
      <c r="AL609" s="770" t="s">
        <v>494</v>
      </c>
      <c r="AM609" s="770" t="s">
        <v>513</v>
      </c>
      <c r="AN609" s="770" t="s">
        <v>40</v>
      </c>
      <c r="AO609" s="770" t="s">
        <v>493</v>
      </c>
      <c r="AP609" s="770" t="s">
        <v>504</v>
      </c>
      <c r="AQ609" s="770" t="s">
        <v>501</v>
      </c>
      <c r="AR609" s="784" t="s">
        <v>502</v>
      </c>
      <c r="AS609" s="771">
        <v>129.8919889</v>
      </c>
      <c r="AT609" s="771">
        <v>68.71171121</v>
      </c>
      <c r="AU609" s="771">
        <v>213.4689503</v>
      </c>
      <c r="AV609" s="989" t="s">
        <v>233</v>
      </c>
      <c r="AW609" s="714"/>
    </row>
    <row r="610">
      <c r="A610" s="761"/>
      <c r="B610" s="769" t="s">
        <v>493</v>
      </c>
      <c r="C610" s="770" t="s">
        <v>626</v>
      </c>
      <c r="D610" s="770" t="s">
        <v>494</v>
      </c>
      <c r="E610" s="770" t="s">
        <v>508</v>
      </c>
      <c r="F610" s="770" t="s">
        <v>514</v>
      </c>
      <c r="G610" s="770" t="s">
        <v>103</v>
      </c>
      <c r="H610" s="770">
        <v>2019.0</v>
      </c>
      <c r="I610" s="771">
        <v>133432.3478</v>
      </c>
      <c r="J610" s="771">
        <v>164451.7353</v>
      </c>
      <c r="K610" s="772">
        <v>108302.2015</v>
      </c>
      <c r="M610" s="769" t="s">
        <v>493</v>
      </c>
      <c r="N610" s="770" t="s">
        <v>626</v>
      </c>
      <c r="O610" s="770" t="s">
        <v>494</v>
      </c>
      <c r="P610" s="770" t="s">
        <v>508</v>
      </c>
      <c r="Q610" s="770" t="s">
        <v>514</v>
      </c>
      <c r="R610" s="770" t="s">
        <v>497</v>
      </c>
      <c r="S610" s="770">
        <v>2019.0</v>
      </c>
      <c r="T610" s="771">
        <v>631.6670767</v>
      </c>
      <c r="U610" s="771">
        <v>778.512472</v>
      </c>
      <c r="V610" s="772">
        <v>512.7012764</v>
      </c>
      <c r="X610" s="769" t="s">
        <v>519</v>
      </c>
      <c r="Y610" s="770" t="s">
        <v>494</v>
      </c>
      <c r="Z610" s="770" t="s">
        <v>499</v>
      </c>
      <c r="AA610" s="770" t="s">
        <v>40</v>
      </c>
      <c r="AB610" s="770" t="s">
        <v>493</v>
      </c>
      <c r="AC610" s="770" t="s">
        <v>103</v>
      </c>
      <c r="AD610" s="770" t="s">
        <v>501</v>
      </c>
      <c r="AE610" s="784" t="s">
        <v>502</v>
      </c>
      <c r="AF610" s="771">
        <v>6392.322875</v>
      </c>
      <c r="AG610" s="771">
        <v>4832.053722</v>
      </c>
      <c r="AH610" s="771">
        <v>8525.431307</v>
      </c>
      <c r="AI610" s="772" t="s">
        <v>233</v>
      </c>
      <c r="AK610" s="769" t="s">
        <v>519</v>
      </c>
      <c r="AL610" s="770" t="s">
        <v>494</v>
      </c>
      <c r="AM610" s="770" t="s">
        <v>499</v>
      </c>
      <c r="AN610" s="770" t="s">
        <v>40</v>
      </c>
      <c r="AO610" s="770" t="s">
        <v>493</v>
      </c>
      <c r="AP610" s="770" t="s">
        <v>504</v>
      </c>
      <c r="AQ610" s="770" t="s">
        <v>501</v>
      </c>
      <c r="AR610" s="784" t="s">
        <v>502</v>
      </c>
      <c r="AS610" s="771">
        <v>98523.8813</v>
      </c>
      <c r="AT610" s="771">
        <v>74475.69478</v>
      </c>
      <c r="AU610" s="771">
        <v>131401.1508</v>
      </c>
      <c r="AV610" s="989" t="s">
        <v>233</v>
      </c>
      <c r="AW610" s="714"/>
    </row>
    <row r="611">
      <c r="A611" s="761"/>
      <c r="B611" s="769" t="s">
        <v>493</v>
      </c>
      <c r="C611" s="770" t="s">
        <v>626</v>
      </c>
      <c r="D611" s="770" t="s">
        <v>494</v>
      </c>
      <c r="E611" s="770" t="s">
        <v>512</v>
      </c>
      <c r="F611" s="770" t="s">
        <v>514</v>
      </c>
      <c r="G611" s="770" t="s">
        <v>103</v>
      </c>
      <c r="H611" s="770">
        <v>2019.0</v>
      </c>
      <c r="I611" s="771">
        <v>87260.37807</v>
      </c>
      <c r="J611" s="771">
        <v>107886.8101</v>
      </c>
      <c r="K611" s="772">
        <v>71302.62015</v>
      </c>
      <c r="M611" s="769" t="s">
        <v>493</v>
      </c>
      <c r="N611" s="770" t="s">
        <v>626</v>
      </c>
      <c r="O611" s="770" t="s">
        <v>494</v>
      </c>
      <c r="P611" s="770" t="s">
        <v>512</v>
      </c>
      <c r="Q611" s="770" t="s">
        <v>514</v>
      </c>
      <c r="R611" s="770" t="s">
        <v>497</v>
      </c>
      <c r="S611" s="770">
        <v>2019.0</v>
      </c>
      <c r="T611" s="771">
        <v>6583.528609</v>
      </c>
      <c r="U611" s="771">
        <v>8139.729815</v>
      </c>
      <c r="V611" s="772">
        <v>5379.564586</v>
      </c>
      <c r="X611" s="769" t="s">
        <v>519</v>
      </c>
      <c r="Y611" s="770" t="s">
        <v>494</v>
      </c>
      <c r="Z611" s="770" t="s">
        <v>507</v>
      </c>
      <c r="AA611" s="770" t="s">
        <v>40</v>
      </c>
      <c r="AB611" s="770" t="s">
        <v>493</v>
      </c>
      <c r="AC611" s="770" t="s">
        <v>103</v>
      </c>
      <c r="AD611" s="770" t="s">
        <v>501</v>
      </c>
      <c r="AE611" s="784" t="s">
        <v>502</v>
      </c>
      <c r="AF611" s="771">
        <v>34.276653</v>
      </c>
      <c r="AG611" s="771">
        <v>18.17885992</v>
      </c>
      <c r="AH611" s="771">
        <v>58.42139483</v>
      </c>
      <c r="AI611" s="772" t="s">
        <v>233</v>
      </c>
      <c r="AK611" s="769" t="s">
        <v>519</v>
      </c>
      <c r="AL611" s="770" t="s">
        <v>494</v>
      </c>
      <c r="AM611" s="770" t="s">
        <v>507</v>
      </c>
      <c r="AN611" s="770" t="s">
        <v>40</v>
      </c>
      <c r="AO611" s="770" t="s">
        <v>493</v>
      </c>
      <c r="AP611" s="770" t="s">
        <v>504</v>
      </c>
      <c r="AQ611" s="770" t="s">
        <v>501</v>
      </c>
      <c r="AR611" s="784" t="s">
        <v>502</v>
      </c>
      <c r="AS611" s="771">
        <v>11.58169202</v>
      </c>
      <c r="AT611" s="771">
        <v>6.142430443</v>
      </c>
      <c r="AU611" s="771">
        <v>19.73992625</v>
      </c>
      <c r="AV611" s="989" t="s">
        <v>233</v>
      </c>
      <c r="AW611" s="714"/>
    </row>
    <row r="612">
      <c r="A612" s="761"/>
      <c r="B612" s="769" t="s">
        <v>493</v>
      </c>
      <c r="C612" s="770" t="s">
        <v>626</v>
      </c>
      <c r="D612" s="770" t="s">
        <v>494</v>
      </c>
      <c r="E612" s="770" t="s">
        <v>495</v>
      </c>
      <c r="F612" s="770" t="s">
        <v>518</v>
      </c>
      <c r="G612" s="770" t="s">
        <v>103</v>
      </c>
      <c r="H612" s="770">
        <v>2019.0</v>
      </c>
      <c r="I612" s="771">
        <v>55309.61356</v>
      </c>
      <c r="J612" s="771">
        <v>73621.29052</v>
      </c>
      <c r="K612" s="772">
        <v>39882.767</v>
      </c>
      <c r="M612" s="769" t="s">
        <v>493</v>
      </c>
      <c r="N612" s="770" t="s">
        <v>626</v>
      </c>
      <c r="O612" s="770" t="s">
        <v>494</v>
      </c>
      <c r="P612" s="770" t="s">
        <v>495</v>
      </c>
      <c r="Q612" s="770" t="s">
        <v>518</v>
      </c>
      <c r="R612" s="770" t="s">
        <v>497</v>
      </c>
      <c r="S612" s="770">
        <v>2019.0</v>
      </c>
      <c r="T612" s="771">
        <v>47.24460057</v>
      </c>
      <c r="U612" s="771">
        <v>62.88614655</v>
      </c>
      <c r="V612" s="772">
        <v>34.06723127</v>
      </c>
      <c r="X612" s="769" t="s">
        <v>519</v>
      </c>
      <c r="Y612" s="770" t="s">
        <v>494</v>
      </c>
      <c r="Z612" s="770" t="s">
        <v>509</v>
      </c>
      <c r="AA612" s="770" t="s">
        <v>40</v>
      </c>
      <c r="AB612" s="770" t="s">
        <v>493</v>
      </c>
      <c r="AC612" s="770" t="s">
        <v>103</v>
      </c>
      <c r="AD612" s="770" t="s">
        <v>501</v>
      </c>
      <c r="AE612" s="784" t="s">
        <v>502</v>
      </c>
      <c r="AF612" s="771">
        <v>566.2539728</v>
      </c>
      <c r="AG612" s="771">
        <v>385.9445888</v>
      </c>
      <c r="AH612" s="771">
        <v>813.670551</v>
      </c>
      <c r="AI612" s="772" t="s">
        <v>233</v>
      </c>
      <c r="AK612" s="769" t="s">
        <v>519</v>
      </c>
      <c r="AL612" s="770" t="s">
        <v>494</v>
      </c>
      <c r="AM612" s="770" t="s">
        <v>509</v>
      </c>
      <c r="AN612" s="770" t="s">
        <v>40</v>
      </c>
      <c r="AO612" s="770" t="s">
        <v>493</v>
      </c>
      <c r="AP612" s="770" t="s">
        <v>504</v>
      </c>
      <c r="AQ612" s="770" t="s">
        <v>501</v>
      </c>
      <c r="AR612" s="784" t="s">
        <v>502</v>
      </c>
      <c r="AS612" s="771">
        <v>2958.984556</v>
      </c>
      <c r="AT612" s="771">
        <v>2016.770093</v>
      </c>
      <c r="AU612" s="771">
        <v>4251.870556</v>
      </c>
      <c r="AV612" s="989" t="s">
        <v>233</v>
      </c>
      <c r="AW612" s="714"/>
    </row>
    <row r="613">
      <c r="A613" s="761"/>
      <c r="B613" s="769" t="s">
        <v>493</v>
      </c>
      <c r="C613" s="770" t="s">
        <v>626</v>
      </c>
      <c r="D613" s="770" t="s">
        <v>494</v>
      </c>
      <c r="E613" s="770" t="s">
        <v>505</v>
      </c>
      <c r="F613" s="770" t="s">
        <v>518</v>
      </c>
      <c r="G613" s="770" t="s">
        <v>103</v>
      </c>
      <c r="H613" s="770">
        <v>2019.0</v>
      </c>
      <c r="I613" s="771">
        <v>3910.271286</v>
      </c>
      <c r="J613" s="771">
        <v>6373.527529</v>
      </c>
      <c r="K613" s="772">
        <v>2494.798088</v>
      </c>
      <c r="M613" s="769" t="s">
        <v>493</v>
      </c>
      <c r="N613" s="770" t="s">
        <v>626</v>
      </c>
      <c r="O613" s="770" t="s">
        <v>494</v>
      </c>
      <c r="P613" s="770" t="s">
        <v>505</v>
      </c>
      <c r="Q613" s="770" t="s">
        <v>518</v>
      </c>
      <c r="R613" s="770" t="s">
        <v>497</v>
      </c>
      <c r="S613" s="770">
        <v>2019.0</v>
      </c>
      <c r="T613" s="771">
        <v>874.3682844</v>
      </c>
      <c r="U613" s="771">
        <v>1425.172302</v>
      </c>
      <c r="V613" s="772">
        <v>557.8570296</v>
      </c>
      <c r="X613" s="769" t="s">
        <v>519</v>
      </c>
      <c r="Y613" s="770" t="s">
        <v>494</v>
      </c>
      <c r="Z613" s="770" t="s">
        <v>513</v>
      </c>
      <c r="AA613" s="770" t="s">
        <v>40</v>
      </c>
      <c r="AB613" s="770" t="s">
        <v>493</v>
      </c>
      <c r="AC613" s="770" t="s">
        <v>103</v>
      </c>
      <c r="AD613" s="770" t="s">
        <v>501</v>
      </c>
      <c r="AE613" s="784" t="s">
        <v>502</v>
      </c>
      <c r="AF613" s="771">
        <v>6997.868826</v>
      </c>
      <c r="AG613" s="771">
        <v>5323.899788</v>
      </c>
      <c r="AH613" s="771">
        <v>9310.221265</v>
      </c>
      <c r="AI613" s="772" t="s">
        <v>233</v>
      </c>
      <c r="AK613" s="769" t="s">
        <v>519</v>
      </c>
      <c r="AL613" s="770" t="s">
        <v>494</v>
      </c>
      <c r="AM613" s="770" t="s">
        <v>513</v>
      </c>
      <c r="AN613" s="770" t="s">
        <v>40</v>
      </c>
      <c r="AO613" s="770" t="s">
        <v>493</v>
      </c>
      <c r="AP613" s="770" t="s">
        <v>504</v>
      </c>
      <c r="AQ613" s="770" t="s">
        <v>501</v>
      </c>
      <c r="AR613" s="784" t="s">
        <v>502</v>
      </c>
      <c r="AS613" s="771">
        <v>463.3859597</v>
      </c>
      <c r="AT613" s="771">
        <v>352.5388192</v>
      </c>
      <c r="AU613" s="771">
        <v>616.505671</v>
      </c>
      <c r="AV613" s="989" t="s">
        <v>233</v>
      </c>
      <c r="AW613" s="714"/>
    </row>
    <row r="614">
      <c r="A614" s="761"/>
      <c r="B614" s="769" t="s">
        <v>493</v>
      </c>
      <c r="C614" s="770" t="s">
        <v>626</v>
      </c>
      <c r="D614" s="770" t="s">
        <v>494</v>
      </c>
      <c r="E614" s="770" t="s">
        <v>508</v>
      </c>
      <c r="F614" s="770" t="s">
        <v>518</v>
      </c>
      <c r="G614" s="770" t="s">
        <v>103</v>
      </c>
      <c r="H614" s="770">
        <v>2019.0</v>
      </c>
      <c r="I614" s="771">
        <v>28955.46087</v>
      </c>
      <c r="J614" s="771">
        <v>39500.48569</v>
      </c>
      <c r="K614" s="772">
        <v>20636.08771</v>
      </c>
      <c r="M614" s="769" t="s">
        <v>493</v>
      </c>
      <c r="N614" s="770" t="s">
        <v>626</v>
      </c>
      <c r="O614" s="770" t="s">
        <v>494</v>
      </c>
      <c r="P614" s="770" t="s">
        <v>508</v>
      </c>
      <c r="Q614" s="770" t="s">
        <v>518</v>
      </c>
      <c r="R614" s="770" t="s">
        <v>497</v>
      </c>
      <c r="S614" s="770">
        <v>2019.0</v>
      </c>
      <c r="T614" s="771">
        <v>137.0747921</v>
      </c>
      <c r="U614" s="771">
        <v>186.9948085</v>
      </c>
      <c r="V614" s="772">
        <v>97.69098285</v>
      </c>
      <c r="X614" s="769" t="s">
        <v>521</v>
      </c>
      <c r="Y614" s="770" t="s">
        <v>494</v>
      </c>
      <c r="Z614" s="770" t="s">
        <v>499</v>
      </c>
      <c r="AA614" s="770" t="s">
        <v>40</v>
      </c>
      <c r="AB614" s="770" t="s">
        <v>493</v>
      </c>
      <c r="AC614" s="770" t="s">
        <v>103</v>
      </c>
      <c r="AD614" s="770" t="s">
        <v>501</v>
      </c>
      <c r="AE614" s="784" t="s">
        <v>502</v>
      </c>
      <c r="AF614" s="771">
        <v>0.0</v>
      </c>
      <c r="AG614" s="771">
        <v>0.0</v>
      </c>
      <c r="AH614" s="771">
        <v>0.0</v>
      </c>
      <c r="AI614" s="772" t="s">
        <v>233</v>
      </c>
      <c r="AK614" s="769" t="s">
        <v>521</v>
      </c>
      <c r="AL614" s="770" t="s">
        <v>494</v>
      </c>
      <c r="AM614" s="770" t="s">
        <v>499</v>
      </c>
      <c r="AN614" s="770" t="s">
        <v>40</v>
      </c>
      <c r="AO614" s="770" t="s">
        <v>493</v>
      </c>
      <c r="AP614" s="770" t="s">
        <v>504</v>
      </c>
      <c r="AQ614" s="770" t="s">
        <v>501</v>
      </c>
      <c r="AR614" s="784" t="s">
        <v>502</v>
      </c>
      <c r="AS614" s="771">
        <v>0.0</v>
      </c>
      <c r="AT614" s="771">
        <v>0.0</v>
      </c>
      <c r="AU614" s="771">
        <v>0.0</v>
      </c>
      <c r="AV614" s="989" t="s">
        <v>233</v>
      </c>
      <c r="AW614" s="714"/>
    </row>
    <row r="615">
      <c r="A615" s="761"/>
      <c r="B615" s="769" t="s">
        <v>493</v>
      </c>
      <c r="C615" s="770" t="s">
        <v>626</v>
      </c>
      <c r="D615" s="770" t="s">
        <v>494</v>
      </c>
      <c r="E615" s="770" t="s">
        <v>512</v>
      </c>
      <c r="F615" s="770" t="s">
        <v>518</v>
      </c>
      <c r="G615" s="770" t="s">
        <v>103</v>
      </c>
      <c r="H615" s="770">
        <v>2019.0</v>
      </c>
      <c r="I615" s="771">
        <v>5574.514338</v>
      </c>
      <c r="J615" s="771">
        <v>8664.157053</v>
      </c>
      <c r="K615" s="772">
        <v>3480.946743</v>
      </c>
      <c r="M615" s="769" t="s">
        <v>493</v>
      </c>
      <c r="N615" s="770" t="s">
        <v>626</v>
      </c>
      <c r="O615" s="770" t="s">
        <v>494</v>
      </c>
      <c r="P615" s="770" t="s">
        <v>512</v>
      </c>
      <c r="Q615" s="770" t="s">
        <v>518</v>
      </c>
      <c r="R615" s="770" t="s">
        <v>497</v>
      </c>
      <c r="S615" s="770">
        <v>2019.0</v>
      </c>
      <c r="T615" s="771">
        <v>420.5800552</v>
      </c>
      <c r="U615" s="771">
        <v>653.6841472</v>
      </c>
      <c r="V615" s="772">
        <v>262.6267841</v>
      </c>
      <c r="X615" s="769" t="s">
        <v>521</v>
      </c>
      <c r="Y615" s="770" t="s">
        <v>494</v>
      </c>
      <c r="Z615" s="770" t="s">
        <v>507</v>
      </c>
      <c r="AA615" s="770" t="s">
        <v>40</v>
      </c>
      <c r="AB615" s="770" t="s">
        <v>493</v>
      </c>
      <c r="AC615" s="770" t="s">
        <v>103</v>
      </c>
      <c r="AD615" s="770" t="s">
        <v>501</v>
      </c>
      <c r="AE615" s="784" t="s">
        <v>502</v>
      </c>
      <c r="AF615" s="771">
        <v>13.68694176</v>
      </c>
      <c r="AG615" s="771">
        <v>3.829076404</v>
      </c>
      <c r="AH615" s="771">
        <v>34.26285113</v>
      </c>
      <c r="AI615" s="772" t="s">
        <v>233</v>
      </c>
      <c r="AK615" s="769" t="s">
        <v>521</v>
      </c>
      <c r="AL615" s="770" t="s">
        <v>494</v>
      </c>
      <c r="AM615" s="770" t="s">
        <v>507</v>
      </c>
      <c r="AN615" s="770" t="s">
        <v>40</v>
      </c>
      <c r="AO615" s="770" t="s">
        <v>493</v>
      </c>
      <c r="AP615" s="770" t="s">
        <v>504</v>
      </c>
      <c r="AQ615" s="770" t="s">
        <v>501</v>
      </c>
      <c r="AR615" s="784" t="s">
        <v>502</v>
      </c>
      <c r="AS615" s="771">
        <v>4.624662277</v>
      </c>
      <c r="AT615" s="771">
        <v>1.293801458</v>
      </c>
      <c r="AU615" s="771">
        <v>11.57702852</v>
      </c>
      <c r="AV615" s="989" t="s">
        <v>233</v>
      </c>
      <c r="AW615" s="714"/>
    </row>
    <row r="616">
      <c r="A616" s="761"/>
      <c r="B616" s="769" t="s">
        <v>493</v>
      </c>
      <c r="C616" s="770" t="s">
        <v>626</v>
      </c>
      <c r="D616" s="770" t="s">
        <v>494</v>
      </c>
      <c r="E616" s="770" t="s">
        <v>495</v>
      </c>
      <c r="F616" s="770" t="s">
        <v>519</v>
      </c>
      <c r="G616" s="770" t="s">
        <v>103</v>
      </c>
      <c r="H616" s="770">
        <v>2019.0</v>
      </c>
      <c r="I616" s="771">
        <v>438003.7361</v>
      </c>
      <c r="J616" s="771">
        <v>544726.475</v>
      </c>
      <c r="K616" s="772">
        <v>359158.5367</v>
      </c>
      <c r="M616" s="769" t="s">
        <v>493</v>
      </c>
      <c r="N616" s="770" t="s">
        <v>626</v>
      </c>
      <c r="O616" s="770" t="s">
        <v>494</v>
      </c>
      <c r="P616" s="770" t="s">
        <v>495</v>
      </c>
      <c r="Q616" s="770" t="s">
        <v>519</v>
      </c>
      <c r="R616" s="770" t="s">
        <v>497</v>
      </c>
      <c r="S616" s="770">
        <v>2019.0</v>
      </c>
      <c r="T616" s="771">
        <v>374.1358911</v>
      </c>
      <c r="U616" s="771">
        <v>465.2967735</v>
      </c>
      <c r="V616" s="772">
        <v>306.787564</v>
      </c>
      <c r="X616" s="769" t="s">
        <v>521</v>
      </c>
      <c r="Y616" s="770" t="s">
        <v>494</v>
      </c>
      <c r="Z616" s="770" t="s">
        <v>509</v>
      </c>
      <c r="AA616" s="770" t="s">
        <v>40</v>
      </c>
      <c r="AB616" s="770" t="s">
        <v>493</v>
      </c>
      <c r="AC616" s="770" t="s">
        <v>103</v>
      </c>
      <c r="AD616" s="770" t="s">
        <v>501</v>
      </c>
      <c r="AE616" s="784" t="s">
        <v>502</v>
      </c>
      <c r="AF616" s="771">
        <v>0.0</v>
      </c>
      <c r="AG616" s="771">
        <v>0.0</v>
      </c>
      <c r="AH616" s="771">
        <v>0.0</v>
      </c>
      <c r="AI616" s="772" t="s">
        <v>233</v>
      </c>
      <c r="AK616" s="769" t="s">
        <v>521</v>
      </c>
      <c r="AL616" s="770" t="s">
        <v>494</v>
      </c>
      <c r="AM616" s="770" t="s">
        <v>509</v>
      </c>
      <c r="AN616" s="770" t="s">
        <v>40</v>
      </c>
      <c r="AO616" s="770" t="s">
        <v>493</v>
      </c>
      <c r="AP616" s="770" t="s">
        <v>504</v>
      </c>
      <c r="AQ616" s="770" t="s">
        <v>501</v>
      </c>
      <c r="AR616" s="784" t="s">
        <v>502</v>
      </c>
      <c r="AS616" s="771">
        <v>0.0</v>
      </c>
      <c r="AT616" s="771">
        <v>0.0</v>
      </c>
      <c r="AU616" s="771">
        <v>0.0</v>
      </c>
      <c r="AV616" s="989" t="s">
        <v>233</v>
      </c>
      <c r="AW616" s="714"/>
    </row>
    <row r="617">
      <c r="A617" s="761"/>
      <c r="B617" s="769" t="s">
        <v>493</v>
      </c>
      <c r="C617" s="770" t="s">
        <v>626</v>
      </c>
      <c r="D617" s="770" t="s">
        <v>494</v>
      </c>
      <c r="E617" s="770" t="s">
        <v>505</v>
      </c>
      <c r="F617" s="770" t="s">
        <v>519</v>
      </c>
      <c r="G617" s="770" t="s">
        <v>103</v>
      </c>
      <c r="H617" s="770">
        <v>2019.0</v>
      </c>
      <c r="I617" s="771">
        <v>375006.7614</v>
      </c>
      <c r="J617" s="771">
        <v>468127.0723</v>
      </c>
      <c r="K617" s="772">
        <v>306535.0233</v>
      </c>
      <c r="M617" s="769" t="s">
        <v>493</v>
      </c>
      <c r="N617" s="770" t="s">
        <v>626</v>
      </c>
      <c r="O617" s="770" t="s">
        <v>494</v>
      </c>
      <c r="P617" s="770" t="s">
        <v>505</v>
      </c>
      <c r="Q617" s="770" t="s">
        <v>519</v>
      </c>
      <c r="R617" s="770" t="s">
        <v>497</v>
      </c>
      <c r="S617" s="770">
        <v>2019.0</v>
      </c>
      <c r="T617" s="771">
        <v>83854.54477</v>
      </c>
      <c r="U617" s="771">
        <v>104676.9994</v>
      </c>
      <c r="V617" s="772">
        <v>68543.71037</v>
      </c>
      <c r="X617" s="769" t="s">
        <v>521</v>
      </c>
      <c r="Y617" s="770" t="s">
        <v>494</v>
      </c>
      <c r="Z617" s="770" t="s">
        <v>513</v>
      </c>
      <c r="AA617" s="770" t="s">
        <v>40</v>
      </c>
      <c r="AB617" s="770" t="s">
        <v>493</v>
      </c>
      <c r="AC617" s="770" t="s">
        <v>103</v>
      </c>
      <c r="AD617" s="770" t="s">
        <v>501</v>
      </c>
      <c r="AE617" s="784" t="s">
        <v>502</v>
      </c>
      <c r="AF617" s="771">
        <v>55.7358234</v>
      </c>
      <c r="AG617" s="771">
        <v>14.46321695</v>
      </c>
      <c r="AH617" s="771">
        <v>148.7353009</v>
      </c>
      <c r="AI617" s="772" t="s">
        <v>233</v>
      </c>
      <c r="AK617" s="769" t="s">
        <v>521</v>
      </c>
      <c r="AL617" s="770" t="s">
        <v>494</v>
      </c>
      <c r="AM617" s="770" t="s">
        <v>513</v>
      </c>
      <c r="AN617" s="770" t="s">
        <v>40</v>
      </c>
      <c r="AO617" s="770" t="s">
        <v>493</v>
      </c>
      <c r="AP617" s="770" t="s">
        <v>504</v>
      </c>
      <c r="AQ617" s="770" t="s">
        <v>501</v>
      </c>
      <c r="AR617" s="784" t="s">
        <v>502</v>
      </c>
      <c r="AS617" s="771">
        <v>3.69072337</v>
      </c>
      <c r="AT617" s="771">
        <v>0.9577275361</v>
      </c>
      <c r="AU617" s="771">
        <v>9.84897715</v>
      </c>
      <c r="AV617" s="989" t="s">
        <v>233</v>
      </c>
      <c r="AW617" s="714"/>
    </row>
    <row r="618">
      <c r="A618" s="761"/>
      <c r="B618" s="769" t="s">
        <v>493</v>
      </c>
      <c r="C618" s="770" t="s">
        <v>626</v>
      </c>
      <c r="D618" s="770" t="s">
        <v>494</v>
      </c>
      <c r="E618" s="770" t="s">
        <v>508</v>
      </c>
      <c r="F618" s="770" t="s">
        <v>519</v>
      </c>
      <c r="G618" s="770" t="s">
        <v>103</v>
      </c>
      <c r="H618" s="770">
        <v>2019.0</v>
      </c>
      <c r="I618" s="771">
        <v>7913.536436</v>
      </c>
      <c r="J618" s="771">
        <v>10666.79815</v>
      </c>
      <c r="K618" s="772">
        <v>5940.117248</v>
      </c>
      <c r="M618" s="769" t="s">
        <v>493</v>
      </c>
      <c r="N618" s="770" t="s">
        <v>626</v>
      </c>
      <c r="O618" s="770" t="s">
        <v>494</v>
      </c>
      <c r="P618" s="770" t="s">
        <v>508</v>
      </c>
      <c r="Q618" s="770" t="s">
        <v>519</v>
      </c>
      <c r="R618" s="770" t="s">
        <v>497</v>
      </c>
      <c r="S618" s="770">
        <v>2019.0</v>
      </c>
      <c r="T618" s="771">
        <v>37.46258317</v>
      </c>
      <c r="U618" s="771">
        <v>50.49648992</v>
      </c>
      <c r="V618" s="772">
        <v>28.12044126</v>
      </c>
      <c r="X618" s="769" t="s">
        <v>523</v>
      </c>
      <c r="Y618" s="770" t="s">
        <v>494</v>
      </c>
      <c r="Z618" s="770" t="s">
        <v>507</v>
      </c>
      <c r="AA618" s="770" t="s">
        <v>40</v>
      </c>
      <c r="AB618" s="770" t="s">
        <v>493</v>
      </c>
      <c r="AC618" s="770" t="s">
        <v>103</v>
      </c>
      <c r="AD618" s="770" t="s">
        <v>501</v>
      </c>
      <c r="AE618" s="784" t="s">
        <v>502</v>
      </c>
      <c r="AF618" s="771">
        <v>52.91201047</v>
      </c>
      <c r="AG618" s="771">
        <v>24.06111089</v>
      </c>
      <c r="AH618" s="771">
        <v>103.3186019</v>
      </c>
      <c r="AI618" s="772" t="s">
        <v>233</v>
      </c>
      <c r="AK618" s="769" t="s">
        <v>523</v>
      </c>
      <c r="AL618" s="770" t="s">
        <v>494</v>
      </c>
      <c r="AM618" s="770" t="s">
        <v>507</v>
      </c>
      <c r="AN618" s="770" t="s">
        <v>40</v>
      </c>
      <c r="AO618" s="770" t="s">
        <v>493</v>
      </c>
      <c r="AP618" s="770" t="s">
        <v>504</v>
      </c>
      <c r="AQ618" s="770" t="s">
        <v>501</v>
      </c>
      <c r="AR618" s="784" t="s">
        <v>502</v>
      </c>
      <c r="AS618" s="771">
        <v>17.8783678</v>
      </c>
      <c r="AT618" s="771">
        <v>8.129976284</v>
      </c>
      <c r="AU618" s="771">
        <v>34.91018294</v>
      </c>
      <c r="AV618" s="989" t="s">
        <v>233</v>
      </c>
      <c r="AW618" s="714"/>
    </row>
    <row r="619">
      <c r="A619" s="761"/>
      <c r="B619" s="769" t="s">
        <v>493</v>
      </c>
      <c r="C619" s="770" t="s">
        <v>626</v>
      </c>
      <c r="D619" s="770" t="s">
        <v>494</v>
      </c>
      <c r="E619" s="770" t="s">
        <v>512</v>
      </c>
      <c r="F619" s="770" t="s">
        <v>519</v>
      </c>
      <c r="G619" s="770" t="s">
        <v>103</v>
      </c>
      <c r="H619" s="770">
        <v>2019.0</v>
      </c>
      <c r="I619" s="771">
        <v>54629.07109</v>
      </c>
      <c r="J619" s="771">
        <v>67367.21041</v>
      </c>
      <c r="K619" s="772">
        <v>44051.1642</v>
      </c>
      <c r="M619" s="769" t="s">
        <v>493</v>
      </c>
      <c r="N619" s="770" t="s">
        <v>626</v>
      </c>
      <c r="O619" s="770" t="s">
        <v>494</v>
      </c>
      <c r="P619" s="770" t="s">
        <v>512</v>
      </c>
      <c r="Q619" s="770" t="s">
        <v>519</v>
      </c>
      <c r="R619" s="770" t="s">
        <v>497</v>
      </c>
      <c r="S619" s="770">
        <v>2019.0</v>
      </c>
      <c r="T619" s="771">
        <v>4121.596312</v>
      </c>
      <c r="U619" s="771">
        <v>5082.649959</v>
      </c>
      <c r="V619" s="772">
        <v>3323.525593</v>
      </c>
      <c r="X619" s="769" t="s">
        <v>523</v>
      </c>
      <c r="Y619" s="770" t="s">
        <v>494</v>
      </c>
      <c r="Z619" s="770" t="s">
        <v>513</v>
      </c>
      <c r="AA619" s="770" t="s">
        <v>40</v>
      </c>
      <c r="AB619" s="770" t="s">
        <v>493</v>
      </c>
      <c r="AC619" s="770" t="s">
        <v>103</v>
      </c>
      <c r="AD619" s="770" t="s">
        <v>501</v>
      </c>
      <c r="AE619" s="784" t="s">
        <v>502</v>
      </c>
      <c r="AF619" s="771">
        <v>81.16861838</v>
      </c>
      <c r="AG619" s="771">
        <v>39.77532549</v>
      </c>
      <c r="AH619" s="771">
        <v>147.0724651</v>
      </c>
      <c r="AI619" s="772" t="s">
        <v>233</v>
      </c>
      <c r="AK619" s="769" t="s">
        <v>523</v>
      </c>
      <c r="AL619" s="770" t="s">
        <v>494</v>
      </c>
      <c r="AM619" s="770" t="s">
        <v>513</v>
      </c>
      <c r="AN619" s="770" t="s">
        <v>40</v>
      </c>
      <c r="AO619" s="770" t="s">
        <v>493</v>
      </c>
      <c r="AP619" s="770" t="s">
        <v>504</v>
      </c>
      <c r="AQ619" s="770" t="s">
        <v>501</v>
      </c>
      <c r="AR619" s="784" t="s">
        <v>502</v>
      </c>
      <c r="AS619" s="771">
        <v>5.37483612</v>
      </c>
      <c r="AT619" s="771">
        <v>2.633848652</v>
      </c>
      <c r="AU619" s="771">
        <v>9.738867229</v>
      </c>
      <c r="AV619" s="989" t="s">
        <v>233</v>
      </c>
      <c r="AW619" s="714"/>
    </row>
    <row r="620">
      <c r="A620" s="761"/>
      <c r="B620" s="769" t="s">
        <v>493</v>
      </c>
      <c r="C620" s="770" t="s">
        <v>626</v>
      </c>
      <c r="D620" s="770" t="s">
        <v>494</v>
      </c>
      <c r="E620" s="770" t="s">
        <v>495</v>
      </c>
      <c r="F620" s="770" t="s">
        <v>521</v>
      </c>
      <c r="G620" s="770" t="s">
        <v>103</v>
      </c>
      <c r="H620" s="770">
        <v>2019.0</v>
      </c>
      <c r="I620" s="771">
        <v>4064.068498</v>
      </c>
      <c r="J620" s="771">
        <v>9491.82855</v>
      </c>
      <c r="K620" s="772">
        <v>1282.256825</v>
      </c>
      <c r="M620" s="769" t="s">
        <v>493</v>
      </c>
      <c r="N620" s="770" t="s">
        <v>626</v>
      </c>
      <c r="O620" s="770" t="s">
        <v>494</v>
      </c>
      <c r="P620" s="770" t="s">
        <v>495</v>
      </c>
      <c r="Q620" s="770" t="s">
        <v>521</v>
      </c>
      <c r="R620" s="770" t="s">
        <v>497</v>
      </c>
      <c r="S620" s="770">
        <v>2019.0</v>
      </c>
      <c r="T620" s="771">
        <v>3.471463287</v>
      </c>
      <c r="U620" s="771">
        <v>8.107770415</v>
      </c>
      <c r="V620" s="772">
        <v>1.095283579</v>
      </c>
      <c r="X620" s="769" t="s">
        <v>496</v>
      </c>
      <c r="Y620" s="770" t="s">
        <v>494</v>
      </c>
      <c r="Z620" s="770" t="s">
        <v>499</v>
      </c>
      <c r="AA620" s="770" t="s">
        <v>627</v>
      </c>
      <c r="AB620" s="770" t="s">
        <v>493</v>
      </c>
      <c r="AC620" s="770" t="s">
        <v>103</v>
      </c>
      <c r="AD620" s="770" t="s">
        <v>501</v>
      </c>
      <c r="AE620" s="784" t="s">
        <v>502</v>
      </c>
      <c r="AF620" s="771">
        <v>2054.982362</v>
      </c>
      <c r="AG620" s="771">
        <v>1527.975455</v>
      </c>
      <c r="AH620" s="771">
        <v>2781.213736</v>
      </c>
      <c r="AI620" s="772" t="s">
        <v>233</v>
      </c>
      <c r="AK620" s="769" t="s">
        <v>496</v>
      </c>
      <c r="AL620" s="770" t="s">
        <v>494</v>
      </c>
      <c r="AM620" s="770" t="s">
        <v>499</v>
      </c>
      <c r="AN620" s="770" t="s">
        <v>627</v>
      </c>
      <c r="AO620" s="770" t="s">
        <v>493</v>
      </c>
      <c r="AP620" s="770" t="s">
        <v>504</v>
      </c>
      <c r="AQ620" s="770" t="s">
        <v>501</v>
      </c>
      <c r="AR620" s="784" t="s">
        <v>502</v>
      </c>
      <c r="AS620" s="771">
        <v>125979.0833</v>
      </c>
      <c r="AT620" s="771">
        <v>93671.33781</v>
      </c>
      <c r="AU620" s="771">
        <v>170500.1285</v>
      </c>
      <c r="AV620" s="989" t="s">
        <v>233</v>
      </c>
      <c r="AW620" s="714"/>
    </row>
    <row r="621">
      <c r="A621" s="761"/>
      <c r="B621" s="769" t="s">
        <v>493</v>
      </c>
      <c r="C621" s="770" t="s">
        <v>626</v>
      </c>
      <c r="D621" s="770" t="s">
        <v>494</v>
      </c>
      <c r="E621" s="770" t="s">
        <v>505</v>
      </c>
      <c r="F621" s="770" t="s">
        <v>521</v>
      </c>
      <c r="G621" s="770" t="s">
        <v>103</v>
      </c>
      <c r="H621" s="770">
        <v>2019.0</v>
      </c>
      <c r="I621" s="771">
        <v>0.0</v>
      </c>
      <c r="J621" s="771">
        <v>0.0</v>
      </c>
      <c r="K621" s="772">
        <v>0.0</v>
      </c>
      <c r="M621" s="769" t="s">
        <v>493</v>
      </c>
      <c r="N621" s="770" t="s">
        <v>626</v>
      </c>
      <c r="O621" s="770" t="s">
        <v>494</v>
      </c>
      <c r="P621" s="770" t="s">
        <v>505</v>
      </c>
      <c r="Q621" s="770" t="s">
        <v>521</v>
      </c>
      <c r="R621" s="770" t="s">
        <v>497</v>
      </c>
      <c r="S621" s="770">
        <v>2019.0</v>
      </c>
      <c r="T621" s="771">
        <v>0.0</v>
      </c>
      <c r="U621" s="771">
        <v>0.0</v>
      </c>
      <c r="V621" s="772">
        <v>0.0</v>
      </c>
      <c r="X621" s="769" t="s">
        <v>496</v>
      </c>
      <c r="Y621" s="770" t="s">
        <v>494</v>
      </c>
      <c r="Z621" s="770" t="s">
        <v>507</v>
      </c>
      <c r="AA621" s="770" t="s">
        <v>627</v>
      </c>
      <c r="AB621" s="770" t="s">
        <v>493</v>
      </c>
      <c r="AC621" s="770" t="s">
        <v>103</v>
      </c>
      <c r="AD621" s="770" t="s">
        <v>501</v>
      </c>
      <c r="AE621" s="784" t="s">
        <v>502</v>
      </c>
      <c r="AF621" s="771">
        <v>1318.232922</v>
      </c>
      <c r="AG621" s="771">
        <v>975.0550258</v>
      </c>
      <c r="AH621" s="771">
        <v>1791.929375</v>
      </c>
      <c r="AI621" s="772" t="s">
        <v>233</v>
      </c>
      <c r="AK621" s="769" t="s">
        <v>496</v>
      </c>
      <c r="AL621" s="770" t="s">
        <v>494</v>
      </c>
      <c r="AM621" s="770" t="s">
        <v>507</v>
      </c>
      <c r="AN621" s="770" t="s">
        <v>627</v>
      </c>
      <c r="AO621" s="770" t="s">
        <v>493</v>
      </c>
      <c r="AP621" s="770" t="s">
        <v>504</v>
      </c>
      <c r="AQ621" s="770" t="s">
        <v>501</v>
      </c>
      <c r="AR621" s="784" t="s">
        <v>502</v>
      </c>
      <c r="AS621" s="771">
        <v>1715.008175</v>
      </c>
      <c r="AT621" s="771">
        <v>1268.537079</v>
      </c>
      <c r="AU621" s="771">
        <v>2331.282641</v>
      </c>
      <c r="AV621" s="989" t="s">
        <v>233</v>
      </c>
      <c r="AW621" s="714"/>
    </row>
    <row r="622">
      <c r="A622" s="761"/>
      <c r="B622" s="769" t="s">
        <v>493</v>
      </c>
      <c r="C622" s="770" t="s">
        <v>626</v>
      </c>
      <c r="D622" s="770" t="s">
        <v>494</v>
      </c>
      <c r="E622" s="770" t="s">
        <v>508</v>
      </c>
      <c r="F622" s="770" t="s">
        <v>521</v>
      </c>
      <c r="G622" s="770" t="s">
        <v>103</v>
      </c>
      <c r="H622" s="770">
        <v>2019.0</v>
      </c>
      <c r="I622" s="771">
        <v>1252.691678</v>
      </c>
      <c r="J622" s="771">
        <v>2975.0414</v>
      </c>
      <c r="K622" s="772">
        <v>398.1135769</v>
      </c>
      <c r="M622" s="769" t="s">
        <v>493</v>
      </c>
      <c r="N622" s="770" t="s">
        <v>626</v>
      </c>
      <c r="O622" s="770" t="s">
        <v>494</v>
      </c>
      <c r="P622" s="770" t="s">
        <v>508</v>
      </c>
      <c r="Q622" s="770" t="s">
        <v>521</v>
      </c>
      <c r="R622" s="770" t="s">
        <v>497</v>
      </c>
      <c r="S622" s="770">
        <v>2019.0</v>
      </c>
      <c r="T622" s="771">
        <v>5.930226843</v>
      </c>
      <c r="U622" s="771">
        <v>14.08380903</v>
      </c>
      <c r="V622" s="772">
        <v>1.884664727</v>
      </c>
      <c r="X622" s="769" t="s">
        <v>496</v>
      </c>
      <c r="Y622" s="770" t="s">
        <v>494</v>
      </c>
      <c r="Z622" s="770" t="s">
        <v>509</v>
      </c>
      <c r="AA622" s="770" t="s">
        <v>627</v>
      </c>
      <c r="AB622" s="770" t="s">
        <v>493</v>
      </c>
      <c r="AC622" s="770" t="s">
        <v>103</v>
      </c>
      <c r="AD622" s="770" t="s">
        <v>501</v>
      </c>
      <c r="AE622" s="784" t="s">
        <v>502</v>
      </c>
      <c r="AF622" s="771">
        <v>370.2500612</v>
      </c>
      <c r="AG622" s="771">
        <v>273.7636813</v>
      </c>
      <c r="AH622" s="771">
        <v>504.2395661</v>
      </c>
      <c r="AI622" s="772" t="s">
        <v>233</v>
      </c>
      <c r="AK622" s="769" t="s">
        <v>496</v>
      </c>
      <c r="AL622" s="770" t="s">
        <v>494</v>
      </c>
      <c r="AM622" s="770" t="s">
        <v>509</v>
      </c>
      <c r="AN622" s="770" t="s">
        <v>627</v>
      </c>
      <c r="AO622" s="770" t="s">
        <v>493</v>
      </c>
      <c r="AP622" s="770" t="s">
        <v>504</v>
      </c>
      <c r="AQ622" s="770" t="s">
        <v>501</v>
      </c>
      <c r="AR622" s="784" t="s">
        <v>502</v>
      </c>
      <c r="AS622" s="771">
        <v>7675.485883</v>
      </c>
      <c r="AT622" s="771">
        <v>5675.270558</v>
      </c>
      <c r="AU622" s="771">
        <v>10453.16146</v>
      </c>
      <c r="AV622" s="989" t="s">
        <v>233</v>
      </c>
      <c r="AW622" s="714"/>
    </row>
    <row r="623">
      <c r="A623" s="761"/>
      <c r="B623" s="769" t="s">
        <v>493</v>
      </c>
      <c r="C623" s="770" t="s">
        <v>626</v>
      </c>
      <c r="D623" s="770" t="s">
        <v>494</v>
      </c>
      <c r="E623" s="770" t="s">
        <v>512</v>
      </c>
      <c r="F623" s="770" t="s">
        <v>521</v>
      </c>
      <c r="G623" s="770" t="s">
        <v>103</v>
      </c>
      <c r="H623" s="770">
        <v>2019.0</v>
      </c>
      <c r="I623" s="771">
        <v>0.0</v>
      </c>
      <c r="J623" s="771">
        <v>0.0</v>
      </c>
      <c r="K623" s="772">
        <v>0.0</v>
      </c>
      <c r="M623" s="769" t="s">
        <v>493</v>
      </c>
      <c r="N623" s="770" t="s">
        <v>626</v>
      </c>
      <c r="O623" s="770" t="s">
        <v>494</v>
      </c>
      <c r="P623" s="770" t="s">
        <v>512</v>
      </c>
      <c r="Q623" s="770" t="s">
        <v>521</v>
      </c>
      <c r="R623" s="770" t="s">
        <v>497</v>
      </c>
      <c r="S623" s="770">
        <v>2019.0</v>
      </c>
      <c r="T623" s="771">
        <v>0.0</v>
      </c>
      <c r="U623" s="771">
        <v>0.0</v>
      </c>
      <c r="V623" s="772">
        <v>0.0</v>
      </c>
      <c r="X623" s="769" t="s">
        <v>496</v>
      </c>
      <c r="Y623" s="770" t="s">
        <v>494</v>
      </c>
      <c r="Z623" s="770" t="s">
        <v>513</v>
      </c>
      <c r="AA623" s="770" t="s">
        <v>627</v>
      </c>
      <c r="AB623" s="770" t="s">
        <v>493</v>
      </c>
      <c r="AC623" s="770" t="s">
        <v>103</v>
      </c>
      <c r="AD623" s="770" t="s">
        <v>501</v>
      </c>
      <c r="AE623" s="784" t="s">
        <v>502</v>
      </c>
      <c r="AF623" s="771">
        <v>5121.106938</v>
      </c>
      <c r="AG623" s="771">
        <v>3787.112595</v>
      </c>
      <c r="AH623" s="771">
        <v>6967.094424</v>
      </c>
      <c r="AI623" s="772" t="s">
        <v>233</v>
      </c>
      <c r="AK623" s="769" t="s">
        <v>496</v>
      </c>
      <c r="AL623" s="770" t="s">
        <v>494</v>
      </c>
      <c r="AM623" s="770" t="s">
        <v>513</v>
      </c>
      <c r="AN623" s="770" t="s">
        <v>627</v>
      </c>
      <c r="AO623" s="770" t="s">
        <v>493</v>
      </c>
      <c r="AP623" s="770" t="s">
        <v>504</v>
      </c>
      <c r="AQ623" s="770" t="s">
        <v>501</v>
      </c>
      <c r="AR623" s="784" t="s">
        <v>502</v>
      </c>
      <c r="AS623" s="771">
        <v>1231.517213</v>
      </c>
      <c r="AT623" s="771">
        <v>910.7199681</v>
      </c>
      <c r="AU623" s="771">
        <v>1675.43791</v>
      </c>
      <c r="AV623" s="989" t="s">
        <v>233</v>
      </c>
      <c r="AW623" s="714"/>
    </row>
    <row r="624">
      <c r="A624" s="761"/>
      <c r="B624" s="769" t="s">
        <v>493</v>
      </c>
      <c r="C624" s="770" t="s">
        <v>626</v>
      </c>
      <c r="D624" s="770" t="s">
        <v>494</v>
      </c>
      <c r="E624" s="770" t="s">
        <v>495</v>
      </c>
      <c r="F624" s="770" t="s">
        <v>523</v>
      </c>
      <c r="G624" s="770" t="s">
        <v>103</v>
      </c>
      <c r="H624" s="770">
        <v>2019.0</v>
      </c>
      <c r="I624" s="771">
        <v>10439.34987</v>
      </c>
      <c r="J624" s="771">
        <v>16108.04106</v>
      </c>
      <c r="K624" s="772">
        <v>6557.518222</v>
      </c>
      <c r="M624" s="769" t="s">
        <v>493</v>
      </c>
      <c r="N624" s="770" t="s">
        <v>626</v>
      </c>
      <c r="O624" s="770" t="s">
        <v>494</v>
      </c>
      <c r="P624" s="770" t="s">
        <v>495</v>
      </c>
      <c r="Q624" s="770" t="s">
        <v>523</v>
      </c>
      <c r="R624" s="770" t="s">
        <v>497</v>
      </c>
      <c r="S624" s="770">
        <v>2019.0</v>
      </c>
      <c r="T624" s="771">
        <v>8.917128196</v>
      </c>
      <c r="U624" s="771">
        <v>13.75923491</v>
      </c>
      <c r="V624" s="772">
        <v>5.60132876</v>
      </c>
      <c r="X624" s="769" t="s">
        <v>514</v>
      </c>
      <c r="Y624" s="770" t="s">
        <v>494</v>
      </c>
      <c r="Z624" s="770" t="s">
        <v>499</v>
      </c>
      <c r="AA624" s="770" t="s">
        <v>627</v>
      </c>
      <c r="AB624" s="770" t="s">
        <v>493</v>
      </c>
      <c r="AC624" s="770" t="s">
        <v>103</v>
      </c>
      <c r="AD624" s="770" t="s">
        <v>501</v>
      </c>
      <c r="AE624" s="784" t="s">
        <v>502</v>
      </c>
      <c r="AF624" s="771">
        <v>1893.253337</v>
      </c>
      <c r="AG624" s="771">
        <v>1392.35672</v>
      </c>
      <c r="AH624" s="771">
        <v>2539.548595</v>
      </c>
      <c r="AI624" s="772" t="s">
        <v>233</v>
      </c>
      <c r="AK624" s="769" t="s">
        <v>514</v>
      </c>
      <c r="AL624" s="770" t="s">
        <v>494</v>
      </c>
      <c r="AM624" s="770" t="s">
        <v>499</v>
      </c>
      <c r="AN624" s="770" t="s">
        <v>627</v>
      </c>
      <c r="AO624" s="770" t="s">
        <v>493</v>
      </c>
      <c r="AP624" s="770" t="s">
        <v>504</v>
      </c>
      <c r="AQ624" s="770" t="s">
        <v>501</v>
      </c>
      <c r="AR624" s="784" t="s">
        <v>502</v>
      </c>
      <c r="AS624" s="771">
        <v>116064.4121</v>
      </c>
      <c r="AT624" s="771">
        <v>85357.33757</v>
      </c>
      <c r="AU624" s="771">
        <v>155685.0365</v>
      </c>
      <c r="AV624" s="989" t="s">
        <v>233</v>
      </c>
      <c r="AW624" s="714"/>
    </row>
    <row r="625">
      <c r="A625" s="761"/>
      <c r="B625" s="769" t="s">
        <v>493</v>
      </c>
      <c r="C625" s="770" t="s">
        <v>626</v>
      </c>
      <c r="D625" s="770" t="s">
        <v>494</v>
      </c>
      <c r="E625" s="770" t="s">
        <v>505</v>
      </c>
      <c r="F625" s="770" t="s">
        <v>523</v>
      </c>
      <c r="G625" s="770" t="s">
        <v>103</v>
      </c>
      <c r="H625" s="770">
        <v>2019.0</v>
      </c>
      <c r="I625" s="771">
        <v>0.0</v>
      </c>
      <c r="J625" s="771">
        <v>0.0</v>
      </c>
      <c r="K625" s="772">
        <v>0.0</v>
      </c>
      <c r="M625" s="769" t="s">
        <v>493</v>
      </c>
      <c r="N625" s="770" t="s">
        <v>626</v>
      </c>
      <c r="O625" s="770" t="s">
        <v>494</v>
      </c>
      <c r="P625" s="770" t="s">
        <v>505</v>
      </c>
      <c r="Q625" s="770" t="s">
        <v>523</v>
      </c>
      <c r="R625" s="770" t="s">
        <v>497</v>
      </c>
      <c r="S625" s="770">
        <v>2019.0</v>
      </c>
      <c r="T625" s="771">
        <v>0.0</v>
      </c>
      <c r="U625" s="771">
        <v>0.0</v>
      </c>
      <c r="V625" s="772">
        <v>0.0</v>
      </c>
      <c r="X625" s="769" t="s">
        <v>514</v>
      </c>
      <c r="Y625" s="770" t="s">
        <v>494</v>
      </c>
      <c r="Z625" s="770" t="s">
        <v>507</v>
      </c>
      <c r="AA625" s="770" t="s">
        <v>627</v>
      </c>
      <c r="AB625" s="770" t="s">
        <v>493</v>
      </c>
      <c r="AC625" s="770" t="s">
        <v>103</v>
      </c>
      <c r="AD625" s="770" t="s">
        <v>501</v>
      </c>
      <c r="AE625" s="784" t="s">
        <v>502</v>
      </c>
      <c r="AF625" s="771">
        <v>1142.965637</v>
      </c>
      <c r="AG625" s="771">
        <v>827.5543659</v>
      </c>
      <c r="AH625" s="771">
        <v>1570.863831</v>
      </c>
      <c r="AI625" s="772" t="s">
        <v>233</v>
      </c>
      <c r="AK625" s="769" t="s">
        <v>514</v>
      </c>
      <c r="AL625" s="770" t="s">
        <v>494</v>
      </c>
      <c r="AM625" s="770" t="s">
        <v>507</v>
      </c>
      <c r="AN625" s="770" t="s">
        <v>627</v>
      </c>
      <c r="AO625" s="770" t="s">
        <v>493</v>
      </c>
      <c r="AP625" s="770" t="s">
        <v>504</v>
      </c>
      <c r="AQ625" s="770" t="s">
        <v>501</v>
      </c>
      <c r="AR625" s="784" t="s">
        <v>502</v>
      </c>
      <c r="AS625" s="771">
        <v>1486.987147</v>
      </c>
      <c r="AT625" s="771">
        <v>1076.640159</v>
      </c>
      <c r="AU625" s="771">
        <v>2043.678523</v>
      </c>
      <c r="AV625" s="989" t="s">
        <v>233</v>
      </c>
      <c r="AW625" s="714"/>
    </row>
    <row r="626">
      <c r="A626" s="761"/>
      <c r="B626" s="769" t="s">
        <v>493</v>
      </c>
      <c r="C626" s="770" t="s">
        <v>626</v>
      </c>
      <c r="D626" s="770" t="s">
        <v>494</v>
      </c>
      <c r="E626" s="770" t="s">
        <v>508</v>
      </c>
      <c r="F626" s="770" t="s">
        <v>523</v>
      </c>
      <c r="G626" s="770" t="s">
        <v>103</v>
      </c>
      <c r="H626" s="770">
        <v>2019.0</v>
      </c>
      <c r="I626" s="771">
        <v>7427.643076</v>
      </c>
      <c r="J626" s="771">
        <v>11758.62616</v>
      </c>
      <c r="K626" s="772">
        <v>4557.177287</v>
      </c>
      <c r="M626" s="769" t="s">
        <v>493</v>
      </c>
      <c r="N626" s="770" t="s">
        <v>626</v>
      </c>
      <c r="O626" s="770" t="s">
        <v>494</v>
      </c>
      <c r="P626" s="770" t="s">
        <v>508</v>
      </c>
      <c r="Q626" s="770" t="s">
        <v>523</v>
      </c>
      <c r="R626" s="770" t="s">
        <v>497</v>
      </c>
      <c r="S626" s="770">
        <v>2019.0</v>
      </c>
      <c r="T626" s="771">
        <v>35.16237004</v>
      </c>
      <c r="U626" s="771">
        <v>55.66519015</v>
      </c>
      <c r="V626" s="772">
        <v>21.57362066</v>
      </c>
      <c r="X626" s="769" t="s">
        <v>514</v>
      </c>
      <c r="Y626" s="770" t="s">
        <v>494</v>
      </c>
      <c r="Z626" s="770" t="s">
        <v>509</v>
      </c>
      <c r="AA626" s="770" t="s">
        <v>627</v>
      </c>
      <c r="AB626" s="770" t="s">
        <v>493</v>
      </c>
      <c r="AC626" s="770" t="s">
        <v>103</v>
      </c>
      <c r="AD626" s="770" t="s">
        <v>501</v>
      </c>
      <c r="AE626" s="784" t="s">
        <v>502</v>
      </c>
      <c r="AF626" s="771">
        <v>332.081121</v>
      </c>
      <c r="AG626" s="771">
        <v>243.3970322</v>
      </c>
      <c r="AH626" s="771">
        <v>451.3832508</v>
      </c>
      <c r="AI626" s="772" t="s">
        <v>233</v>
      </c>
      <c r="AK626" s="769" t="s">
        <v>514</v>
      </c>
      <c r="AL626" s="770" t="s">
        <v>494</v>
      </c>
      <c r="AM626" s="770" t="s">
        <v>509</v>
      </c>
      <c r="AN626" s="770" t="s">
        <v>627</v>
      </c>
      <c r="AO626" s="770" t="s">
        <v>493</v>
      </c>
      <c r="AP626" s="770" t="s">
        <v>504</v>
      </c>
      <c r="AQ626" s="770" t="s">
        <v>501</v>
      </c>
      <c r="AR626" s="784" t="s">
        <v>502</v>
      </c>
      <c r="AS626" s="771">
        <v>6884.222918</v>
      </c>
      <c r="AT626" s="771">
        <v>5045.753344</v>
      </c>
      <c r="AU626" s="771">
        <v>9357.421193</v>
      </c>
      <c r="AV626" s="989" t="s">
        <v>233</v>
      </c>
      <c r="AW626" s="714"/>
    </row>
    <row r="627">
      <c r="A627" s="761"/>
      <c r="B627" s="769" t="s">
        <v>493</v>
      </c>
      <c r="C627" s="770" t="s">
        <v>626</v>
      </c>
      <c r="D627" s="770" t="s">
        <v>494</v>
      </c>
      <c r="E627" s="770" t="s">
        <v>512</v>
      </c>
      <c r="F627" s="770" t="s">
        <v>523</v>
      </c>
      <c r="G627" s="770" t="s">
        <v>103</v>
      </c>
      <c r="H627" s="770">
        <v>2019.0</v>
      </c>
      <c r="I627" s="771">
        <v>0.0</v>
      </c>
      <c r="J627" s="771">
        <v>0.0</v>
      </c>
      <c r="K627" s="772">
        <v>0.0</v>
      </c>
      <c r="M627" s="769" t="s">
        <v>493</v>
      </c>
      <c r="N627" s="770" t="s">
        <v>626</v>
      </c>
      <c r="O627" s="770" t="s">
        <v>494</v>
      </c>
      <c r="P627" s="770" t="s">
        <v>512</v>
      </c>
      <c r="Q627" s="770" t="s">
        <v>523</v>
      </c>
      <c r="R627" s="770" t="s">
        <v>497</v>
      </c>
      <c r="S627" s="770">
        <v>2019.0</v>
      </c>
      <c r="T627" s="771">
        <v>0.0</v>
      </c>
      <c r="U627" s="771">
        <v>0.0</v>
      </c>
      <c r="V627" s="772">
        <v>0.0</v>
      </c>
      <c r="X627" s="769" t="s">
        <v>514</v>
      </c>
      <c r="Y627" s="770" t="s">
        <v>494</v>
      </c>
      <c r="Z627" s="770" t="s">
        <v>513</v>
      </c>
      <c r="AA627" s="770" t="s">
        <v>627</v>
      </c>
      <c r="AB627" s="770" t="s">
        <v>493</v>
      </c>
      <c r="AC627" s="770" t="s">
        <v>103</v>
      </c>
      <c r="AD627" s="770" t="s">
        <v>501</v>
      </c>
      <c r="AE627" s="784" t="s">
        <v>502</v>
      </c>
      <c r="AF627" s="771">
        <v>4611.603093</v>
      </c>
      <c r="AG627" s="771">
        <v>3393.114077</v>
      </c>
      <c r="AH627" s="771">
        <v>6214.247776</v>
      </c>
      <c r="AI627" s="772" t="s">
        <v>233</v>
      </c>
      <c r="AK627" s="769" t="s">
        <v>514</v>
      </c>
      <c r="AL627" s="770" t="s">
        <v>494</v>
      </c>
      <c r="AM627" s="770" t="s">
        <v>513</v>
      </c>
      <c r="AN627" s="770" t="s">
        <v>627</v>
      </c>
      <c r="AO627" s="770" t="s">
        <v>493</v>
      </c>
      <c r="AP627" s="770" t="s">
        <v>504</v>
      </c>
      <c r="AQ627" s="770" t="s">
        <v>501</v>
      </c>
      <c r="AR627" s="784" t="s">
        <v>502</v>
      </c>
      <c r="AS627" s="771">
        <v>1108.992383</v>
      </c>
      <c r="AT627" s="771">
        <v>815.9717109</v>
      </c>
      <c r="AU627" s="771">
        <v>1494.394316</v>
      </c>
      <c r="AV627" s="989" t="s">
        <v>233</v>
      </c>
      <c r="AW627" s="714"/>
    </row>
    <row r="628">
      <c r="A628" s="761"/>
      <c r="B628" s="769" t="s">
        <v>493</v>
      </c>
      <c r="C628" s="770" t="s">
        <v>10</v>
      </c>
      <c r="D628" s="770" t="s">
        <v>494</v>
      </c>
      <c r="E628" s="770" t="s">
        <v>495</v>
      </c>
      <c r="F628" s="770" t="s">
        <v>496</v>
      </c>
      <c r="G628" s="770" t="s">
        <v>103</v>
      </c>
      <c r="H628" s="770">
        <v>2019.0</v>
      </c>
      <c r="I628" s="771">
        <v>53344.7099</v>
      </c>
      <c r="J628" s="771">
        <v>64789.84203</v>
      </c>
      <c r="K628" s="772">
        <v>43059.94083</v>
      </c>
      <c r="M628" s="769" t="s">
        <v>493</v>
      </c>
      <c r="N628" s="770" t="s">
        <v>10</v>
      </c>
      <c r="O628" s="770" t="s">
        <v>494</v>
      </c>
      <c r="P628" s="770" t="s">
        <v>495</v>
      </c>
      <c r="Q628" s="770" t="s">
        <v>496</v>
      </c>
      <c r="R628" s="770" t="s">
        <v>497</v>
      </c>
      <c r="S628" s="770">
        <v>2019.0</v>
      </c>
      <c r="T628" s="771">
        <v>831.4269669</v>
      </c>
      <c r="U628" s="771">
        <v>1009.810006</v>
      </c>
      <c r="V628" s="772">
        <v>671.1292661</v>
      </c>
      <c r="X628" s="769" t="s">
        <v>518</v>
      </c>
      <c r="Y628" s="770" t="s">
        <v>494</v>
      </c>
      <c r="Z628" s="770" t="s">
        <v>499</v>
      </c>
      <c r="AA628" s="770" t="s">
        <v>627</v>
      </c>
      <c r="AB628" s="770" t="s">
        <v>493</v>
      </c>
      <c r="AC628" s="770" t="s">
        <v>103</v>
      </c>
      <c r="AD628" s="770" t="s">
        <v>501</v>
      </c>
      <c r="AE628" s="784" t="s">
        <v>502</v>
      </c>
      <c r="AF628" s="771">
        <v>16.50038888</v>
      </c>
      <c r="AG628" s="771">
        <v>6.227500831</v>
      </c>
      <c r="AH628" s="771">
        <v>33.85872139</v>
      </c>
      <c r="AI628" s="772" t="s">
        <v>233</v>
      </c>
      <c r="AK628" s="769" t="s">
        <v>518</v>
      </c>
      <c r="AL628" s="770" t="s">
        <v>494</v>
      </c>
      <c r="AM628" s="770" t="s">
        <v>499</v>
      </c>
      <c r="AN628" s="770" t="s">
        <v>627</v>
      </c>
      <c r="AO628" s="770" t="s">
        <v>493</v>
      </c>
      <c r="AP628" s="770" t="s">
        <v>504</v>
      </c>
      <c r="AQ628" s="770" t="s">
        <v>501</v>
      </c>
      <c r="AR628" s="784" t="s">
        <v>502</v>
      </c>
      <c r="AS628" s="771">
        <v>1011.54341</v>
      </c>
      <c r="AT628" s="771">
        <v>381.7720582</v>
      </c>
      <c r="AU628" s="771">
        <v>2075.682381</v>
      </c>
      <c r="AV628" s="989" t="s">
        <v>233</v>
      </c>
      <c r="AW628" s="714"/>
    </row>
    <row r="629">
      <c r="A629" s="761"/>
      <c r="B629" s="769" t="s">
        <v>493</v>
      </c>
      <c r="C629" s="770" t="s">
        <v>10</v>
      </c>
      <c r="D629" s="770" t="s">
        <v>494</v>
      </c>
      <c r="E629" s="770" t="s">
        <v>505</v>
      </c>
      <c r="F629" s="770" t="s">
        <v>496</v>
      </c>
      <c r="G629" s="770" t="s">
        <v>103</v>
      </c>
      <c r="H629" s="770">
        <v>2019.0</v>
      </c>
      <c r="I629" s="771">
        <v>20427.11313</v>
      </c>
      <c r="J629" s="771">
        <v>25005.92387</v>
      </c>
      <c r="K629" s="772">
        <v>16408.81122</v>
      </c>
      <c r="M629" s="769" t="s">
        <v>493</v>
      </c>
      <c r="N629" s="770" t="s">
        <v>10</v>
      </c>
      <c r="O629" s="770" t="s">
        <v>494</v>
      </c>
      <c r="P629" s="770" t="s">
        <v>505</v>
      </c>
      <c r="Q629" s="770" t="s">
        <v>496</v>
      </c>
      <c r="R629" s="770" t="s">
        <v>497</v>
      </c>
      <c r="S629" s="770">
        <v>2019.0</v>
      </c>
      <c r="T629" s="771">
        <v>79913.8987</v>
      </c>
      <c r="U629" s="771">
        <v>97826.88598</v>
      </c>
      <c r="V629" s="772">
        <v>64193.70518</v>
      </c>
      <c r="X629" s="769" t="s">
        <v>518</v>
      </c>
      <c r="Y629" s="770" t="s">
        <v>494</v>
      </c>
      <c r="Z629" s="770" t="s">
        <v>507</v>
      </c>
      <c r="AA629" s="770" t="s">
        <v>627</v>
      </c>
      <c r="AB629" s="770" t="s">
        <v>493</v>
      </c>
      <c r="AC629" s="770" t="s">
        <v>103</v>
      </c>
      <c r="AD629" s="770" t="s">
        <v>501</v>
      </c>
      <c r="AE629" s="784" t="s">
        <v>502</v>
      </c>
      <c r="AF629" s="771">
        <v>261.668448</v>
      </c>
      <c r="AG629" s="771">
        <v>115.1030493</v>
      </c>
      <c r="AH629" s="771">
        <v>476.6862555</v>
      </c>
      <c r="AI629" s="772" t="s">
        <v>233</v>
      </c>
      <c r="AK629" s="769" t="s">
        <v>518</v>
      </c>
      <c r="AL629" s="770" t="s">
        <v>494</v>
      </c>
      <c r="AM629" s="770" t="s">
        <v>507</v>
      </c>
      <c r="AN629" s="770" t="s">
        <v>627</v>
      </c>
      <c r="AO629" s="770" t="s">
        <v>493</v>
      </c>
      <c r="AP629" s="770" t="s">
        <v>504</v>
      </c>
      <c r="AQ629" s="770" t="s">
        <v>501</v>
      </c>
      <c r="AR629" s="784" t="s">
        <v>502</v>
      </c>
      <c r="AS629" s="771">
        <v>340.4280988</v>
      </c>
      <c r="AT629" s="771">
        <v>149.7479445</v>
      </c>
      <c r="AU629" s="771">
        <v>620.1641692</v>
      </c>
      <c r="AV629" s="989" t="s">
        <v>233</v>
      </c>
      <c r="AW629" s="714"/>
    </row>
    <row r="630">
      <c r="A630" s="761"/>
      <c r="B630" s="769" t="s">
        <v>493</v>
      </c>
      <c r="C630" s="770" t="s">
        <v>10</v>
      </c>
      <c r="D630" s="770" t="s">
        <v>494</v>
      </c>
      <c r="E630" s="770" t="s">
        <v>508</v>
      </c>
      <c r="F630" s="770" t="s">
        <v>496</v>
      </c>
      <c r="G630" s="770" t="s">
        <v>103</v>
      </c>
      <c r="H630" s="770">
        <v>2019.0</v>
      </c>
      <c r="I630" s="771">
        <v>15329.81801</v>
      </c>
      <c r="J630" s="771">
        <v>18643.16552</v>
      </c>
      <c r="K630" s="772">
        <v>12362.81308</v>
      </c>
      <c r="M630" s="769" t="s">
        <v>493</v>
      </c>
      <c r="N630" s="770" t="s">
        <v>10</v>
      </c>
      <c r="O630" s="770" t="s">
        <v>494</v>
      </c>
      <c r="P630" s="770" t="s">
        <v>508</v>
      </c>
      <c r="Q630" s="770" t="s">
        <v>496</v>
      </c>
      <c r="R630" s="770" t="s">
        <v>497</v>
      </c>
      <c r="S630" s="770">
        <v>2019.0</v>
      </c>
      <c r="T630" s="771">
        <v>1281.1812</v>
      </c>
      <c r="U630" s="771">
        <v>1558.092416</v>
      </c>
      <c r="V630" s="772">
        <v>1033.215378</v>
      </c>
      <c r="X630" s="769" t="s">
        <v>518</v>
      </c>
      <c r="Y630" s="770" t="s">
        <v>494</v>
      </c>
      <c r="Z630" s="770" t="s">
        <v>509</v>
      </c>
      <c r="AA630" s="770" t="s">
        <v>627</v>
      </c>
      <c r="AB630" s="770" t="s">
        <v>493</v>
      </c>
      <c r="AC630" s="770" t="s">
        <v>103</v>
      </c>
      <c r="AD630" s="770" t="s">
        <v>501</v>
      </c>
      <c r="AE630" s="784" t="s">
        <v>502</v>
      </c>
      <c r="AF630" s="771">
        <v>24.88731943</v>
      </c>
      <c r="AG630" s="771">
        <v>11.17312966</v>
      </c>
      <c r="AH630" s="771">
        <v>46.26709464</v>
      </c>
      <c r="AI630" s="772" t="s">
        <v>233</v>
      </c>
      <c r="AK630" s="769" t="s">
        <v>518</v>
      </c>
      <c r="AL630" s="770" t="s">
        <v>494</v>
      </c>
      <c r="AM630" s="770" t="s">
        <v>509</v>
      </c>
      <c r="AN630" s="770" t="s">
        <v>627</v>
      </c>
      <c r="AO630" s="770" t="s">
        <v>493</v>
      </c>
      <c r="AP630" s="770" t="s">
        <v>504</v>
      </c>
      <c r="AQ630" s="770" t="s">
        <v>501</v>
      </c>
      <c r="AR630" s="784" t="s">
        <v>502</v>
      </c>
      <c r="AS630" s="771">
        <v>515.9277174</v>
      </c>
      <c r="AT630" s="771">
        <v>231.6250771</v>
      </c>
      <c r="AU630" s="771">
        <v>959.1421285</v>
      </c>
      <c r="AV630" s="989" t="s">
        <v>233</v>
      </c>
      <c r="AW630" s="714"/>
    </row>
    <row r="631">
      <c r="A631" s="761"/>
      <c r="B631" s="769" t="s">
        <v>493</v>
      </c>
      <c r="C631" s="770" t="s">
        <v>10</v>
      </c>
      <c r="D631" s="770" t="s">
        <v>494</v>
      </c>
      <c r="E631" s="770" t="s">
        <v>512</v>
      </c>
      <c r="F631" s="770" t="s">
        <v>496</v>
      </c>
      <c r="G631" s="770" t="s">
        <v>103</v>
      </c>
      <c r="H631" s="770">
        <v>2019.0</v>
      </c>
      <c r="I631" s="771">
        <v>5221.114399</v>
      </c>
      <c r="J631" s="771">
        <v>6358.281759</v>
      </c>
      <c r="K631" s="772">
        <v>4215.517538</v>
      </c>
      <c r="M631" s="769" t="s">
        <v>493</v>
      </c>
      <c r="N631" s="770" t="s">
        <v>10</v>
      </c>
      <c r="O631" s="770" t="s">
        <v>494</v>
      </c>
      <c r="P631" s="770" t="s">
        <v>512</v>
      </c>
      <c r="Q631" s="770" t="s">
        <v>496</v>
      </c>
      <c r="R631" s="770" t="s">
        <v>497</v>
      </c>
      <c r="S631" s="770">
        <v>2019.0</v>
      </c>
      <c r="T631" s="771">
        <v>6881.787269</v>
      </c>
      <c r="U631" s="771">
        <v>8380.65193</v>
      </c>
      <c r="V631" s="772">
        <v>5556.341561</v>
      </c>
      <c r="X631" s="769" t="s">
        <v>518</v>
      </c>
      <c r="Y631" s="770" t="s">
        <v>494</v>
      </c>
      <c r="Z631" s="770" t="s">
        <v>513</v>
      </c>
      <c r="AA631" s="770" t="s">
        <v>627</v>
      </c>
      <c r="AB631" s="770" t="s">
        <v>493</v>
      </c>
      <c r="AC631" s="770" t="s">
        <v>103</v>
      </c>
      <c r="AD631" s="770" t="s">
        <v>501</v>
      </c>
      <c r="AE631" s="784" t="s">
        <v>502</v>
      </c>
      <c r="AF631" s="771">
        <v>461.6725899</v>
      </c>
      <c r="AG631" s="771">
        <v>222.2501797</v>
      </c>
      <c r="AH631" s="771">
        <v>823.8782631</v>
      </c>
      <c r="AI631" s="772" t="s">
        <v>233</v>
      </c>
      <c r="AK631" s="769" t="s">
        <v>518</v>
      </c>
      <c r="AL631" s="770" t="s">
        <v>494</v>
      </c>
      <c r="AM631" s="770" t="s">
        <v>513</v>
      </c>
      <c r="AN631" s="770" t="s">
        <v>627</v>
      </c>
      <c r="AO631" s="770" t="s">
        <v>493</v>
      </c>
      <c r="AP631" s="770" t="s">
        <v>504</v>
      </c>
      <c r="AQ631" s="770" t="s">
        <v>501</v>
      </c>
      <c r="AR631" s="784" t="s">
        <v>502</v>
      </c>
      <c r="AS631" s="771">
        <v>111.0224309</v>
      </c>
      <c r="AT631" s="771">
        <v>53.44643748</v>
      </c>
      <c r="AU631" s="771">
        <v>198.1251855</v>
      </c>
      <c r="AV631" s="989" t="s">
        <v>233</v>
      </c>
      <c r="AW631" s="714"/>
    </row>
    <row r="632">
      <c r="A632" s="761"/>
      <c r="B632" s="769" t="s">
        <v>493</v>
      </c>
      <c r="C632" s="770" t="s">
        <v>10</v>
      </c>
      <c r="D632" s="770" t="s">
        <v>494</v>
      </c>
      <c r="E632" s="770" t="s">
        <v>495</v>
      </c>
      <c r="F632" s="770" t="s">
        <v>514</v>
      </c>
      <c r="G632" s="770" t="s">
        <v>103</v>
      </c>
      <c r="H632" s="770">
        <v>2019.0</v>
      </c>
      <c r="I632" s="771">
        <v>47856.04109</v>
      </c>
      <c r="J632" s="771">
        <v>58004.19881</v>
      </c>
      <c r="K632" s="772">
        <v>38682.19202</v>
      </c>
      <c r="M632" s="769" t="s">
        <v>493</v>
      </c>
      <c r="N632" s="770" t="s">
        <v>10</v>
      </c>
      <c r="O632" s="770" t="s">
        <v>494</v>
      </c>
      <c r="P632" s="770" t="s">
        <v>495</v>
      </c>
      <c r="Q632" s="770" t="s">
        <v>514</v>
      </c>
      <c r="R632" s="770" t="s">
        <v>497</v>
      </c>
      <c r="S632" s="770">
        <v>2019.0</v>
      </c>
      <c r="T632" s="771">
        <v>745.8809538</v>
      </c>
      <c r="U632" s="771">
        <v>904.0494395</v>
      </c>
      <c r="V632" s="772">
        <v>602.8979753</v>
      </c>
      <c r="X632" s="769" t="s">
        <v>519</v>
      </c>
      <c r="Y632" s="770" t="s">
        <v>494</v>
      </c>
      <c r="Z632" s="770" t="s">
        <v>499</v>
      </c>
      <c r="AA632" s="770" t="s">
        <v>627</v>
      </c>
      <c r="AB632" s="770" t="s">
        <v>493</v>
      </c>
      <c r="AC632" s="770" t="s">
        <v>103</v>
      </c>
      <c r="AD632" s="770" t="s">
        <v>501</v>
      </c>
      <c r="AE632" s="784" t="s">
        <v>502</v>
      </c>
      <c r="AF632" s="771">
        <v>1561.371372</v>
      </c>
      <c r="AG632" s="771">
        <v>1130.005067</v>
      </c>
      <c r="AH632" s="771">
        <v>2146.909328</v>
      </c>
      <c r="AI632" s="772" t="s">
        <v>233</v>
      </c>
      <c r="AK632" s="769" t="s">
        <v>519</v>
      </c>
      <c r="AL632" s="770" t="s">
        <v>494</v>
      </c>
      <c r="AM632" s="770" t="s">
        <v>499</v>
      </c>
      <c r="AN632" s="770" t="s">
        <v>627</v>
      </c>
      <c r="AO632" s="770" t="s">
        <v>493</v>
      </c>
      <c r="AP632" s="770" t="s">
        <v>504</v>
      </c>
      <c r="AQ632" s="770" t="s">
        <v>501</v>
      </c>
      <c r="AR632" s="784" t="s">
        <v>502</v>
      </c>
      <c r="AS632" s="771">
        <v>95718.64835</v>
      </c>
      <c r="AT632" s="771">
        <v>69274.07509</v>
      </c>
      <c r="AU632" s="771">
        <v>131614.5939</v>
      </c>
      <c r="AV632" s="989" t="s">
        <v>233</v>
      </c>
      <c r="AW632" s="714"/>
    </row>
    <row r="633">
      <c r="A633" s="761"/>
      <c r="B633" s="769" t="s">
        <v>493</v>
      </c>
      <c r="C633" s="770" t="s">
        <v>10</v>
      </c>
      <c r="D633" s="770" t="s">
        <v>494</v>
      </c>
      <c r="E633" s="770" t="s">
        <v>505</v>
      </c>
      <c r="F633" s="770" t="s">
        <v>514</v>
      </c>
      <c r="G633" s="770" t="s">
        <v>103</v>
      </c>
      <c r="H633" s="770">
        <v>2019.0</v>
      </c>
      <c r="I633" s="771">
        <v>18877.20305</v>
      </c>
      <c r="J633" s="771">
        <v>23147.21575</v>
      </c>
      <c r="K633" s="772">
        <v>15161.74397</v>
      </c>
      <c r="M633" s="769" t="s">
        <v>493</v>
      </c>
      <c r="N633" s="770" t="s">
        <v>10</v>
      </c>
      <c r="O633" s="770" t="s">
        <v>494</v>
      </c>
      <c r="P633" s="770" t="s">
        <v>505</v>
      </c>
      <c r="Q633" s="770" t="s">
        <v>514</v>
      </c>
      <c r="R633" s="770" t="s">
        <v>497</v>
      </c>
      <c r="S633" s="770">
        <v>2019.0</v>
      </c>
      <c r="T633" s="771">
        <v>73850.42042</v>
      </c>
      <c r="U633" s="771">
        <v>90555.34395</v>
      </c>
      <c r="V633" s="772">
        <v>59314.99298</v>
      </c>
      <c r="X633" s="769" t="s">
        <v>519</v>
      </c>
      <c r="Y633" s="770" t="s">
        <v>494</v>
      </c>
      <c r="Z633" s="770" t="s">
        <v>507</v>
      </c>
      <c r="AA633" s="770" t="s">
        <v>627</v>
      </c>
      <c r="AB633" s="770" t="s">
        <v>493</v>
      </c>
      <c r="AC633" s="770" t="s">
        <v>103</v>
      </c>
      <c r="AD633" s="770" t="s">
        <v>501</v>
      </c>
      <c r="AE633" s="784" t="s">
        <v>502</v>
      </c>
      <c r="AF633" s="771">
        <v>7.840755893</v>
      </c>
      <c r="AG633" s="771">
        <v>3.729789084</v>
      </c>
      <c r="AH633" s="771">
        <v>14.20937483</v>
      </c>
      <c r="AI633" s="772" t="s">
        <v>233</v>
      </c>
      <c r="AK633" s="769" t="s">
        <v>519</v>
      </c>
      <c r="AL633" s="770" t="s">
        <v>494</v>
      </c>
      <c r="AM633" s="770" t="s">
        <v>507</v>
      </c>
      <c r="AN633" s="770" t="s">
        <v>627</v>
      </c>
      <c r="AO633" s="770" t="s">
        <v>493</v>
      </c>
      <c r="AP633" s="770" t="s">
        <v>504</v>
      </c>
      <c r="AQ633" s="770" t="s">
        <v>501</v>
      </c>
      <c r="AR633" s="784" t="s">
        <v>502</v>
      </c>
      <c r="AS633" s="771">
        <v>10.20074694</v>
      </c>
      <c r="AT633" s="771">
        <v>4.852419221</v>
      </c>
      <c r="AU633" s="771">
        <v>18.48625807</v>
      </c>
      <c r="AV633" s="989" t="s">
        <v>233</v>
      </c>
      <c r="AW633" s="714"/>
    </row>
    <row r="634">
      <c r="A634" s="761"/>
      <c r="B634" s="769" t="s">
        <v>493</v>
      </c>
      <c r="C634" s="770" t="s">
        <v>10</v>
      </c>
      <c r="D634" s="770" t="s">
        <v>494</v>
      </c>
      <c r="E634" s="770" t="s">
        <v>508</v>
      </c>
      <c r="F634" s="770" t="s">
        <v>514</v>
      </c>
      <c r="G634" s="770" t="s">
        <v>103</v>
      </c>
      <c r="H634" s="770">
        <v>2019.0</v>
      </c>
      <c r="I634" s="771">
        <v>13397.36514</v>
      </c>
      <c r="J634" s="771">
        <v>16271.21183</v>
      </c>
      <c r="K634" s="772">
        <v>10831.08508</v>
      </c>
      <c r="M634" s="769" t="s">
        <v>493</v>
      </c>
      <c r="N634" s="770" t="s">
        <v>10</v>
      </c>
      <c r="O634" s="770" t="s">
        <v>494</v>
      </c>
      <c r="P634" s="770" t="s">
        <v>508</v>
      </c>
      <c r="Q634" s="770" t="s">
        <v>514</v>
      </c>
      <c r="R634" s="770" t="s">
        <v>497</v>
      </c>
      <c r="S634" s="770">
        <v>2019.0</v>
      </c>
      <c r="T634" s="771">
        <v>1119.677503</v>
      </c>
      <c r="U634" s="771">
        <v>1359.857676</v>
      </c>
      <c r="V634" s="772">
        <v>905.2020434</v>
      </c>
      <c r="X634" s="769" t="s">
        <v>519</v>
      </c>
      <c r="Y634" s="770" t="s">
        <v>494</v>
      </c>
      <c r="Z634" s="770" t="s">
        <v>509</v>
      </c>
      <c r="AA634" s="770" t="s">
        <v>627</v>
      </c>
      <c r="AB634" s="770" t="s">
        <v>493</v>
      </c>
      <c r="AC634" s="770" t="s">
        <v>103</v>
      </c>
      <c r="AD634" s="770" t="s">
        <v>501</v>
      </c>
      <c r="AE634" s="784" t="s">
        <v>502</v>
      </c>
      <c r="AF634" s="771">
        <v>121.0407635</v>
      </c>
      <c r="AG634" s="771">
        <v>72.381356</v>
      </c>
      <c r="AH634" s="771">
        <v>182.7217025</v>
      </c>
      <c r="AI634" s="772" t="s">
        <v>233</v>
      </c>
      <c r="AK634" s="769" t="s">
        <v>519</v>
      </c>
      <c r="AL634" s="770" t="s">
        <v>494</v>
      </c>
      <c r="AM634" s="770" t="s">
        <v>509</v>
      </c>
      <c r="AN634" s="770" t="s">
        <v>627</v>
      </c>
      <c r="AO634" s="770" t="s">
        <v>493</v>
      </c>
      <c r="AP634" s="770" t="s">
        <v>504</v>
      </c>
      <c r="AQ634" s="770" t="s">
        <v>501</v>
      </c>
      <c r="AR634" s="784" t="s">
        <v>502</v>
      </c>
      <c r="AS634" s="771">
        <v>2509.241101</v>
      </c>
      <c r="AT634" s="771">
        <v>1500.505022</v>
      </c>
      <c r="AU634" s="771">
        <v>3787.920638</v>
      </c>
      <c r="AV634" s="989" t="s">
        <v>233</v>
      </c>
      <c r="AW634" s="714"/>
    </row>
    <row r="635">
      <c r="A635" s="761"/>
      <c r="B635" s="769" t="s">
        <v>493</v>
      </c>
      <c r="C635" s="770" t="s">
        <v>10</v>
      </c>
      <c r="D635" s="770" t="s">
        <v>494</v>
      </c>
      <c r="E635" s="770" t="s">
        <v>512</v>
      </c>
      <c r="F635" s="770" t="s">
        <v>514</v>
      </c>
      <c r="G635" s="770" t="s">
        <v>103</v>
      </c>
      <c r="H635" s="770">
        <v>2019.0</v>
      </c>
      <c r="I635" s="771">
        <v>4696.948493</v>
      </c>
      <c r="J635" s="771">
        <v>5716.052801</v>
      </c>
      <c r="K635" s="772">
        <v>3790.025643</v>
      </c>
      <c r="M635" s="769" t="s">
        <v>493</v>
      </c>
      <c r="N635" s="770" t="s">
        <v>10</v>
      </c>
      <c r="O635" s="770" t="s">
        <v>494</v>
      </c>
      <c r="P635" s="770" t="s">
        <v>512</v>
      </c>
      <c r="Q635" s="770" t="s">
        <v>514</v>
      </c>
      <c r="R635" s="770" t="s">
        <v>497</v>
      </c>
      <c r="S635" s="770">
        <v>2019.0</v>
      </c>
      <c r="T635" s="771">
        <v>6190.900616</v>
      </c>
      <c r="U635" s="771">
        <v>7534.150066</v>
      </c>
      <c r="V635" s="772">
        <v>4995.514028</v>
      </c>
      <c r="X635" s="769" t="s">
        <v>519</v>
      </c>
      <c r="Y635" s="770" t="s">
        <v>494</v>
      </c>
      <c r="Z635" s="770" t="s">
        <v>513</v>
      </c>
      <c r="AA635" s="770" t="s">
        <v>627</v>
      </c>
      <c r="AB635" s="770" t="s">
        <v>493</v>
      </c>
      <c r="AC635" s="770" t="s">
        <v>103</v>
      </c>
      <c r="AD635" s="770" t="s">
        <v>501</v>
      </c>
      <c r="AE635" s="784" t="s">
        <v>502</v>
      </c>
      <c r="AF635" s="771">
        <v>1691.36466</v>
      </c>
      <c r="AG635" s="771">
        <v>1228.180235</v>
      </c>
      <c r="AH635" s="771">
        <v>2320.641953</v>
      </c>
      <c r="AI635" s="772" t="s">
        <v>233</v>
      </c>
      <c r="AK635" s="769" t="s">
        <v>519</v>
      </c>
      <c r="AL635" s="770" t="s">
        <v>494</v>
      </c>
      <c r="AM635" s="770" t="s">
        <v>513</v>
      </c>
      <c r="AN635" s="770" t="s">
        <v>627</v>
      </c>
      <c r="AO635" s="770" t="s">
        <v>493</v>
      </c>
      <c r="AP635" s="770" t="s">
        <v>504</v>
      </c>
      <c r="AQ635" s="770" t="s">
        <v>501</v>
      </c>
      <c r="AR635" s="784" t="s">
        <v>502</v>
      </c>
      <c r="AS635" s="771">
        <v>406.7371991</v>
      </c>
      <c r="AT635" s="771">
        <v>295.3512039</v>
      </c>
      <c r="AU635" s="771">
        <v>558.0649934</v>
      </c>
      <c r="AV635" s="989" t="s">
        <v>233</v>
      </c>
      <c r="AW635" s="714"/>
    </row>
    <row r="636">
      <c r="A636" s="761"/>
      <c r="B636" s="769" t="s">
        <v>493</v>
      </c>
      <c r="C636" s="770" t="s">
        <v>10</v>
      </c>
      <c r="D636" s="770" t="s">
        <v>494</v>
      </c>
      <c r="E636" s="770" t="s">
        <v>495</v>
      </c>
      <c r="F636" s="770" t="s">
        <v>518</v>
      </c>
      <c r="G636" s="770" t="s">
        <v>103</v>
      </c>
      <c r="H636" s="770">
        <v>2019.0</v>
      </c>
      <c r="I636" s="771">
        <v>7847.490696</v>
      </c>
      <c r="J636" s="771">
        <v>11098.84891</v>
      </c>
      <c r="K636" s="772">
        <v>4810.603459</v>
      </c>
      <c r="M636" s="769" t="s">
        <v>493</v>
      </c>
      <c r="N636" s="770" t="s">
        <v>10</v>
      </c>
      <c r="O636" s="770" t="s">
        <v>494</v>
      </c>
      <c r="P636" s="770" t="s">
        <v>495</v>
      </c>
      <c r="Q636" s="770" t="s">
        <v>518</v>
      </c>
      <c r="R636" s="770" t="s">
        <v>497</v>
      </c>
      <c r="S636" s="770">
        <v>2019.0</v>
      </c>
      <c r="T636" s="771">
        <v>122.3104484</v>
      </c>
      <c r="U636" s="771">
        <v>172.9858932</v>
      </c>
      <c r="V636" s="772">
        <v>74.97773351</v>
      </c>
      <c r="X636" s="769" t="s">
        <v>521</v>
      </c>
      <c r="Y636" s="770" t="s">
        <v>494</v>
      </c>
      <c r="Z636" s="770" t="s">
        <v>499</v>
      </c>
      <c r="AA636" s="770" t="s">
        <v>627</v>
      </c>
      <c r="AB636" s="770" t="s">
        <v>493</v>
      </c>
      <c r="AC636" s="770" t="s">
        <v>103</v>
      </c>
      <c r="AD636" s="770" t="s">
        <v>501</v>
      </c>
      <c r="AE636" s="784" t="s">
        <v>502</v>
      </c>
      <c r="AF636" s="771">
        <v>0.0</v>
      </c>
      <c r="AG636" s="771">
        <v>0.0</v>
      </c>
      <c r="AH636" s="771">
        <v>0.0</v>
      </c>
      <c r="AI636" s="772" t="s">
        <v>233</v>
      </c>
      <c r="AK636" s="769" t="s">
        <v>521</v>
      </c>
      <c r="AL636" s="770" t="s">
        <v>494</v>
      </c>
      <c r="AM636" s="770" t="s">
        <v>499</v>
      </c>
      <c r="AN636" s="770" t="s">
        <v>627</v>
      </c>
      <c r="AO636" s="770" t="s">
        <v>493</v>
      </c>
      <c r="AP636" s="770" t="s">
        <v>504</v>
      </c>
      <c r="AQ636" s="770" t="s">
        <v>501</v>
      </c>
      <c r="AR636" s="784" t="s">
        <v>502</v>
      </c>
      <c r="AS636" s="771">
        <v>0.0</v>
      </c>
      <c r="AT636" s="771">
        <v>0.0</v>
      </c>
      <c r="AU636" s="771">
        <v>0.0</v>
      </c>
      <c r="AV636" s="989" t="s">
        <v>233</v>
      </c>
      <c r="AW636" s="714"/>
    </row>
    <row r="637">
      <c r="A637" s="761"/>
      <c r="B637" s="769" t="s">
        <v>493</v>
      </c>
      <c r="C637" s="770" t="s">
        <v>10</v>
      </c>
      <c r="D637" s="770" t="s">
        <v>494</v>
      </c>
      <c r="E637" s="770" t="s">
        <v>505</v>
      </c>
      <c r="F637" s="770" t="s">
        <v>518</v>
      </c>
      <c r="G637" s="770" t="s">
        <v>103</v>
      </c>
      <c r="H637" s="770">
        <v>2019.0</v>
      </c>
      <c r="I637" s="771">
        <v>637.9846233</v>
      </c>
      <c r="J637" s="771">
        <v>963.2247227</v>
      </c>
      <c r="K637" s="772">
        <v>347.9167142</v>
      </c>
      <c r="M637" s="769" t="s">
        <v>493</v>
      </c>
      <c r="N637" s="770" t="s">
        <v>10</v>
      </c>
      <c r="O637" s="770" t="s">
        <v>494</v>
      </c>
      <c r="P637" s="770" t="s">
        <v>505</v>
      </c>
      <c r="Q637" s="770" t="s">
        <v>518</v>
      </c>
      <c r="R637" s="770" t="s">
        <v>497</v>
      </c>
      <c r="S637" s="770">
        <v>2019.0</v>
      </c>
      <c r="T637" s="771">
        <v>2495.890547</v>
      </c>
      <c r="U637" s="771">
        <v>3768.278094</v>
      </c>
      <c r="V637" s="772">
        <v>1361.10183</v>
      </c>
      <c r="X637" s="769" t="s">
        <v>521</v>
      </c>
      <c r="Y637" s="770" t="s">
        <v>494</v>
      </c>
      <c r="Z637" s="770" t="s">
        <v>507</v>
      </c>
      <c r="AA637" s="770" t="s">
        <v>627</v>
      </c>
      <c r="AB637" s="770" t="s">
        <v>493</v>
      </c>
      <c r="AC637" s="770" t="s">
        <v>103</v>
      </c>
      <c r="AD637" s="770" t="s">
        <v>501</v>
      </c>
      <c r="AE637" s="784" t="s">
        <v>502</v>
      </c>
      <c r="AF637" s="771">
        <v>2.394550982</v>
      </c>
      <c r="AG637" s="771">
        <v>0.6236697332</v>
      </c>
      <c r="AH637" s="771">
        <v>6.063314511</v>
      </c>
      <c r="AI637" s="772" t="s">
        <v>233</v>
      </c>
      <c r="AK637" s="769" t="s">
        <v>521</v>
      </c>
      <c r="AL637" s="770" t="s">
        <v>494</v>
      </c>
      <c r="AM637" s="770" t="s">
        <v>507</v>
      </c>
      <c r="AN637" s="770" t="s">
        <v>627</v>
      </c>
      <c r="AO637" s="770" t="s">
        <v>493</v>
      </c>
      <c r="AP637" s="770" t="s">
        <v>504</v>
      </c>
      <c r="AQ637" s="770" t="s">
        <v>501</v>
      </c>
      <c r="AR637" s="784" t="s">
        <v>502</v>
      </c>
      <c r="AS637" s="771">
        <v>3.115287473</v>
      </c>
      <c r="AT637" s="771">
        <v>0.8113882402</v>
      </c>
      <c r="AU637" s="771">
        <v>7.888313043</v>
      </c>
      <c r="AV637" s="989" t="s">
        <v>233</v>
      </c>
      <c r="AW637" s="714"/>
    </row>
    <row r="638">
      <c r="A638" s="761"/>
      <c r="B638" s="769" t="s">
        <v>493</v>
      </c>
      <c r="C638" s="770" t="s">
        <v>10</v>
      </c>
      <c r="D638" s="770" t="s">
        <v>494</v>
      </c>
      <c r="E638" s="770" t="s">
        <v>508</v>
      </c>
      <c r="F638" s="770" t="s">
        <v>518</v>
      </c>
      <c r="G638" s="770" t="s">
        <v>103</v>
      </c>
      <c r="H638" s="770">
        <v>2019.0</v>
      </c>
      <c r="I638" s="771">
        <v>3915.73998</v>
      </c>
      <c r="J638" s="771">
        <v>5599.245902</v>
      </c>
      <c r="K638" s="772">
        <v>2437.453543</v>
      </c>
      <c r="M638" s="769" t="s">
        <v>493</v>
      </c>
      <c r="N638" s="770" t="s">
        <v>10</v>
      </c>
      <c r="O638" s="770" t="s">
        <v>494</v>
      </c>
      <c r="P638" s="770" t="s">
        <v>508</v>
      </c>
      <c r="Q638" s="770" t="s">
        <v>518</v>
      </c>
      <c r="R638" s="770" t="s">
        <v>497</v>
      </c>
      <c r="S638" s="770">
        <v>2019.0</v>
      </c>
      <c r="T638" s="771">
        <v>327.2558385</v>
      </c>
      <c r="U638" s="771">
        <v>467.9539301</v>
      </c>
      <c r="V638" s="772">
        <v>203.7088538</v>
      </c>
      <c r="X638" s="769" t="s">
        <v>521</v>
      </c>
      <c r="Y638" s="770" t="s">
        <v>494</v>
      </c>
      <c r="Z638" s="770" t="s">
        <v>509</v>
      </c>
      <c r="AA638" s="770" t="s">
        <v>627</v>
      </c>
      <c r="AB638" s="770" t="s">
        <v>493</v>
      </c>
      <c r="AC638" s="770" t="s">
        <v>103</v>
      </c>
      <c r="AD638" s="770" t="s">
        <v>501</v>
      </c>
      <c r="AE638" s="784" t="s">
        <v>502</v>
      </c>
      <c r="AF638" s="771">
        <v>0.0</v>
      </c>
      <c r="AG638" s="771">
        <v>0.0</v>
      </c>
      <c r="AH638" s="771">
        <v>0.0</v>
      </c>
      <c r="AI638" s="772" t="s">
        <v>233</v>
      </c>
      <c r="AK638" s="769" t="s">
        <v>521</v>
      </c>
      <c r="AL638" s="770" t="s">
        <v>494</v>
      </c>
      <c r="AM638" s="770" t="s">
        <v>509</v>
      </c>
      <c r="AN638" s="770" t="s">
        <v>627</v>
      </c>
      <c r="AO638" s="770" t="s">
        <v>493</v>
      </c>
      <c r="AP638" s="770" t="s">
        <v>504</v>
      </c>
      <c r="AQ638" s="770" t="s">
        <v>501</v>
      </c>
      <c r="AR638" s="784" t="s">
        <v>502</v>
      </c>
      <c r="AS638" s="771">
        <v>0.0</v>
      </c>
      <c r="AT638" s="771">
        <v>0.0</v>
      </c>
      <c r="AU638" s="771">
        <v>0.0</v>
      </c>
      <c r="AV638" s="989" t="s">
        <v>233</v>
      </c>
      <c r="AW638" s="714"/>
    </row>
    <row r="639">
      <c r="A639" s="761"/>
      <c r="B639" s="769" t="s">
        <v>493</v>
      </c>
      <c r="C639" s="770" t="s">
        <v>10</v>
      </c>
      <c r="D639" s="770" t="s">
        <v>494</v>
      </c>
      <c r="E639" s="770" t="s">
        <v>512</v>
      </c>
      <c r="F639" s="770" t="s">
        <v>518</v>
      </c>
      <c r="G639" s="770" t="s">
        <v>103</v>
      </c>
      <c r="H639" s="770">
        <v>2019.0</v>
      </c>
      <c r="I639" s="771">
        <v>865.1332422</v>
      </c>
      <c r="J639" s="771">
        <v>1249.233629</v>
      </c>
      <c r="K639" s="772">
        <v>489.8212159</v>
      </c>
      <c r="M639" s="769" t="s">
        <v>493</v>
      </c>
      <c r="N639" s="770" t="s">
        <v>10</v>
      </c>
      <c r="O639" s="770" t="s">
        <v>494</v>
      </c>
      <c r="P639" s="770" t="s">
        <v>512</v>
      </c>
      <c r="Q639" s="770" t="s">
        <v>518</v>
      </c>
      <c r="R639" s="770" t="s">
        <v>497</v>
      </c>
      <c r="S639" s="770">
        <v>2019.0</v>
      </c>
      <c r="T639" s="771">
        <v>1140.305015</v>
      </c>
      <c r="U639" s="771">
        <v>1646.575698</v>
      </c>
      <c r="V639" s="772">
        <v>645.6179946</v>
      </c>
      <c r="X639" s="769" t="s">
        <v>521</v>
      </c>
      <c r="Y639" s="770" t="s">
        <v>494</v>
      </c>
      <c r="Z639" s="770" t="s">
        <v>513</v>
      </c>
      <c r="AA639" s="770" t="s">
        <v>627</v>
      </c>
      <c r="AB639" s="770" t="s">
        <v>493</v>
      </c>
      <c r="AC639" s="770" t="s">
        <v>103</v>
      </c>
      <c r="AD639" s="770" t="s">
        <v>501</v>
      </c>
      <c r="AE639" s="784" t="s">
        <v>502</v>
      </c>
      <c r="AF639" s="771">
        <v>9.91755054</v>
      </c>
      <c r="AG639" s="771">
        <v>2.379547225</v>
      </c>
      <c r="AH639" s="771">
        <v>26.27844347</v>
      </c>
      <c r="AI639" s="772" t="s">
        <v>233</v>
      </c>
      <c r="AK639" s="769" t="s">
        <v>521</v>
      </c>
      <c r="AL639" s="770" t="s">
        <v>494</v>
      </c>
      <c r="AM639" s="770" t="s">
        <v>513</v>
      </c>
      <c r="AN639" s="770" t="s">
        <v>627</v>
      </c>
      <c r="AO639" s="770" t="s">
        <v>493</v>
      </c>
      <c r="AP639" s="770" t="s">
        <v>504</v>
      </c>
      <c r="AQ639" s="770" t="s">
        <v>501</v>
      </c>
      <c r="AR639" s="784" t="s">
        <v>502</v>
      </c>
      <c r="AS639" s="771">
        <v>2.384959804</v>
      </c>
      <c r="AT639" s="771">
        <v>0.5722304575</v>
      </c>
      <c r="AU639" s="771">
        <v>6.319406303</v>
      </c>
      <c r="AV639" s="989" t="s">
        <v>233</v>
      </c>
      <c r="AW639" s="714"/>
    </row>
    <row r="640">
      <c r="A640" s="761"/>
      <c r="B640" s="769" t="s">
        <v>493</v>
      </c>
      <c r="C640" s="770" t="s">
        <v>10</v>
      </c>
      <c r="D640" s="770" t="s">
        <v>494</v>
      </c>
      <c r="E640" s="770" t="s">
        <v>495</v>
      </c>
      <c r="F640" s="770" t="s">
        <v>519</v>
      </c>
      <c r="G640" s="770" t="s">
        <v>103</v>
      </c>
      <c r="H640" s="770">
        <v>2019.0</v>
      </c>
      <c r="I640" s="771">
        <v>18316.72304</v>
      </c>
      <c r="J640" s="771">
        <v>22659.75008</v>
      </c>
      <c r="K640" s="772">
        <v>14683.84344</v>
      </c>
      <c r="M640" s="769" t="s">
        <v>493</v>
      </c>
      <c r="N640" s="770" t="s">
        <v>10</v>
      </c>
      <c r="O640" s="770" t="s">
        <v>494</v>
      </c>
      <c r="P640" s="770" t="s">
        <v>495</v>
      </c>
      <c r="Q640" s="770" t="s">
        <v>519</v>
      </c>
      <c r="R640" s="770" t="s">
        <v>497</v>
      </c>
      <c r="S640" s="770">
        <v>2019.0</v>
      </c>
      <c r="T640" s="771">
        <v>285.4831812</v>
      </c>
      <c r="U640" s="771">
        <v>353.173301</v>
      </c>
      <c r="V640" s="772">
        <v>228.8613705</v>
      </c>
      <c r="X640" s="769" t="s">
        <v>523</v>
      </c>
      <c r="Y640" s="770" t="s">
        <v>494</v>
      </c>
      <c r="Z640" s="770" t="s">
        <v>507</v>
      </c>
      <c r="AA640" s="770" t="s">
        <v>627</v>
      </c>
      <c r="AB640" s="770" t="s">
        <v>493</v>
      </c>
      <c r="AC640" s="770" t="s">
        <v>103</v>
      </c>
      <c r="AD640" s="770" t="s">
        <v>501</v>
      </c>
      <c r="AE640" s="784" t="s">
        <v>502</v>
      </c>
      <c r="AF640" s="771">
        <v>12.04309428</v>
      </c>
      <c r="AG640" s="771">
        <v>4.942405416</v>
      </c>
      <c r="AH640" s="771">
        <v>23.8613582</v>
      </c>
      <c r="AI640" s="772" t="s">
        <v>233</v>
      </c>
      <c r="AK640" s="769" t="s">
        <v>523</v>
      </c>
      <c r="AL640" s="770" t="s">
        <v>494</v>
      </c>
      <c r="AM640" s="770" t="s">
        <v>507</v>
      </c>
      <c r="AN640" s="770" t="s">
        <v>627</v>
      </c>
      <c r="AO640" s="770" t="s">
        <v>493</v>
      </c>
      <c r="AP640" s="770" t="s">
        <v>504</v>
      </c>
      <c r="AQ640" s="770" t="s">
        <v>501</v>
      </c>
      <c r="AR640" s="784" t="s">
        <v>502</v>
      </c>
      <c r="AS640" s="771">
        <v>15.6679482</v>
      </c>
      <c r="AT640" s="771">
        <v>6.430021243</v>
      </c>
      <c r="AU640" s="771">
        <v>31.0433943</v>
      </c>
      <c r="AV640" s="989" t="s">
        <v>233</v>
      </c>
      <c r="AW640" s="714"/>
    </row>
    <row r="641">
      <c r="A641" s="761"/>
      <c r="B641" s="769" t="s">
        <v>493</v>
      </c>
      <c r="C641" s="770" t="s">
        <v>10</v>
      </c>
      <c r="D641" s="770" t="s">
        <v>494</v>
      </c>
      <c r="E641" s="770" t="s">
        <v>505</v>
      </c>
      <c r="F641" s="770" t="s">
        <v>519</v>
      </c>
      <c r="G641" s="770" t="s">
        <v>103</v>
      </c>
      <c r="H641" s="770">
        <v>2019.0</v>
      </c>
      <c r="I641" s="771">
        <v>15618.10382</v>
      </c>
      <c r="J641" s="771">
        <v>19241.31992</v>
      </c>
      <c r="K641" s="772">
        <v>12509.16733</v>
      </c>
      <c r="M641" s="769" t="s">
        <v>493</v>
      </c>
      <c r="N641" s="770" t="s">
        <v>10</v>
      </c>
      <c r="O641" s="770" t="s">
        <v>494</v>
      </c>
      <c r="P641" s="770" t="s">
        <v>505</v>
      </c>
      <c r="Q641" s="770" t="s">
        <v>519</v>
      </c>
      <c r="R641" s="770" t="s">
        <v>497</v>
      </c>
      <c r="S641" s="770">
        <v>2019.0</v>
      </c>
      <c r="T641" s="771">
        <v>61100.34046</v>
      </c>
      <c r="U641" s="771">
        <v>75274.89968</v>
      </c>
      <c r="V641" s="772">
        <v>48937.71941</v>
      </c>
      <c r="X641" s="769" t="s">
        <v>523</v>
      </c>
      <c r="Y641" s="770" t="s">
        <v>494</v>
      </c>
      <c r="Z641" s="770" t="s">
        <v>513</v>
      </c>
      <c r="AA641" s="770" t="s">
        <v>627</v>
      </c>
      <c r="AB641" s="770" t="s">
        <v>493</v>
      </c>
      <c r="AC641" s="770" t="s">
        <v>103</v>
      </c>
      <c r="AD641" s="770" t="s">
        <v>501</v>
      </c>
      <c r="AE641" s="784" t="s">
        <v>502</v>
      </c>
      <c r="AF641" s="771">
        <v>18.6398136</v>
      </c>
      <c r="AG641" s="771">
        <v>8.087153899</v>
      </c>
      <c r="AH641" s="771">
        <v>35.16277525</v>
      </c>
      <c r="AI641" s="772" t="s">
        <v>233</v>
      </c>
      <c r="AK641" s="769" t="s">
        <v>523</v>
      </c>
      <c r="AL641" s="770" t="s">
        <v>494</v>
      </c>
      <c r="AM641" s="770" t="s">
        <v>513</v>
      </c>
      <c r="AN641" s="770" t="s">
        <v>627</v>
      </c>
      <c r="AO641" s="770" t="s">
        <v>493</v>
      </c>
      <c r="AP641" s="770" t="s">
        <v>504</v>
      </c>
      <c r="AQ641" s="770" t="s">
        <v>501</v>
      </c>
      <c r="AR641" s="784" t="s">
        <v>502</v>
      </c>
      <c r="AS641" s="771">
        <v>4.48247841</v>
      </c>
      <c r="AT641" s="771">
        <v>1.944788373</v>
      </c>
      <c r="AU641" s="771">
        <v>8.455898986</v>
      </c>
      <c r="AV641" s="989" t="s">
        <v>233</v>
      </c>
      <c r="AW641" s="714"/>
    </row>
    <row r="642">
      <c r="A642" s="761"/>
      <c r="B642" s="769" t="s">
        <v>493</v>
      </c>
      <c r="C642" s="770" t="s">
        <v>10</v>
      </c>
      <c r="D642" s="770" t="s">
        <v>494</v>
      </c>
      <c r="E642" s="770" t="s">
        <v>508</v>
      </c>
      <c r="F642" s="770" t="s">
        <v>519</v>
      </c>
      <c r="G642" s="770" t="s">
        <v>103</v>
      </c>
      <c r="H642" s="770">
        <v>2019.0</v>
      </c>
      <c r="I642" s="771">
        <v>503.5382165</v>
      </c>
      <c r="J642" s="771">
        <v>707.2921087</v>
      </c>
      <c r="K642" s="772">
        <v>353.0408792</v>
      </c>
      <c r="M642" s="769" t="s">
        <v>493</v>
      </c>
      <c r="N642" s="770" t="s">
        <v>10</v>
      </c>
      <c r="O642" s="770" t="s">
        <v>494</v>
      </c>
      <c r="P642" s="770" t="s">
        <v>508</v>
      </c>
      <c r="Q642" s="770" t="s">
        <v>519</v>
      </c>
      <c r="R642" s="770" t="s">
        <v>497</v>
      </c>
      <c r="S642" s="770">
        <v>2019.0</v>
      </c>
      <c r="T642" s="771">
        <v>42.0829325</v>
      </c>
      <c r="U642" s="771">
        <v>59.1115532</v>
      </c>
      <c r="V642" s="772">
        <v>29.50519941</v>
      </c>
      <c r="X642" s="769" t="s">
        <v>496</v>
      </c>
      <c r="Y642" s="770" t="s">
        <v>494</v>
      </c>
      <c r="Z642" s="770" t="s">
        <v>499</v>
      </c>
      <c r="AA642" s="770" t="s">
        <v>41</v>
      </c>
      <c r="AB642" s="770" t="s">
        <v>493</v>
      </c>
      <c r="AC642" s="770" t="s">
        <v>103</v>
      </c>
      <c r="AD642" s="770" t="s">
        <v>501</v>
      </c>
      <c r="AE642" s="784" t="s">
        <v>502</v>
      </c>
      <c r="AF642" s="771">
        <v>2060.925307</v>
      </c>
      <c r="AG642" s="771">
        <v>1654.438874</v>
      </c>
      <c r="AH642" s="771">
        <v>2573.138804</v>
      </c>
      <c r="AI642" s="772" t="s">
        <v>233</v>
      </c>
      <c r="AK642" s="769" t="s">
        <v>496</v>
      </c>
      <c r="AL642" s="770" t="s">
        <v>494</v>
      </c>
      <c r="AM642" s="770" t="s">
        <v>499</v>
      </c>
      <c r="AN642" s="770" t="s">
        <v>41</v>
      </c>
      <c r="AO642" s="770" t="s">
        <v>493</v>
      </c>
      <c r="AP642" s="770" t="s">
        <v>504</v>
      </c>
      <c r="AQ642" s="770" t="s">
        <v>501</v>
      </c>
      <c r="AR642" s="784" t="s">
        <v>502</v>
      </c>
      <c r="AS642" s="771">
        <v>109458.7043</v>
      </c>
      <c r="AT642" s="771">
        <v>87869.62578</v>
      </c>
      <c r="AU642" s="771">
        <v>136663.0991</v>
      </c>
      <c r="AV642" s="989" t="s">
        <v>233</v>
      </c>
      <c r="AW642" s="714"/>
    </row>
    <row r="643">
      <c r="A643" s="761"/>
      <c r="B643" s="769" t="s">
        <v>493</v>
      </c>
      <c r="C643" s="770" t="s">
        <v>10</v>
      </c>
      <c r="D643" s="770" t="s">
        <v>494</v>
      </c>
      <c r="E643" s="770" t="s">
        <v>512</v>
      </c>
      <c r="F643" s="770" t="s">
        <v>519</v>
      </c>
      <c r="G643" s="770" t="s">
        <v>103</v>
      </c>
      <c r="H643" s="770">
        <v>2019.0</v>
      </c>
      <c r="I643" s="771">
        <v>2147.990078</v>
      </c>
      <c r="J643" s="771">
        <v>2761.081537</v>
      </c>
      <c r="K643" s="772">
        <v>1674.098403</v>
      </c>
      <c r="M643" s="769" t="s">
        <v>493</v>
      </c>
      <c r="N643" s="770" t="s">
        <v>10</v>
      </c>
      <c r="O643" s="770" t="s">
        <v>494</v>
      </c>
      <c r="P643" s="770" t="s">
        <v>512</v>
      </c>
      <c r="Q643" s="770" t="s">
        <v>519</v>
      </c>
      <c r="R643" s="770" t="s">
        <v>497</v>
      </c>
      <c r="S643" s="770">
        <v>2019.0</v>
      </c>
      <c r="T643" s="771">
        <v>2831.198407</v>
      </c>
      <c r="U643" s="771">
        <v>3639.295047</v>
      </c>
      <c r="V643" s="772">
        <v>2206.576642</v>
      </c>
      <c r="X643" s="769" t="s">
        <v>496</v>
      </c>
      <c r="Y643" s="770" t="s">
        <v>494</v>
      </c>
      <c r="Z643" s="770" t="s">
        <v>507</v>
      </c>
      <c r="AA643" s="770" t="s">
        <v>41</v>
      </c>
      <c r="AB643" s="770" t="s">
        <v>493</v>
      </c>
      <c r="AC643" s="770" t="s">
        <v>103</v>
      </c>
      <c r="AD643" s="770" t="s">
        <v>501</v>
      </c>
      <c r="AE643" s="784" t="s">
        <v>502</v>
      </c>
      <c r="AF643" s="771">
        <v>1063.922078</v>
      </c>
      <c r="AG643" s="771">
        <v>853.2370172</v>
      </c>
      <c r="AH643" s="771">
        <v>1333.21617</v>
      </c>
      <c r="AI643" s="772" t="s">
        <v>233</v>
      </c>
      <c r="AK643" s="769" t="s">
        <v>496</v>
      </c>
      <c r="AL643" s="770" t="s">
        <v>494</v>
      </c>
      <c r="AM643" s="770" t="s">
        <v>507</v>
      </c>
      <c r="AN643" s="770" t="s">
        <v>41</v>
      </c>
      <c r="AO643" s="770" t="s">
        <v>493</v>
      </c>
      <c r="AP643" s="770" t="s">
        <v>504</v>
      </c>
      <c r="AQ643" s="770" t="s">
        <v>501</v>
      </c>
      <c r="AR643" s="784" t="s">
        <v>502</v>
      </c>
      <c r="AS643" s="771">
        <v>1193.558666</v>
      </c>
      <c r="AT643" s="771">
        <v>957.2020894</v>
      </c>
      <c r="AU643" s="771">
        <v>1495.665657</v>
      </c>
      <c r="AV643" s="989" t="s">
        <v>233</v>
      </c>
      <c r="AW643" s="714"/>
    </row>
    <row r="644">
      <c r="A644" s="761"/>
      <c r="B644" s="769" t="s">
        <v>493</v>
      </c>
      <c r="C644" s="770" t="s">
        <v>10</v>
      </c>
      <c r="D644" s="770" t="s">
        <v>494</v>
      </c>
      <c r="E644" s="770" t="s">
        <v>495</v>
      </c>
      <c r="F644" s="770" t="s">
        <v>521</v>
      </c>
      <c r="G644" s="770" t="s">
        <v>103</v>
      </c>
      <c r="H644" s="770">
        <v>2019.0</v>
      </c>
      <c r="I644" s="771">
        <v>369.2190891</v>
      </c>
      <c r="J644" s="771">
        <v>860.5272648</v>
      </c>
      <c r="K644" s="772">
        <v>110.9703875</v>
      </c>
      <c r="M644" s="769" t="s">
        <v>493</v>
      </c>
      <c r="N644" s="770" t="s">
        <v>10</v>
      </c>
      <c r="O644" s="770" t="s">
        <v>494</v>
      </c>
      <c r="P644" s="770" t="s">
        <v>495</v>
      </c>
      <c r="Q644" s="770" t="s">
        <v>521</v>
      </c>
      <c r="R644" s="770" t="s">
        <v>497</v>
      </c>
      <c r="S644" s="770">
        <v>2019.0</v>
      </c>
      <c r="T644" s="771">
        <v>5.754623242</v>
      </c>
      <c r="U644" s="771">
        <v>13.41211856</v>
      </c>
      <c r="V644" s="772">
        <v>1.7295768</v>
      </c>
      <c r="X644" s="769" t="s">
        <v>496</v>
      </c>
      <c r="Y644" s="770" t="s">
        <v>494</v>
      </c>
      <c r="Z644" s="770" t="s">
        <v>509</v>
      </c>
      <c r="AA644" s="770" t="s">
        <v>41</v>
      </c>
      <c r="AB644" s="770" t="s">
        <v>493</v>
      </c>
      <c r="AC644" s="770" t="s">
        <v>103</v>
      </c>
      <c r="AD644" s="770" t="s">
        <v>501</v>
      </c>
      <c r="AE644" s="784" t="s">
        <v>502</v>
      </c>
      <c r="AF644" s="771">
        <v>328.0110029</v>
      </c>
      <c r="AG644" s="771">
        <v>260.0550575</v>
      </c>
      <c r="AH644" s="771">
        <v>413.6510502</v>
      </c>
      <c r="AI644" s="772" t="s">
        <v>233</v>
      </c>
      <c r="AK644" s="769" t="s">
        <v>496</v>
      </c>
      <c r="AL644" s="770" t="s">
        <v>494</v>
      </c>
      <c r="AM644" s="770" t="s">
        <v>509</v>
      </c>
      <c r="AN644" s="770" t="s">
        <v>41</v>
      </c>
      <c r="AO644" s="770" t="s">
        <v>493</v>
      </c>
      <c r="AP644" s="770" t="s">
        <v>504</v>
      </c>
      <c r="AQ644" s="770" t="s">
        <v>501</v>
      </c>
      <c r="AR644" s="784" t="s">
        <v>502</v>
      </c>
      <c r="AS644" s="771">
        <v>5880.29835</v>
      </c>
      <c r="AT644" s="771">
        <v>4662.042773</v>
      </c>
      <c r="AU644" s="771">
        <v>7415.579255</v>
      </c>
      <c r="AV644" s="989" t="s">
        <v>233</v>
      </c>
      <c r="AW644" s="714"/>
    </row>
    <row r="645">
      <c r="A645" s="761"/>
      <c r="B645" s="769" t="s">
        <v>493</v>
      </c>
      <c r="C645" s="770" t="s">
        <v>10</v>
      </c>
      <c r="D645" s="770" t="s">
        <v>494</v>
      </c>
      <c r="E645" s="770" t="s">
        <v>505</v>
      </c>
      <c r="F645" s="770" t="s">
        <v>521</v>
      </c>
      <c r="G645" s="770" t="s">
        <v>103</v>
      </c>
      <c r="H645" s="770">
        <v>2019.0</v>
      </c>
      <c r="I645" s="771">
        <v>0.0</v>
      </c>
      <c r="J645" s="771">
        <v>0.0</v>
      </c>
      <c r="K645" s="772">
        <v>0.0</v>
      </c>
      <c r="M645" s="769" t="s">
        <v>493</v>
      </c>
      <c r="N645" s="770" t="s">
        <v>10</v>
      </c>
      <c r="O645" s="770" t="s">
        <v>494</v>
      </c>
      <c r="P645" s="770" t="s">
        <v>505</v>
      </c>
      <c r="Q645" s="770" t="s">
        <v>521</v>
      </c>
      <c r="R645" s="770" t="s">
        <v>497</v>
      </c>
      <c r="S645" s="770">
        <v>2019.0</v>
      </c>
      <c r="T645" s="771">
        <v>0.0</v>
      </c>
      <c r="U645" s="771">
        <v>0.0</v>
      </c>
      <c r="V645" s="772">
        <v>0.0</v>
      </c>
      <c r="X645" s="769" t="s">
        <v>496</v>
      </c>
      <c r="Y645" s="770" t="s">
        <v>494</v>
      </c>
      <c r="Z645" s="770" t="s">
        <v>513</v>
      </c>
      <c r="AA645" s="770" t="s">
        <v>41</v>
      </c>
      <c r="AB645" s="770" t="s">
        <v>493</v>
      </c>
      <c r="AC645" s="770" t="s">
        <v>103</v>
      </c>
      <c r="AD645" s="770" t="s">
        <v>501</v>
      </c>
      <c r="AE645" s="784" t="s">
        <v>502</v>
      </c>
      <c r="AF645" s="771">
        <v>4522.234854</v>
      </c>
      <c r="AG645" s="771">
        <v>3622.557395</v>
      </c>
      <c r="AH645" s="771">
        <v>5659.65816</v>
      </c>
      <c r="AI645" s="772" t="s">
        <v>233</v>
      </c>
      <c r="AK645" s="769" t="s">
        <v>496</v>
      </c>
      <c r="AL645" s="770" t="s">
        <v>494</v>
      </c>
      <c r="AM645" s="770" t="s">
        <v>513</v>
      </c>
      <c r="AN645" s="770" t="s">
        <v>41</v>
      </c>
      <c r="AO645" s="770" t="s">
        <v>493</v>
      </c>
      <c r="AP645" s="770" t="s">
        <v>504</v>
      </c>
      <c r="AQ645" s="770" t="s">
        <v>501</v>
      </c>
      <c r="AR645" s="784" t="s">
        <v>502</v>
      </c>
      <c r="AS645" s="771">
        <v>929.9922997</v>
      </c>
      <c r="AT645" s="771">
        <v>744.9746841</v>
      </c>
      <c r="AU645" s="771">
        <v>1163.90207</v>
      </c>
      <c r="AV645" s="989" t="s">
        <v>233</v>
      </c>
      <c r="AW645" s="714"/>
    </row>
    <row r="646">
      <c r="A646" s="761"/>
      <c r="B646" s="769" t="s">
        <v>493</v>
      </c>
      <c r="C646" s="770" t="s">
        <v>10</v>
      </c>
      <c r="D646" s="770" t="s">
        <v>494</v>
      </c>
      <c r="E646" s="770" t="s">
        <v>508</v>
      </c>
      <c r="F646" s="770" t="s">
        <v>521</v>
      </c>
      <c r="G646" s="770" t="s">
        <v>103</v>
      </c>
      <c r="H646" s="770">
        <v>2019.0</v>
      </c>
      <c r="I646" s="771">
        <v>111.3914527</v>
      </c>
      <c r="J646" s="771">
        <v>263.2954427</v>
      </c>
      <c r="K646" s="772">
        <v>33.52072869</v>
      </c>
      <c r="M646" s="769" t="s">
        <v>493</v>
      </c>
      <c r="N646" s="770" t="s">
        <v>10</v>
      </c>
      <c r="O646" s="770" t="s">
        <v>494</v>
      </c>
      <c r="P646" s="770" t="s">
        <v>508</v>
      </c>
      <c r="Q646" s="770" t="s">
        <v>521</v>
      </c>
      <c r="R646" s="770" t="s">
        <v>497</v>
      </c>
      <c r="S646" s="770">
        <v>2019.0</v>
      </c>
      <c r="T646" s="771">
        <v>9.30948006</v>
      </c>
      <c r="U646" s="771">
        <v>22.00477338</v>
      </c>
      <c r="V646" s="772">
        <v>2.801476664</v>
      </c>
      <c r="X646" s="769" t="s">
        <v>514</v>
      </c>
      <c r="Y646" s="770" t="s">
        <v>494</v>
      </c>
      <c r="Z646" s="770" t="s">
        <v>499</v>
      </c>
      <c r="AA646" s="770" t="s">
        <v>41</v>
      </c>
      <c r="AB646" s="770" t="s">
        <v>493</v>
      </c>
      <c r="AC646" s="770" t="s">
        <v>103</v>
      </c>
      <c r="AD646" s="770" t="s">
        <v>501</v>
      </c>
      <c r="AE646" s="784" t="s">
        <v>502</v>
      </c>
      <c r="AF646" s="771">
        <v>1899.627952</v>
      </c>
      <c r="AG646" s="771">
        <v>1523.133516</v>
      </c>
      <c r="AH646" s="771">
        <v>2383.438684</v>
      </c>
      <c r="AI646" s="772" t="s">
        <v>233</v>
      </c>
      <c r="AK646" s="769" t="s">
        <v>514</v>
      </c>
      <c r="AL646" s="770" t="s">
        <v>494</v>
      </c>
      <c r="AM646" s="770" t="s">
        <v>499</v>
      </c>
      <c r="AN646" s="770" t="s">
        <v>41</v>
      </c>
      <c r="AO646" s="770" t="s">
        <v>493</v>
      </c>
      <c r="AP646" s="770" t="s">
        <v>504</v>
      </c>
      <c r="AQ646" s="770" t="s">
        <v>501</v>
      </c>
      <c r="AR646" s="784" t="s">
        <v>502</v>
      </c>
      <c r="AS646" s="771">
        <v>100891.97</v>
      </c>
      <c r="AT646" s="771">
        <v>80895.80957</v>
      </c>
      <c r="AU646" s="771">
        <v>126587.8531</v>
      </c>
      <c r="AV646" s="989" t="s">
        <v>233</v>
      </c>
      <c r="AW646" s="714"/>
    </row>
    <row r="647">
      <c r="A647" s="761"/>
      <c r="B647" s="769" t="s">
        <v>493</v>
      </c>
      <c r="C647" s="770" t="s">
        <v>10</v>
      </c>
      <c r="D647" s="770" t="s">
        <v>494</v>
      </c>
      <c r="E647" s="770" t="s">
        <v>512</v>
      </c>
      <c r="F647" s="770" t="s">
        <v>521</v>
      </c>
      <c r="G647" s="770" t="s">
        <v>103</v>
      </c>
      <c r="H647" s="770">
        <v>2019.0</v>
      </c>
      <c r="I647" s="771">
        <v>0.0</v>
      </c>
      <c r="J647" s="771">
        <v>0.0</v>
      </c>
      <c r="K647" s="772">
        <v>0.0</v>
      </c>
      <c r="M647" s="769" t="s">
        <v>493</v>
      </c>
      <c r="N647" s="770" t="s">
        <v>10</v>
      </c>
      <c r="O647" s="770" t="s">
        <v>494</v>
      </c>
      <c r="P647" s="770" t="s">
        <v>512</v>
      </c>
      <c r="Q647" s="770" t="s">
        <v>521</v>
      </c>
      <c r="R647" s="770" t="s">
        <v>497</v>
      </c>
      <c r="S647" s="770">
        <v>2019.0</v>
      </c>
      <c r="T647" s="771">
        <v>0.0</v>
      </c>
      <c r="U647" s="771">
        <v>0.0</v>
      </c>
      <c r="V647" s="772">
        <v>0.0</v>
      </c>
      <c r="X647" s="769" t="s">
        <v>514</v>
      </c>
      <c r="Y647" s="770" t="s">
        <v>494</v>
      </c>
      <c r="Z647" s="770" t="s">
        <v>507</v>
      </c>
      <c r="AA647" s="770" t="s">
        <v>41</v>
      </c>
      <c r="AB647" s="770" t="s">
        <v>493</v>
      </c>
      <c r="AC647" s="770" t="s">
        <v>103</v>
      </c>
      <c r="AD647" s="770" t="s">
        <v>501</v>
      </c>
      <c r="AE647" s="784" t="s">
        <v>502</v>
      </c>
      <c r="AF647" s="771">
        <v>939.8690807</v>
      </c>
      <c r="AG647" s="771">
        <v>747.5144459</v>
      </c>
      <c r="AH647" s="771">
        <v>1192.895041</v>
      </c>
      <c r="AI647" s="772" t="s">
        <v>233</v>
      </c>
      <c r="AK647" s="769" t="s">
        <v>514</v>
      </c>
      <c r="AL647" s="770" t="s">
        <v>494</v>
      </c>
      <c r="AM647" s="770" t="s">
        <v>507</v>
      </c>
      <c r="AN647" s="770" t="s">
        <v>41</v>
      </c>
      <c r="AO647" s="770" t="s">
        <v>493</v>
      </c>
      <c r="AP647" s="770" t="s">
        <v>504</v>
      </c>
      <c r="AQ647" s="770" t="s">
        <v>501</v>
      </c>
      <c r="AR647" s="784" t="s">
        <v>502</v>
      </c>
      <c r="AS647" s="771">
        <v>1054.390081</v>
      </c>
      <c r="AT647" s="771">
        <v>838.5974531</v>
      </c>
      <c r="AU647" s="771">
        <v>1338.246704</v>
      </c>
      <c r="AV647" s="989" t="s">
        <v>233</v>
      </c>
      <c r="AW647" s="714"/>
    </row>
    <row r="648">
      <c r="A648" s="761"/>
      <c r="B648" s="769" t="s">
        <v>493</v>
      </c>
      <c r="C648" s="770" t="s">
        <v>10</v>
      </c>
      <c r="D648" s="770" t="s">
        <v>494</v>
      </c>
      <c r="E648" s="770" t="s">
        <v>495</v>
      </c>
      <c r="F648" s="770" t="s">
        <v>523</v>
      </c>
      <c r="G648" s="770" t="s">
        <v>103</v>
      </c>
      <c r="H648" s="770">
        <v>2019.0</v>
      </c>
      <c r="I648" s="771">
        <v>2228.863407</v>
      </c>
      <c r="J648" s="771">
        <v>2990.022718</v>
      </c>
      <c r="K648" s="772">
        <v>1551.651673</v>
      </c>
      <c r="M648" s="769" t="s">
        <v>493</v>
      </c>
      <c r="N648" s="770" t="s">
        <v>10</v>
      </c>
      <c r="O648" s="770" t="s">
        <v>494</v>
      </c>
      <c r="P648" s="770" t="s">
        <v>495</v>
      </c>
      <c r="Q648" s="770" t="s">
        <v>523</v>
      </c>
      <c r="R648" s="770" t="s">
        <v>497</v>
      </c>
      <c r="S648" s="770">
        <v>2019.0</v>
      </c>
      <c r="T648" s="771">
        <v>34.73891123</v>
      </c>
      <c r="U648" s="771">
        <v>46.60228773</v>
      </c>
      <c r="V648" s="772">
        <v>24.18393589</v>
      </c>
      <c r="X648" s="769" t="s">
        <v>514</v>
      </c>
      <c r="Y648" s="770" t="s">
        <v>494</v>
      </c>
      <c r="Z648" s="770" t="s">
        <v>509</v>
      </c>
      <c r="AA648" s="770" t="s">
        <v>41</v>
      </c>
      <c r="AB648" s="770" t="s">
        <v>493</v>
      </c>
      <c r="AC648" s="770" t="s">
        <v>103</v>
      </c>
      <c r="AD648" s="770" t="s">
        <v>501</v>
      </c>
      <c r="AE648" s="784" t="s">
        <v>502</v>
      </c>
      <c r="AF648" s="771">
        <v>297.0060283</v>
      </c>
      <c r="AG648" s="771">
        <v>234.3501964</v>
      </c>
      <c r="AH648" s="771">
        <v>377.0483919</v>
      </c>
      <c r="AI648" s="772" t="s">
        <v>233</v>
      </c>
      <c r="AK648" s="769" t="s">
        <v>514</v>
      </c>
      <c r="AL648" s="770" t="s">
        <v>494</v>
      </c>
      <c r="AM648" s="770" t="s">
        <v>509</v>
      </c>
      <c r="AN648" s="770" t="s">
        <v>41</v>
      </c>
      <c r="AO648" s="770" t="s">
        <v>493</v>
      </c>
      <c r="AP648" s="770" t="s">
        <v>504</v>
      </c>
      <c r="AQ648" s="770" t="s">
        <v>501</v>
      </c>
      <c r="AR648" s="784" t="s">
        <v>502</v>
      </c>
      <c r="AS648" s="771">
        <v>5324.467909</v>
      </c>
      <c r="AT648" s="771">
        <v>4201.228195</v>
      </c>
      <c r="AU648" s="771">
        <v>6759.398366</v>
      </c>
      <c r="AV648" s="989" t="s">
        <v>233</v>
      </c>
      <c r="AW648" s="714"/>
    </row>
    <row r="649">
      <c r="A649" s="761"/>
      <c r="B649" s="769" t="s">
        <v>493</v>
      </c>
      <c r="C649" s="770" t="s">
        <v>10</v>
      </c>
      <c r="D649" s="770" t="s">
        <v>494</v>
      </c>
      <c r="E649" s="770" t="s">
        <v>505</v>
      </c>
      <c r="F649" s="770" t="s">
        <v>523</v>
      </c>
      <c r="G649" s="770" t="s">
        <v>103</v>
      </c>
      <c r="H649" s="770">
        <v>2019.0</v>
      </c>
      <c r="I649" s="771">
        <v>0.0</v>
      </c>
      <c r="J649" s="771">
        <v>0.0</v>
      </c>
      <c r="K649" s="772">
        <v>0.0</v>
      </c>
      <c r="M649" s="769" t="s">
        <v>493</v>
      </c>
      <c r="N649" s="770" t="s">
        <v>10</v>
      </c>
      <c r="O649" s="770" t="s">
        <v>494</v>
      </c>
      <c r="P649" s="770" t="s">
        <v>505</v>
      </c>
      <c r="Q649" s="770" t="s">
        <v>523</v>
      </c>
      <c r="R649" s="770" t="s">
        <v>497</v>
      </c>
      <c r="S649" s="770">
        <v>2019.0</v>
      </c>
      <c r="T649" s="771">
        <v>0.0</v>
      </c>
      <c r="U649" s="771">
        <v>0.0</v>
      </c>
      <c r="V649" s="772">
        <v>0.0</v>
      </c>
      <c r="X649" s="769" t="s">
        <v>514</v>
      </c>
      <c r="Y649" s="770" t="s">
        <v>494</v>
      </c>
      <c r="Z649" s="770" t="s">
        <v>513</v>
      </c>
      <c r="AA649" s="770" t="s">
        <v>41</v>
      </c>
      <c r="AB649" s="770" t="s">
        <v>493</v>
      </c>
      <c r="AC649" s="770" t="s">
        <v>103</v>
      </c>
      <c r="AD649" s="770" t="s">
        <v>501</v>
      </c>
      <c r="AE649" s="784" t="s">
        <v>502</v>
      </c>
      <c r="AF649" s="771">
        <v>4113.554881</v>
      </c>
      <c r="AG649" s="771">
        <v>3293.683145</v>
      </c>
      <c r="AH649" s="771">
        <v>5173.771501</v>
      </c>
      <c r="AI649" s="772" t="s">
        <v>233</v>
      </c>
      <c r="AK649" s="769" t="s">
        <v>514</v>
      </c>
      <c r="AL649" s="770" t="s">
        <v>494</v>
      </c>
      <c r="AM649" s="770" t="s">
        <v>513</v>
      </c>
      <c r="AN649" s="770" t="s">
        <v>41</v>
      </c>
      <c r="AO649" s="770" t="s">
        <v>493</v>
      </c>
      <c r="AP649" s="770" t="s">
        <v>504</v>
      </c>
      <c r="AQ649" s="770" t="s">
        <v>501</v>
      </c>
      <c r="AR649" s="784" t="s">
        <v>502</v>
      </c>
      <c r="AS649" s="771">
        <v>845.947742</v>
      </c>
      <c r="AT649" s="771">
        <v>677.34208</v>
      </c>
      <c r="AU649" s="771">
        <v>1063.980048</v>
      </c>
      <c r="AV649" s="989" t="s">
        <v>233</v>
      </c>
      <c r="AW649" s="714"/>
    </row>
    <row r="650">
      <c r="A650" s="761"/>
      <c r="B650" s="769" t="s">
        <v>493</v>
      </c>
      <c r="C650" s="770" t="s">
        <v>10</v>
      </c>
      <c r="D650" s="770" t="s">
        <v>494</v>
      </c>
      <c r="E650" s="770" t="s">
        <v>508</v>
      </c>
      <c r="F650" s="770" t="s">
        <v>523</v>
      </c>
      <c r="G650" s="770" t="s">
        <v>103</v>
      </c>
      <c r="H650" s="770">
        <v>2019.0</v>
      </c>
      <c r="I650" s="771">
        <v>1018.345263</v>
      </c>
      <c r="J650" s="771">
        <v>1396.021086</v>
      </c>
      <c r="K650" s="772">
        <v>710.5205078</v>
      </c>
      <c r="M650" s="769" t="s">
        <v>493</v>
      </c>
      <c r="N650" s="770" t="s">
        <v>10</v>
      </c>
      <c r="O650" s="770" t="s">
        <v>494</v>
      </c>
      <c r="P650" s="770" t="s">
        <v>508</v>
      </c>
      <c r="Q650" s="770" t="s">
        <v>523</v>
      </c>
      <c r="R650" s="770" t="s">
        <v>497</v>
      </c>
      <c r="S650" s="770">
        <v>2019.0</v>
      </c>
      <c r="T650" s="771">
        <v>85.10765138</v>
      </c>
      <c r="U650" s="771">
        <v>116.6717028</v>
      </c>
      <c r="V650" s="772">
        <v>59.38136489</v>
      </c>
      <c r="X650" s="769" t="s">
        <v>518</v>
      </c>
      <c r="Y650" s="770" t="s">
        <v>494</v>
      </c>
      <c r="Z650" s="770" t="s">
        <v>499</v>
      </c>
      <c r="AA650" s="770" t="s">
        <v>41</v>
      </c>
      <c r="AB650" s="770" t="s">
        <v>493</v>
      </c>
      <c r="AC650" s="770" t="s">
        <v>103</v>
      </c>
      <c r="AD650" s="770" t="s">
        <v>501</v>
      </c>
      <c r="AE650" s="784" t="s">
        <v>502</v>
      </c>
      <c r="AF650" s="771">
        <v>17.17300355</v>
      </c>
      <c r="AG650" s="771">
        <v>6.843075932</v>
      </c>
      <c r="AH650" s="771">
        <v>38.10451055</v>
      </c>
      <c r="AI650" s="772" t="s">
        <v>233</v>
      </c>
      <c r="AK650" s="769" t="s">
        <v>518</v>
      </c>
      <c r="AL650" s="770" t="s">
        <v>494</v>
      </c>
      <c r="AM650" s="770" t="s">
        <v>499</v>
      </c>
      <c r="AN650" s="770" t="s">
        <v>41</v>
      </c>
      <c r="AO650" s="770" t="s">
        <v>493</v>
      </c>
      <c r="AP650" s="770" t="s">
        <v>504</v>
      </c>
      <c r="AQ650" s="770" t="s">
        <v>501</v>
      </c>
      <c r="AR650" s="784" t="s">
        <v>502</v>
      </c>
      <c r="AS650" s="771">
        <v>912.0828937</v>
      </c>
      <c r="AT650" s="771">
        <v>363.4455952</v>
      </c>
      <c r="AU650" s="771">
        <v>2023.785306</v>
      </c>
      <c r="AV650" s="989" t="s">
        <v>233</v>
      </c>
      <c r="AW650" s="714"/>
    </row>
    <row r="651">
      <c r="A651" s="761"/>
      <c r="B651" s="769" t="s">
        <v>493</v>
      </c>
      <c r="C651" s="770" t="s">
        <v>10</v>
      </c>
      <c r="D651" s="770" t="s">
        <v>494</v>
      </c>
      <c r="E651" s="770" t="s">
        <v>512</v>
      </c>
      <c r="F651" s="770" t="s">
        <v>523</v>
      </c>
      <c r="G651" s="770" t="s">
        <v>103</v>
      </c>
      <c r="H651" s="770">
        <v>2019.0</v>
      </c>
      <c r="I651" s="771">
        <v>0.0</v>
      </c>
      <c r="J651" s="771">
        <v>0.0</v>
      </c>
      <c r="K651" s="772">
        <v>0.0</v>
      </c>
      <c r="M651" s="769" t="s">
        <v>493</v>
      </c>
      <c r="N651" s="770" t="s">
        <v>10</v>
      </c>
      <c r="O651" s="770" t="s">
        <v>494</v>
      </c>
      <c r="P651" s="770" t="s">
        <v>512</v>
      </c>
      <c r="Q651" s="770" t="s">
        <v>523</v>
      </c>
      <c r="R651" s="770" t="s">
        <v>497</v>
      </c>
      <c r="S651" s="770">
        <v>2019.0</v>
      </c>
      <c r="T651" s="771">
        <v>0.0</v>
      </c>
      <c r="U651" s="771">
        <v>0.0</v>
      </c>
      <c r="V651" s="772">
        <v>0.0</v>
      </c>
      <c r="X651" s="769" t="s">
        <v>518</v>
      </c>
      <c r="Y651" s="770" t="s">
        <v>494</v>
      </c>
      <c r="Z651" s="770" t="s">
        <v>507</v>
      </c>
      <c r="AA651" s="770" t="s">
        <v>41</v>
      </c>
      <c r="AB651" s="770" t="s">
        <v>493</v>
      </c>
      <c r="AC651" s="770" t="s">
        <v>103</v>
      </c>
      <c r="AD651" s="770" t="s">
        <v>501</v>
      </c>
      <c r="AE651" s="784" t="s">
        <v>502</v>
      </c>
      <c r="AF651" s="771">
        <v>189.1959992</v>
      </c>
      <c r="AG651" s="771">
        <v>74.93996408</v>
      </c>
      <c r="AH651" s="771">
        <v>349.2092595</v>
      </c>
      <c r="AI651" s="772" t="s">
        <v>233</v>
      </c>
      <c r="AK651" s="769" t="s">
        <v>518</v>
      </c>
      <c r="AL651" s="770" t="s">
        <v>494</v>
      </c>
      <c r="AM651" s="770" t="s">
        <v>507</v>
      </c>
      <c r="AN651" s="770" t="s">
        <v>41</v>
      </c>
      <c r="AO651" s="770" t="s">
        <v>493</v>
      </c>
      <c r="AP651" s="770" t="s">
        <v>504</v>
      </c>
      <c r="AQ651" s="770" t="s">
        <v>501</v>
      </c>
      <c r="AR651" s="784" t="s">
        <v>502</v>
      </c>
      <c r="AS651" s="771">
        <v>212.2491196</v>
      </c>
      <c r="AT651" s="771">
        <v>84.07123549</v>
      </c>
      <c r="AU651" s="771">
        <v>391.7596472</v>
      </c>
      <c r="AV651" s="989" t="s">
        <v>233</v>
      </c>
      <c r="AW651" s="714"/>
    </row>
    <row r="652">
      <c r="A652" s="761"/>
      <c r="B652" s="786" t="s">
        <v>493</v>
      </c>
      <c r="C652" s="787" t="s">
        <v>628</v>
      </c>
      <c r="D652" s="787" t="s">
        <v>494</v>
      </c>
      <c r="E652" s="787" t="s">
        <v>495</v>
      </c>
      <c r="F652" s="787" t="s">
        <v>496</v>
      </c>
      <c r="G652" s="787" t="s">
        <v>103</v>
      </c>
      <c r="H652" s="788">
        <v>2019.0</v>
      </c>
      <c r="I652" s="789">
        <v>3027.795432</v>
      </c>
      <c r="J652" s="789">
        <v>3740.19604</v>
      </c>
      <c r="K652" s="790">
        <v>2373.282949</v>
      </c>
      <c r="M652" s="769" t="s">
        <v>493</v>
      </c>
      <c r="N652" s="770" t="s">
        <v>628</v>
      </c>
      <c r="O652" s="770" t="s">
        <v>494</v>
      </c>
      <c r="P652" s="770" t="s">
        <v>495</v>
      </c>
      <c r="Q652" s="770" t="s">
        <v>496</v>
      </c>
      <c r="R652" s="770" t="s">
        <v>497</v>
      </c>
      <c r="S652" s="770">
        <v>2019.0</v>
      </c>
      <c r="T652" s="771">
        <v>1386.294537</v>
      </c>
      <c r="U652" s="771">
        <v>1712.471484</v>
      </c>
      <c r="V652" s="772">
        <v>1086.622019</v>
      </c>
      <c r="X652" s="769" t="s">
        <v>518</v>
      </c>
      <c r="Y652" s="770" t="s">
        <v>494</v>
      </c>
      <c r="Z652" s="770" t="s">
        <v>509</v>
      </c>
      <c r="AA652" s="770" t="s">
        <v>41</v>
      </c>
      <c r="AB652" s="770" t="s">
        <v>493</v>
      </c>
      <c r="AC652" s="770" t="s">
        <v>103</v>
      </c>
      <c r="AD652" s="770" t="s">
        <v>501</v>
      </c>
      <c r="AE652" s="784" t="s">
        <v>502</v>
      </c>
      <c r="AF652" s="771">
        <v>20.56695412</v>
      </c>
      <c r="AG652" s="771">
        <v>9.062176609</v>
      </c>
      <c r="AH652" s="771">
        <v>40.22105155</v>
      </c>
      <c r="AI652" s="772" t="s">
        <v>233</v>
      </c>
      <c r="AK652" s="769" t="s">
        <v>518</v>
      </c>
      <c r="AL652" s="770" t="s">
        <v>494</v>
      </c>
      <c r="AM652" s="770" t="s">
        <v>509</v>
      </c>
      <c r="AN652" s="770" t="s">
        <v>41</v>
      </c>
      <c r="AO652" s="770" t="s">
        <v>493</v>
      </c>
      <c r="AP652" s="770" t="s">
        <v>504</v>
      </c>
      <c r="AQ652" s="770" t="s">
        <v>501</v>
      </c>
      <c r="AR652" s="784" t="s">
        <v>502</v>
      </c>
      <c r="AS652" s="771">
        <v>368.7066145</v>
      </c>
      <c r="AT652" s="771">
        <v>162.4588861</v>
      </c>
      <c r="AU652" s="771">
        <v>721.0483216</v>
      </c>
      <c r="AV652" s="989" t="s">
        <v>233</v>
      </c>
      <c r="AW652" s="714"/>
    </row>
    <row r="653">
      <c r="A653" s="761"/>
      <c r="B653" s="776" t="s">
        <v>493</v>
      </c>
      <c r="C653" s="777" t="s">
        <v>628</v>
      </c>
      <c r="D653" s="777" t="s">
        <v>494</v>
      </c>
      <c r="E653" s="777" t="s">
        <v>505</v>
      </c>
      <c r="F653" s="777" t="s">
        <v>496</v>
      </c>
      <c r="G653" s="777" t="s">
        <v>103</v>
      </c>
      <c r="H653" s="778">
        <v>2019.0</v>
      </c>
      <c r="I653" s="780">
        <v>1116.117087</v>
      </c>
      <c r="J653" s="780">
        <v>1522.892339</v>
      </c>
      <c r="K653" s="782">
        <v>760.0666342</v>
      </c>
      <c r="M653" s="769" t="s">
        <v>493</v>
      </c>
      <c r="N653" s="770" t="s">
        <v>628</v>
      </c>
      <c r="O653" s="770" t="s">
        <v>494</v>
      </c>
      <c r="P653" s="770" t="s">
        <v>505</v>
      </c>
      <c r="Q653" s="770" t="s">
        <v>496</v>
      </c>
      <c r="R653" s="770" t="s">
        <v>497</v>
      </c>
      <c r="S653" s="770">
        <v>2019.0</v>
      </c>
      <c r="T653" s="771">
        <v>126787.2525</v>
      </c>
      <c r="U653" s="771">
        <v>172995.5914</v>
      </c>
      <c r="V653" s="772">
        <v>86341.08502</v>
      </c>
      <c r="X653" s="769" t="s">
        <v>518</v>
      </c>
      <c r="Y653" s="770" t="s">
        <v>494</v>
      </c>
      <c r="Z653" s="770" t="s">
        <v>513</v>
      </c>
      <c r="AA653" s="770" t="s">
        <v>41</v>
      </c>
      <c r="AB653" s="770" t="s">
        <v>493</v>
      </c>
      <c r="AC653" s="770" t="s">
        <v>103</v>
      </c>
      <c r="AD653" s="770" t="s">
        <v>501</v>
      </c>
      <c r="AE653" s="784" t="s">
        <v>502</v>
      </c>
      <c r="AF653" s="771">
        <v>331.6713724</v>
      </c>
      <c r="AG653" s="771">
        <v>150.7690801</v>
      </c>
      <c r="AH653" s="771">
        <v>601.134792</v>
      </c>
      <c r="AI653" s="772" t="s">
        <v>233</v>
      </c>
      <c r="AK653" s="769" t="s">
        <v>518</v>
      </c>
      <c r="AL653" s="770" t="s">
        <v>494</v>
      </c>
      <c r="AM653" s="770" t="s">
        <v>513</v>
      </c>
      <c r="AN653" s="770" t="s">
        <v>41</v>
      </c>
      <c r="AO653" s="770" t="s">
        <v>493</v>
      </c>
      <c r="AP653" s="770" t="s">
        <v>504</v>
      </c>
      <c r="AQ653" s="770" t="s">
        <v>501</v>
      </c>
      <c r="AR653" s="784" t="s">
        <v>502</v>
      </c>
      <c r="AS653" s="771">
        <v>68.20782916</v>
      </c>
      <c r="AT653" s="771">
        <v>31.00548469</v>
      </c>
      <c r="AU653" s="771">
        <v>123.6226657</v>
      </c>
      <c r="AV653" s="989" t="s">
        <v>233</v>
      </c>
      <c r="AW653" s="714"/>
    </row>
    <row r="654">
      <c r="A654" s="761"/>
      <c r="B654" s="776" t="s">
        <v>493</v>
      </c>
      <c r="C654" s="777" t="s">
        <v>628</v>
      </c>
      <c r="D654" s="777" t="s">
        <v>494</v>
      </c>
      <c r="E654" s="777" t="s">
        <v>508</v>
      </c>
      <c r="F654" s="777" t="s">
        <v>496</v>
      </c>
      <c r="G654" s="777" t="s">
        <v>103</v>
      </c>
      <c r="H654" s="778">
        <v>2019.0</v>
      </c>
      <c r="I654" s="780">
        <v>1036.972482</v>
      </c>
      <c r="J654" s="780">
        <v>1282.728185</v>
      </c>
      <c r="K654" s="782">
        <v>811.895353</v>
      </c>
      <c r="M654" s="769" t="s">
        <v>493</v>
      </c>
      <c r="N654" s="770" t="s">
        <v>628</v>
      </c>
      <c r="O654" s="770" t="s">
        <v>494</v>
      </c>
      <c r="P654" s="770" t="s">
        <v>508</v>
      </c>
      <c r="Q654" s="770" t="s">
        <v>496</v>
      </c>
      <c r="R654" s="770" t="s">
        <v>497</v>
      </c>
      <c r="S654" s="770">
        <v>2019.0</v>
      </c>
      <c r="T654" s="771">
        <v>2522.943091</v>
      </c>
      <c r="U654" s="771">
        <v>3120.864121</v>
      </c>
      <c r="V654" s="772">
        <v>1975.332814</v>
      </c>
      <c r="X654" s="769" t="s">
        <v>519</v>
      </c>
      <c r="Y654" s="770" t="s">
        <v>494</v>
      </c>
      <c r="Z654" s="770" t="s">
        <v>499</v>
      </c>
      <c r="AA654" s="770" t="s">
        <v>41</v>
      </c>
      <c r="AB654" s="770" t="s">
        <v>493</v>
      </c>
      <c r="AC654" s="770" t="s">
        <v>103</v>
      </c>
      <c r="AD654" s="770" t="s">
        <v>501</v>
      </c>
      <c r="AE654" s="784" t="s">
        <v>502</v>
      </c>
      <c r="AF654" s="771">
        <v>1541.522823</v>
      </c>
      <c r="AG654" s="771">
        <v>1192.395064</v>
      </c>
      <c r="AH654" s="771">
        <v>1943.383577</v>
      </c>
      <c r="AI654" s="772" t="s">
        <v>233</v>
      </c>
      <c r="AK654" s="769" t="s">
        <v>519</v>
      </c>
      <c r="AL654" s="770" t="s">
        <v>494</v>
      </c>
      <c r="AM654" s="770" t="s">
        <v>499</v>
      </c>
      <c r="AN654" s="770" t="s">
        <v>41</v>
      </c>
      <c r="AO654" s="770" t="s">
        <v>493</v>
      </c>
      <c r="AP654" s="770" t="s">
        <v>504</v>
      </c>
      <c r="AQ654" s="770" t="s">
        <v>501</v>
      </c>
      <c r="AR654" s="784" t="s">
        <v>502</v>
      </c>
      <c r="AS654" s="771">
        <v>81872.49205</v>
      </c>
      <c r="AT654" s="771">
        <v>63329.81513</v>
      </c>
      <c r="AU654" s="771">
        <v>103215.8941</v>
      </c>
      <c r="AV654" s="989" t="s">
        <v>233</v>
      </c>
      <c r="AW654" s="714"/>
    </row>
    <row r="655">
      <c r="A655" s="761"/>
      <c r="B655" s="786" t="s">
        <v>493</v>
      </c>
      <c r="C655" s="787" t="s">
        <v>628</v>
      </c>
      <c r="D655" s="787" t="s">
        <v>494</v>
      </c>
      <c r="E655" s="787" t="s">
        <v>512</v>
      </c>
      <c r="F655" s="787" t="s">
        <v>496</v>
      </c>
      <c r="G655" s="787" t="s">
        <v>103</v>
      </c>
      <c r="H655" s="788">
        <v>2019.0</v>
      </c>
      <c r="I655" s="789">
        <v>233.5141508</v>
      </c>
      <c r="J655" s="789">
        <v>318.8697695</v>
      </c>
      <c r="K655" s="790">
        <v>158.5285615</v>
      </c>
      <c r="M655" s="769" t="s">
        <v>493</v>
      </c>
      <c r="N655" s="770" t="s">
        <v>628</v>
      </c>
      <c r="O655" s="770" t="s">
        <v>494</v>
      </c>
      <c r="P655" s="770" t="s">
        <v>512</v>
      </c>
      <c r="Q655" s="770" t="s">
        <v>496</v>
      </c>
      <c r="R655" s="770" t="s">
        <v>497</v>
      </c>
      <c r="S655" s="770">
        <v>2019.0</v>
      </c>
      <c r="T655" s="771">
        <v>8972.887883</v>
      </c>
      <c r="U655" s="771">
        <v>12252.71651</v>
      </c>
      <c r="V655" s="772">
        <v>6091.532371</v>
      </c>
      <c r="X655" s="769" t="s">
        <v>519</v>
      </c>
      <c r="Y655" s="770" t="s">
        <v>494</v>
      </c>
      <c r="Z655" s="770" t="s">
        <v>507</v>
      </c>
      <c r="AA655" s="770" t="s">
        <v>41</v>
      </c>
      <c r="AB655" s="770" t="s">
        <v>493</v>
      </c>
      <c r="AC655" s="770" t="s">
        <v>103</v>
      </c>
      <c r="AD655" s="770" t="s">
        <v>501</v>
      </c>
      <c r="AE655" s="784" t="s">
        <v>502</v>
      </c>
      <c r="AF655" s="771">
        <v>6.023461456</v>
      </c>
      <c r="AG655" s="771">
        <v>2.925004286</v>
      </c>
      <c r="AH655" s="771">
        <v>11.31344751</v>
      </c>
      <c r="AI655" s="772" t="s">
        <v>233</v>
      </c>
      <c r="AK655" s="769" t="s">
        <v>519</v>
      </c>
      <c r="AL655" s="770" t="s">
        <v>494</v>
      </c>
      <c r="AM655" s="770" t="s">
        <v>507</v>
      </c>
      <c r="AN655" s="770" t="s">
        <v>41</v>
      </c>
      <c r="AO655" s="770" t="s">
        <v>493</v>
      </c>
      <c r="AP655" s="770" t="s">
        <v>504</v>
      </c>
      <c r="AQ655" s="770" t="s">
        <v>501</v>
      </c>
      <c r="AR655" s="784" t="s">
        <v>502</v>
      </c>
      <c r="AS655" s="771">
        <v>6.757407115</v>
      </c>
      <c r="AT655" s="771">
        <v>3.281409688</v>
      </c>
      <c r="AU655" s="771">
        <v>12.69196645</v>
      </c>
      <c r="AV655" s="989" t="s">
        <v>233</v>
      </c>
      <c r="AW655" s="714"/>
    </row>
    <row r="656">
      <c r="A656" s="761"/>
      <c r="B656" s="786" t="s">
        <v>493</v>
      </c>
      <c r="C656" s="787" t="s">
        <v>628</v>
      </c>
      <c r="D656" s="787" t="s">
        <v>494</v>
      </c>
      <c r="E656" s="787" t="s">
        <v>495</v>
      </c>
      <c r="F656" s="787" t="s">
        <v>514</v>
      </c>
      <c r="G656" s="787" t="s">
        <v>103</v>
      </c>
      <c r="H656" s="788">
        <v>2019.0</v>
      </c>
      <c r="I656" s="789">
        <v>2741.177612</v>
      </c>
      <c r="J656" s="789">
        <v>3389.477832</v>
      </c>
      <c r="K656" s="790">
        <v>2136.276066</v>
      </c>
      <c r="M656" s="769" t="s">
        <v>493</v>
      </c>
      <c r="N656" s="770" t="s">
        <v>628</v>
      </c>
      <c r="O656" s="770" t="s">
        <v>494</v>
      </c>
      <c r="P656" s="770" t="s">
        <v>495</v>
      </c>
      <c r="Q656" s="770" t="s">
        <v>514</v>
      </c>
      <c r="R656" s="770" t="s">
        <v>497</v>
      </c>
      <c r="S656" s="770">
        <v>2019.0</v>
      </c>
      <c r="T656" s="771">
        <v>1255.064826</v>
      </c>
      <c r="U656" s="771">
        <v>1551.893021</v>
      </c>
      <c r="V656" s="772">
        <v>978.1069777</v>
      </c>
      <c r="X656" s="769" t="s">
        <v>519</v>
      </c>
      <c r="Y656" s="770" t="s">
        <v>494</v>
      </c>
      <c r="Z656" s="770" t="s">
        <v>509</v>
      </c>
      <c r="AA656" s="770" t="s">
        <v>41</v>
      </c>
      <c r="AB656" s="770" t="s">
        <v>493</v>
      </c>
      <c r="AC656" s="770" t="s">
        <v>103</v>
      </c>
      <c r="AD656" s="770" t="s">
        <v>501</v>
      </c>
      <c r="AE656" s="784" t="s">
        <v>502</v>
      </c>
      <c r="AF656" s="771">
        <v>92.99284229</v>
      </c>
      <c r="AG656" s="771">
        <v>55.32327513</v>
      </c>
      <c r="AH656" s="771">
        <v>140.6317281</v>
      </c>
      <c r="AI656" s="772" t="s">
        <v>233</v>
      </c>
      <c r="AK656" s="769" t="s">
        <v>519</v>
      </c>
      <c r="AL656" s="770" t="s">
        <v>494</v>
      </c>
      <c r="AM656" s="770" t="s">
        <v>509</v>
      </c>
      <c r="AN656" s="770" t="s">
        <v>41</v>
      </c>
      <c r="AO656" s="770" t="s">
        <v>493</v>
      </c>
      <c r="AP656" s="770" t="s">
        <v>504</v>
      </c>
      <c r="AQ656" s="770" t="s">
        <v>501</v>
      </c>
      <c r="AR656" s="784" t="s">
        <v>502</v>
      </c>
      <c r="AS656" s="771">
        <v>1667.09547</v>
      </c>
      <c r="AT656" s="771">
        <v>991.7879603</v>
      </c>
      <c r="AU656" s="771">
        <v>2521.124327</v>
      </c>
      <c r="AV656" s="989" t="s">
        <v>233</v>
      </c>
      <c r="AW656" s="714"/>
    </row>
    <row r="657">
      <c r="A657" s="761"/>
      <c r="B657" s="776" t="s">
        <v>493</v>
      </c>
      <c r="C657" s="777" t="s">
        <v>628</v>
      </c>
      <c r="D657" s="777" t="s">
        <v>494</v>
      </c>
      <c r="E657" s="777" t="s">
        <v>505</v>
      </c>
      <c r="F657" s="777" t="s">
        <v>514</v>
      </c>
      <c r="G657" s="777" t="s">
        <v>103</v>
      </c>
      <c r="H657" s="778">
        <v>2019.0</v>
      </c>
      <c r="I657" s="780">
        <v>1047.497086</v>
      </c>
      <c r="J657" s="780">
        <v>1432.663684</v>
      </c>
      <c r="K657" s="782">
        <v>708.507491</v>
      </c>
      <c r="M657" s="769" t="s">
        <v>493</v>
      </c>
      <c r="N657" s="770" t="s">
        <v>628</v>
      </c>
      <c r="O657" s="770" t="s">
        <v>494</v>
      </c>
      <c r="P657" s="770" t="s">
        <v>505</v>
      </c>
      <c r="Q657" s="770" t="s">
        <v>514</v>
      </c>
      <c r="R657" s="770" t="s">
        <v>497</v>
      </c>
      <c r="S657" s="770">
        <v>2019.0</v>
      </c>
      <c r="T657" s="771">
        <v>118992.2447</v>
      </c>
      <c r="U657" s="771">
        <v>162745.9112</v>
      </c>
      <c r="V657" s="772">
        <v>80484.1349</v>
      </c>
      <c r="X657" s="769" t="s">
        <v>519</v>
      </c>
      <c r="Y657" s="770" t="s">
        <v>494</v>
      </c>
      <c r="Z657" s="770" t="s">
        <v>513</v>
      </c>
      <c r="AA657" s="770" t="s">
        <v>41</v>
      </c>
      <c r="AB657" s="770" t="s">
        <v>493</v>
      </c>
      <c r="AC657" s="770" t="s">
        <v>103</v>
      </c>
      <c r="AD657" s="770" t="s">
        <v>501</v>
      </c>
      <c r="AE657" s="784" t="s">
        <v>502</v>
      </c>
      <c r="AF657" s="771">
        <v>1641.275026</v>
      </c>
      <c r="AG657" s="771">
        <v>1272.878112</v>
      </c>
      <c r="AH657" s="771">
        <v>2079.160709</v>
      </c>
      <c r="AI657" s="772" t="s">
        <v>233</v>
      </c>
      <c r="AK657" s="769" t="s">
        <v>519</v>
      </c>
      <c r="AL657" s="770" t="s">
        <v>494</v>
      </c>
      <c r="AM657" s="770" t="s">
        <v>513</v>
      </c>
      <c r="AN657" s="770" t="s">
        <v>41</v>
      </c>
      <c r="AO657" s="770" t="s">
        <v>493</v>
      </c>
      <c r="AP657" s="770" t="s">
        <v>504</v>
      </c>
      <c r="AQ657" s="770" t="s">
        <v>501</v>
      </c>
      <c r="AR657" s="784" t="s">
        <v>502</v>
      </c>
      <c r="AS657" s="771">
        <v>337.5262862</v>
      </c>
      <c r="AT657" s="771">
        <v>261.7658925</v>
      </c>
      <c r="AU657" s="771">
        <v>427.5769639</v>
      </c>
      <c r="AV657" s="989" t="s">
        <v>233</v>
      </c>
      <c r="AW657" s="714"/>
    </row>
    <row r="658">
      <c r="A658" s="761"/>
      <c r="B658" s="776" t="s">
        <v>493</v>
      </c>
      <c r="C658" s="777" t="s">
        <v>628</v>
      </c>
      <c r="D658" s="777" t="s">
        <v>494</v>
      </c>
      <c r="E658" s="777" t="s">
        <v>508</v>
      </c>
      <c r="F658" s="777" t="s">
        <v>514</v>
      </c>
      <c r="G658" s="777" t="s">
        <v>103</v>
      </c>
      <c r="H658" s="778">
        <v>2019.0</v>
      </c>
      <c r="I658" s="780">
        <v>928.4707277</v>
      </c>
      <c r="J658" s="780">
        <v>1157.950148</v>
      </c>
      <c r="K658" s="782">
        <v>730.5401109</v>
      </c>
      <c r="M658" s="769" t="s">
        <v>493</v>
      </c>
      <c r="N658" s="770" t="s">
        <v>628</v>
      </c>
      <c r="O658" s="770" t="s">
        <v>494</v>
      </c>
      <c r="P658" s="770" t="s">
        <v>508</v>
      </c>
      <c r="Q658" s="770" t="s">
        <v>514</v>
      </c>
      <c r="R658" s="770" t="s">
        <v>497</v>
      </c>
      <c r="S658" s="770">
        <v>2019.0</v>
      </c>
      <c r="T658" s="771">
        <v>2258.959469</v>
      </c>
      <c r="U658" s="771">
        <v>2817.280473</v>
      </c>
      <c r="V658" s="772">
        <v>1777.39637</v>
      </c>
      <c r="X658" s="769" t="s">
        <v>521</v>
      </c>
      <c r="Y658" s="770" t="s">
        <v>494</v>
      </c>
      <c r="Z658" s="770" t="s">
        <v>499</v>
      </c>
      <c r="AA658" s="770" t="s">
        <v>41</v>
      </c>
      <c r="AB658" s="770" t="s">
        <v>493</v>
      </c>
      <c r="AC658" s="770" t="s">
        <v>103</v>
      </c>
      <c r="AD658" s="770" t="s">
        <v>501</v>
      </c>
      <c r="AE658" s="784" t="s">
        <v>502</v>
      </c>
      <c r="AF658" s="771">
        <v>0.0</v>
      </c>
      <c r="AG658" s="771">
        <v>0.0</v>
      </c>
      <c r="AH658" s="771">
        <v>0.0</v>
      </c>
      <c r="AI658" s="772" t="s">
        <v>233</v>
      </c>
      <c r="AK658" s="769" t="s">
        <v>521</v>
      </c>
      <c r="AL658" s="770" t="s">
        <v>494</v>
      </c>
      <c r="AM658" s="770" t="s">
        <v>499</v>
      </c>
      <c r="AN658" s="770" t="s">
        <v>41</v>
      </c>
      <c r="AO658" s="770" t="s">
        <v>493</v>
      </c>
      <c r="AP658" s="770" t="s">
        <v>504</v>
      </c>
      <c r="AQ658" s="770" t="s">
        <v>501</v>
      </c>
      <c r="AR658" s="784" t="s">
        <v>502</v>
      </c>
      <c r="AS658" s="771">
        <v>0.0</v>
      </c>
      <c r="AT658" s="771">
        <v>0.0</v>
      </c>
      <c r="AU658" s="771">
        <v>0.0</v>
      </c>
      <c r="AV658" s="989" t="s">
        <v>233</v>
      </c>
      <c r="AW658" s="714"/>
    </row>
    <row r="659">
      <c r="A659" s="761"/>
      <c r="B659" s="786" t="s">
        <v>493</v>
      </c>
      <c r="C659" s="787" t="s">
        <v>628</v>
      </c>
      <c r="D659" s="787" t="s">
        <v>494</v>
      </c>
      <c r="E659" s="787" t="s">
        <v>512</v>
      </c>
      <c r="F659" s="787" t="s">
        <v>514</v>
      </c>
      <c r="G659" s="787" t="s">
        <v>103</v>
      </c>
      <c r="H659" s="788">
        <v>2019.0</v>
      </c>
      <c r="I659" s="789">
        <v>212.892394</v>
      </c>
      <c r="J659" s="789">
        <v>291.0288068</v>
      </c>
      <c r="K659" s="790">
        <v>143.717908</v>
      </c>
      <c r="M659" s="769" t="s">
        <v>493</v>
      </c>
      <c r="N659" s="770" t="s">
        <v>628</v>
      </c>
      <c r="O659" s="770" t="s">
        <v>494</v>
      </c>
      <c r="P659" s="770" t="s">
        <v>512</v>
      </c>
      <c r="Q659" s="770" t="s">
        <v>514</v>
      </c>
      <c r="R659" s="770" t="s">
        <v>497</v>
      </c>
      <c r="S659" s="770">
        <v>2019.0</v>
      </c>
      <c r="T659" s="771">
        <v>8180.48746</v>
      </c>
      <c r="U659" s="771">
        <v>11182.9148</v>
      </c>
      <c r="V659" s="772">
        <v>5522.426245</v>
      </c>
      <c r="X659" s="769" t="s">
        <v>521</v>
      </c>
      <c r="Y659" s="770" t="s">
        <v>494</v>
      </c>
      <c r="Z659" s="770" t="s">
        <v>507</v>
      </c>
      <c r="AA659" s="770" t="s">
        <v>41</v>
      </c>
      <c r="AB659" s="770" t="s">
        <v>493</v>
      </c>
      <c r="AC659" s="770" t="s">
        <v>103</v>
      </c>
      <c r="AD659" s="770" t="s">
        <v>501</v>
      </c>
      <c r="AE659" s="784" t="s">
        <v>502</v>
      </c>
      <c r="AF659" s="771">
        <v>1.659767365</v>
      </c>
      <c r="AG659" s="771">
        <v>0.4370449749</v>
      </c>
      <c r="AH659" s="771">
        <v>4.55280248</v>
      </c>
      <c r="AI659" s="772" t="s">
        <v>233</v>
      </c>
      <c r="AK659" s="769" t="s">
        <v>521</v>
      </c>
      <c r="AL659" s="770" t="s">
        <v>494</v>
      </c>
      <c r="AM659" s="770" t="s">
        <v>507</v>
      </c>
      <c r="AN659" s="770" t="s">
        <v>41</v>
      </c>
      <c r="AO659" s="770" t="s">
        <v>493</v>
      </c>
      <c r="AP659" s="770" t="s">
        <v>504</v>
      </c>
      <c r="AQ659" s="770" t="s">
        <v>501</v>
      </c>
      <c r="AR659" s="784" t="s">
        <v>502</v>
      </c>
      <c r="AS659" s="771">
        <v>1.862006404</v>
      </c>
      <c r="AT659" s="771">
        <v>0.4902979533</v>
      </c>
      <c r="AU659" s="771">
        <v>5.107551546</v>
      </c>
      <c r="AV659" s="989" t="s">
        <v>233</v>
      </c>
      <c r="AW659" s="714"/>
    </row>
    <row r="660">
      <c r="A660" s="761"/>
      <c r="B660" s="786" t="s">
        <v>493</v>
      </c>
      <c r="C660" s="787" t="s">
        <v>628</v>
      </c>
      <c r="D660" s="787" t="s">
        <v>494</v>
      </c>
      <c r="E660" s="787" t="s">
        <v>495</v>
      </c>
      <c r="F660" s="787" t="s">
        <v>518</v>
      </c>
      <c r="G660" s="787" t="s">
        <v>103</v>
      </c>
      <c r="H660" s="788">
        <v>2019.0</v>
      </c>
      <c r="I660" s="789">
        <v>352.8920454</v>
      </c>
      <c r="J660" s="789">
        <v>566.9074604</v>
      </c>
      <c r="K660" s="790">
        <v>192.1155755</v>
      </c>
      <c r="M660" s="769" t="s">
        <v>493</v>
      </c>
      <c r="N660" s="770" t="s">
        <v>628</v>
      </c>
      <c r="O660" s="770" t="s">
        <v>494</v>
      </c>
      <c r="P660" s="770" t="s">
        <v>495</v>
      </c>
      <c r="Q660" s="770" t="s">
        <v>518</v>
      </c>
      <c r="R660" s="770" t="s">
        <v>497</v>
      </c>
      <c r="S660" s="770">
        <v>2019.0</v>
      </c>
      <c r="T660" s="771">
        <v>161.5737673</v>
      </c>
      <c r="U660" s="771">
        <v>259.5620255</v>
      </c>
      <c r="V660" s="772">
        <v>87.96128364</v>
      </c>
      <c r="X660" s="769" t="s">
        <v>521</v>
      </c>
      <c r="Y660" s="770" t="s">
        <v>494</v>
      </c>
      <c r="Z660" s="770" t="s">
        <v>509</v>
      </c>
      <c r="AA660" s="770" t="s">
        <v>41</v>
      </c>
      <c r="AB660" s="770" t="s">
        <v>493</v>
      </c>
      <c r="AC660" s="770" t="s">
        <v>103</v>
      </c>
      <c r="AD660" s="770" t="s">
        <v>501</v>
      </c>
      <c r="AE660" s="784" t="s">
        <v>502</v>
      </c>
      <c r="AF660" s="771">
        <v>0.0</v>
      </c>
      <c r="AG660" s="771">
        <v>0.0</v>
      </c>
      <c r="AH660" s="771">
        <v>0.0</v>
      </c>
      <c r="AI660" s="772" t="s">
        <v>233</v>
      </c>
      <c r="AK660" s="769" t="s">
        <v>521</v>
      </c>
      <c r="AL660" s="770" t="s">
        <v>494</v>
      </c>
      <c r="AM660" s="770" t="s">
        <v>509</v>
      </c>
      <c r="AN660" s="770" t="s">
        <v>41</v>
      </c>
      <c r="AO660" s="770" t="s">
        <v>493</v>
      </c>
      <c r="AP660" s="770" t="s">
        <v>504</v>
      </c>
      <c r="AQ660" s="770" t="s">
        <v>501</v>
      </c>
      <c r="AR660" s="784" t="s">
        <v>502</v>
      </c>
      <c r="AS660" s="771">
        <v>0.0</v>
      </c>
      <c r="AT660" s="771">
        <v>0.0</v>
      </c>
      <c r="AU660" s="771">
        <v>0.0</v>
      </c>
      <c r="AV660" s="989" t="s">
        <v>233</v>
      </c>
      <c r="AW660" s="714"/>
    </row>
    <row r="661">
      <c r="A661" s="761"/>
      <c r="B661" s="776" t="s">
        <v>493</v>
      </c>
      <c r="C661" s="777" t="s">
        <v>628</v>
      </c>
      <c r="D661" s="777" t="s">
        <v>494</v>
      </c>
      <c r="E661" s="777" t="s">
        <v>505</v>
      </c>
      <c r="F661" s="777" t="s">
        <v>518</v>
      </c>
      <c r="G661" s="777" t="s">
        <v>103</v>
      </c>
      <c r="H661" s="778">
        <v>2019.0</v>
      </c>
      <c r="I661" s="780">
        <v>2.222821857</v>
      </c>
      <c r="J661" s="780">
        <v>5.345084998</v>
      </c>
      <c r="K661" s="782">
        <v>0.8689560287</v>
      </c>
      <c r="M661" s="769" t="s">
        <v>493</v>
      </c>
      <c r="N661" s="770" t="s">
        <v>628</v>
      </c>
      <c r="O661" s="770" t="s">
        <v>494</v>
      </c>
      <c r="P661" s="770" t="s">
        <v>505</v>
      </c>
      <c r="Q661" s="770" t="s">
        <v>518</v>
      </c>
      <c r="R661" s="770" t="s">
        <v>497</v>
      </c>
      <c r="S661" s="770">
        <v>2019.0</v>
      </c>
      <c r="T661" s="771">
        <v>252.5052966</v>
      </c>
      <c r="U661" s="771">
        <v>607.184183</v>
      </c>
      <c r="V661" s="772">
        <v>98.71056428</v>
      </c>
      <c r="X661" s="769" t="s">
        <v>521</v>
      </c>
      <c r="Y661" s="770" t="s">
        <v>494</v>
      </c>
      <c r="Z661" s="770" t="s">
        <v>513</v>
      </c>
      <c r="AA661" s="770" t="s">
        <v>41</v>
      </c>
      <c r="AB661" s="770" t="s">
        <v>493</v>
      </c>
      <c r="AC661" s="770" t="s">
        <v>103</v>
      </c>
      <c r="AD661" s="770" t="s">
        <v>501</v>
      </c>
      <c r="AE661" s="784" t="s">
        <v>502</v>
      </c>
      <c r="AF661" s="771">
        <v>6.787061154</v>
      </c>
      <c r="AG661" s="771">
        <v>1.607453325</v>
      </c>
      <c r="AH661" s="771">
        <v>19.39402191</v>
      </c>
      <c r="AI661" s="772" t="s">
        <v>233</v>
      </c>
      <c r="AK661" s="769" t="s">
        <v>521</v>
      </c>
      <c r="AL661" s="770" t="s">
        <v>494</v>
      </c>
      <c r="AM661" s="770" t="s">
        <v>513</v>
      </c>
      <c r="AN661" s="770" t="s">
        <v>41</v>
      </c>
      <c r="AO661" s="770" t="s">
        <v>493</v>
      </c>
      <c r="AP661" s="770" t="s">
        <v>504</v>
      </c>
      <c r="AQ661" s="770" t="s">
        <v>501</v>
      </c>
      <c r="AR661" s="784" t="s">
        <v>502</v>
      </c>
      <c r="AS661" s="771">
        <v>1.395751175</v>
      </c>
      <c r="AT661" s="771">
        <v>0.3305708931</v>
      </c>
      <c r="AU661" s="771">
        <v>3.988357885</v>
      </c>
      <c r="AV661" s="989" t="s">
        <v>233</v>
      </c>
      <c r="AW661" s="714"/>
    </row>
    <row r="662">
      <c r="A662" s="761"/>
      <c r="B662" s="776" t="s">
        <v>493</v>
      </c>
      <c r="C662" s="777" t="s">
        <v>628</v>
      </c>
      <c r="D662" s="777" t="s">
        <v>494</v>
      </c>
      <c r="E662" s="777" t="s">
        <v>508</v>
      </c>
      <c r="F662" s="777" t="s">
        <v>518</v>
      </c>
      <c r="G662" s="777" t="s">
        <v>103</v>
      </c>
      <c r="H662" s="778">
        <v>2019.0</v>
      </c>
      <c r="I662" s="780">
        <v>257.4415157</v>
      </c>
      <c r="J662" s="780">
        <v>422.0074568</v>
      </c>
      <c r="K662" s="782">
        <v>126.0438678</v>
      </c>
      <c r="M662" s="769" t="s">
        <v>493</v>
      </c>
      <c r="N662" s="770" t="s">
        <v>628</v>
      </c>
      <c r="O662" s="770" t="s">
        <v>494</v>
      </c>
      <c r="P662" s="770" t="s">
        <v>508</v>
      </c>
      <c r="Q662" s="770" t="s">
        <v>518</v>
      </c>
      <c r="R662" s="770" t="s">
        <v>497</v>
      </c>
      <c r="S662" s="770">
        <v>2019.0</v>
      </c>
      <c r="T662" s="771">
        <v>626.3524872</v>
      </c>
      <c r="U662" s="771">
        <v>1026.739683</v>
      </c>
      <c r="V662" s="772">
        <v>306.6633984</v>
      </c>
      <c r="X662" s="769" t="s">
        <v>523</v>
      </c>
      <c r="Y662" s="770" t="s">
        <v>494</v>
      </c>
      <c r="Z662" s="770" t="s">
        <v>507</v>
      </c>
      <c r="AA662" s="770" t="s">
        <v>41</v>
      </c>
      <c r="AB662" s="770" t="s">
        <v>493</v>
      </c>
      <c r="AC662" s="770" t="s">
        <v>103</v>
      </c>
      <c r="AD662" s="770" t="s">
        <v>501</v>
      </c>
      <c r="AE662" s="784" t="s">
        <v>502</v>
      </c>
      <c r="AF662" s="771">
        <v>8.016956106</v>
      </c>
      <c r="AG662" s="771">
        <v>3.355170145</v>
      </c>
      <c r="AH662" s="771">
        <v>15.30351552</v>
      </c>
      <c r="AI662" s="772" t="s">
        <v>233</v>
      </c>
      <c r="AK662" s="769" t="s">
        <v>523</v>
      </c>
      <c r="AL662" s="770" t="s">
        <v>494</v>
      </c>
      <c r="AM662" s="770" t="s">
        <v>507</v>
      </c>
      <c r="AN662" s="770" t="s">
        <v>41</v>
      </c>
      <c r="AO662" s="770" t="s">
        <v>493</v>
      </c>
      <c r="AP662" s="770" t="s">
        <v>504</v>
      </c>
      <c r="AQ662" s="770" t="s">
        <v>501</v>
      </c>
      <c r="AR662" s="784" t="s">
        <v>502</v>
      </c>
      <c r="AS662" s="771">
        <v>8.993804747</v>
      </c>
      <c r="AT662" s="771">
        <v>3.76399032</v>
      </c>
      <c r="AU662" s="771">
        <v>17.16821556</v>
      </c>
      <c r="AV662" s="989" t="s">
        <v>233</v>
      </c>
      <c r="AW662" s="714"/>
    </row>
    <row r="663">
      <c r="A663" s="761"/>
      <c r="B663" s="786" t="s">
        <v>493</v>
      </c>
      <c r="C663" s="787" t="s">
        <v>628</v>
      </c>
      <c r="D663" s="787" t="s">
        <v>494</v>
      </c>
      <c r="E663" s="787" t="s">
        <v>512</v>
      </c>
      <c r="F663" s="787" t="s">
        <v>518</v>
      </c>
      <c r="G663" s="787" t="s">
        <v>103</v>
      </c>
      <c r="H663" s="788">
        <v>2019.0</v>
      </c>
      <c r="I663" s="789">
        <v>17.69433936</v>
      </c>
      <c r="J663" s="789">
        <v>39.50466657</v>
      </c>
      <c r="K663" s="790">
        <v>7.060438669</v>
      </c>
      <c r="M663" s="769" t="s">
        <v>493</v>
      </c>
      <c r="N663" s="770" t="s">
        <v>628</v>
      </c>
      <c r="O663" s="770" t="s">
        <v>494</v>
      </c>
      <c r="P663" s="770" t="s">
        <v>512</v>
      </c>
      <c r="Q663" s="770" t="s">
        <v>518</v>
      </c>
      <c r="R663" s="770" t="s">
        <v>497</v>
      </c>
      <c r="S663" s="770">
        <v>2019.0</v>
      </c>
      <c r="T663" s="771">
        <v>679.9130704</v>
      </c>
      <c r="U663" s="771">
        <v>1517.984853</v>
      </c>
      <c r="V663" s="772">
        <v>271.3005801</v>
      </c>
      <c r="X663" s="769" t="s">
        <v>523</v>
      </c>
      <c r="Y663" s="770" t="s">
        <v>494</v>
      </c>
      <c r="Z663" s="770" t="s">
        <v>513</v>
      </c>
      <c r="AA663" s="770" t="s">
        <v>41</v>
      </c>
      <c r="AB663" s="770" t="s">
        <v>493</v>
      </c>
      <c r="AC663" s="770" t="s">
        <v>103</v>
      </c>
      <c r="AD663" s="770" t="s">
        <v>501</v>
      </c>
      <c r="AE663" s="784" t="s">
        <v>502</v>
      </c>
      <c r="AF663" s="771">
        <v>12.07559408</v>
      </c>
      <c r="AG663" s="771">
        <v>5.216124916</v>
      </c>
      <c r="AH663" s="771">
        <v>22.11959377</v>
      </c>
      <c r="AI663" s="772" t="s">
        <v>233</v>
      </c>
      <c r="AK663" s="769" t="s">
        <v>523</v>
      </c>
      <c r="AL663" s="770" t="s">
        <v>494</v>
      </c>
      <c r="AM663" s="770" t="s">
        <v>513</v>
      </c>
      <c r="AN663" s="770" t="s">
        <v>41</v>
      </c>
      <c r="AO663" s="770" t="s">
        <v>493</v>
      </c>
      <c r="AP663" s="770" t="s">
        <v>504</v>
      </c>
      <c r="AQ663" s="770" t="s">
        <v>501</v>
      </c>
      <c r="AR663" s="784" t="s">
        <v>502</v>
      </c>
      <c r="AS663" s="771">
        <v>2.483331775</v>
      </c>
      <c r="AT663" s="771">
        <v>1.072689978</v>
      </c>
      <c r="AU663" s="771">
        <v>4.548868544</v>
      </c>
      <c r="AV663" s="989" t="s">
        <v>233</v>
      </c>
      <c r="AW663" s="714"/>
    </row>
    <row r="664">
      <c r="A664" s="761"/>
      <c r="B664" s="786" t="s">
        <v>493</v>
      </c>
      <c r="C664" s="787" t="s">
        <v>628</v>
      </c>
      <c r="D664" s="787" t="s">
        <v>494</v>
      </c>
      <c r="E664" s="787" t="s">
        <v>495</v>
      </c>
      <c r="F664" s="787" t="s">
        <v>519</v>
      </c>
      <c r="G664" s="787" t="s">
        <v>103</v>
      </c>
      <c r="H664" s="788">
        <v>2019.0</v>
      </c>
      <c r="I664" s="789">
        <v>1133.029526</v>
      </c>
      <c r="J664" s="789">
        <v>1537.285553</v>
      </c>
      <c r="K664" s="790">
        <v>772.5361749</v>
      </c>
      <c r="M664" s="769" t="s">
        <v>493</v>
      </c>
      <c r="N664" s="770" t="s">
        <v>628</v>
      </c>
      <c r="O664" s="770" t="s">
        <v>494</v>
      </c>
      <c r="P664" s="770" t="s">
        <v>495</v>
      </c>
      <c r="Q664" s="770" t="s">
        <v>519</v>
      </c>
      <c r="R664" s="770" t="s">
        <v>497</v>
      </c>
      <c r="S664" s="770">
        <v>2019.0</v>
      </c>
      <c r="T664" s="771">
        <v>518.7644531</v>
      </c>
      <c r="U664" s="771">
        <v>703.8555315</v>
      </c>
      <c r="V664" s="772">
        <v>353.7103819</v>
      </c>
      <c r="X664" s="769" t="s">
        <v>496</v>
      </c>
      <c r="Y664" s="770" t="s">
        <v>494</v>
      </c>
      <c r="Z664" s="770" t="s">
        <v>499</v>
      </c>
      <c r="AA664" s="770" t="s">
        <v>629</v>
      </c>
      <c r="AB664" s="770" t="s">
        <v>493</v>
      </c>
      <c r="AC664" s="770" t="s">
        <v>103</v>
      </c>
      <c r="AD664" s="770" t="s">
        <v>501</v>
      </c>
      <c r="AE664" s="784" t="s">
        <v>502</v>
      </c>
      <c r="AF664" s="771">
        <v>3055.101568</v>
      </c>
      <c r="AG664" s="771">
        <v>2344.260125</v>
      </c>
      <c r="AH664" s="771">
        <v>4013.632147</v>
      </c>
      <c r="AI664" s="772" t="s">
        <v>233</v>
      </c>
      <c r="AK664" s="769" t="s">
        <v>496</v>
      </c>
      <c r="AL664" s="770" t="s">
        <v>494</v>
      </c>
      <c r="AM664" s="770" t="s">
        <v>499</v>
      </c>
      <c r="AN664" s="770" t="s">
        <v>629</v>
      </c>
      <c r="AO664" s="770" t="s">
        <v>493</v>
      </c>
      <c r="AP664" s="770" t="s">
        <v>504</v>
      </c>
      <c r="AQ664" s="770" t="s">
        <v>501</v>
      </c>
      <c r="AR664" s="784" t="s">
        <v>502</v>
      </c>
      <c r="AS664" s="771">
        <v>106656.1329</v>
      </c>
      <c r="AT664" s="771">
        <v>81840.06778</v>
      </c>
      <c r="AU664" s="771">
        <v>140119.2314</v>
      </c>
      <c r="AV664" s="989" t="s">
        <v>233</v>
      </c>
      <c r="AW664" s="714"/>
    </row>
    <row r="665">
      <c r="A665" s="761"/>
      <c r="B665" s="776" t="s">
        <v>493</v>
      </c>
      <c r="C665" s="777" t="s">
        <v>628</v>
      </c>
      <c r="D665" s="777" t="s">
        <v>494</v>
      </c>
      <c r="E665" s="777" t="s">
        <v>505</v>
      </c>
      <c r="F665" s="777" t="s">
        <v>519</v>
      </c>
      <c r="G665" s="777" t="s">
        <v>103</v>
      </c>
      <c r="H665" s="778">
        <v>2019.0</v>
      </c>
      <c r="I665" s="780">
        <v>933.1195103</v>
      </c>
      <c r="J665" s="780">
        <v>1284.262802</v>
      </c>
      <c r="K665" s="782">
        <v>628.1814759</v>
      </c>
      <c r="M665" s="769" t="s">
        <v>493</v>
      </c>
      <c r="N665" s="770" t="s">
        <v>628</v>
      </c>
      <c r="O665" s="770" t="s">
        <v>494</v>
      </c>
      <c r="P665" s="770" t="s">
        <v>505</v>
      </c>
      <c r="Q665" s="770" t="s">
        <v>519</v>
      </c>
      <c r="R665" s="770" t="s">
        <v>497</v>
      </c>
      <c r="S665" s="770">
        <v>2019.0</v>
      </c>
      <c r="T665" s="771">
        <v>105999.326</v>
      </c>
      <c r="U665" s="771">
        <v>145888.0561</v>
      </c>
      <c r="V665" s="772">
        <v>71359.36216</v>
      </c>
      <c r="X665" s="769" t="s">
        <v>496</v>
      </c>
      <c r="Y665" s="770" t="s">
        <v>494</v>
      </c>
      <c r="Z665" s="770" t="s">
        <v>507</v>
      </c>
      <c r="AA665" s="770" t="s">
        <v>629</v>
      </c>
      <c r="AB665" s="770" t="s">
        <v>493</v>
      </c>
      <c r="AC665" s="770" t="s">
        <v>103</v>
      </c>
      <c r="AD665" s="770" t="s">
        <v>501</v>
      </c>
      <c r="AE665" s="784" t="s">
        <v>502</v>
      </c>
      <c r="AF665" s="771">
        <v>1491.65786</v>
      </c>
      <c r="AG665" s="771">
        <v>1136.653781</v>
      </c>
      <c r="AH665" s="771">
        <v>1968.649991</v>
      </c>
      <c r="AI665" s="772" t="s">
        <v>233</v>
      </c>
      <c r="AK665" s="769" t="s">
        <v>496</v>
      </c>
      <c r="AL665" s="770" t="s">
        <v>494</v>
      </c>
      <c r="AM665" s="770" t="s">
        <v>507</v>
      </c>
      <c r="AN665" s="770" t="s">
        <v>629</v>
      </c>
      <c r="AO665" s="770" t="s">
        <v>493</v>
      </c>
      <c r="AP665" s="770" t="s">
        <v>504</v>
      </c>
      <c r="AQ665" s="770" t="s">
        <v>501</v>
      </c>
      <c r="AR665" s="784" t="s">
        <v>502</v>
      </c>
      <c r="AS665" s="771">
        <v>1088.721031</v>
      </c>
      <c r="AT665" s="771">
        <v>829.613083</v>
      </c>
      <c r="AU665" s="771">
        <v>1436.864784</v>
      </c>
      <c r="AV665" s="989" t="s">
        <v>233</v>
      </c>
      <c r="AW665" s="714"/>
    </row>
    <row r="666">
      <c r="A666" s="761"/>
      <c r="B666" s="776" t="s">
        <v>493</v>
      </c>
      <c r="C666" s="777" t="s">
        <v>628</v>
      </c>
      <c r="D666" s="777" t="s">
        <v>494</v>
      </c>
      <c r="E666" s="777" t="s">
        <v>508</v>
      </c>
      <c r="F666" s="777" t="s">
        <v>519</v>
      </c>
      <c r="G666" s="777" t="s">
        <v>103</v>
      </c>
      <c r="H666" s="778">
        <v>2019.0</v>
      </c>
      <c r="I666" s="780">
        <v>59.73359259</v>
      </c>
      <c r="J666" s="780">
        <v>98.63562232</v>
      </c>
      <c r="K666" s="782">
        <v>33.09218949</v>
      </c>
      <c r="M666" s="769" t="s">
        <v>493</v>
      </c>
      <c r="N666" s="770" t="s">
        <v>628</v>
      </c>
      <c r="O666" s="770" t="s">
        <v>494</v>
      </c>
      <c r="P666" s="770" t="s">
        <v>508</v>
      </c>
      <c r="Q666" s="770" t="s">
        <v>519</v>
      </c>
      <c r="R666" s="770" t="s">
        <v>497</v>
      </c>
      <c r="S666" s="770">
        <v>2019.0</v>
      </c>
      <c r="T666" s="771">
        <v>145.3311996</v>
      </c>
      <c r="U666" s="771">
        <v>239.9794268</v>
      </c>
      <c r="V666" s="772">
        <v>80.51294734</v>
      </c>
      <c r="X666" s="769" t="s">
        <v>496</v>
      </c>
      <c r="Y666" s="770" t="s">
        <v>494</v>
      </c>
      <c r="Z666" s="770" t="s">
        <v>509</v>
      </c>
      <c r="AA666" s="770" t="s">
        <v>629</v>
      </c>
      <c r="AB666" s="770" t="s">
        <v>493</v>
      </c>
      <c r="AC666" s="770" t="s">
        <v>103</v>
      </c>
      <c r="AD666" s="770" t="s">
        <v>501</v>
      </c>
      <c r="AE666" s="784" t="s">
        <v>502</v>
      </c>
      <c r="AF666" s="771">
        <v>468.733994</v>
      </c>
      <c r="AG666" s="771">
        <v>358.010688</v>
      </c>
      <c r="AH666" s="771">
        <v>618.8069351</v>
      </c>
      <c r="AI666" s="772" t="s">
        <v>233</v>
      </c>
      <c r="AK666" s="769" t="s">
        <v>496</v>
      </c>
      <c r="AL666" s="770" t="s">
        <v>494</v>
      </c>
      <c r="AM666" s="770" t="s">
        <v>509</v>
      </c>
      <c r="AN666" s="770" t="s">
        <v>629</v>
      </c>
      <c r="AO666" s="770" t="s">
        <v>493</v>
      </c>
      <c r="AP666" s="770" t="s">
        <v>504</v>
      </c>
      <c r="AQ666" s="770" t="s">
        <v>501</v>
      </c>
      <c r="AR666" s="784" t="s">
        <v>502</v>
      </c>
      <c r="AS666" s="771">
        <v>5516.452756</v>
      </c>
      <c r="AT666" s="771">
        <v>4213.368503</v>
      </c>
      <c r="AU666" s="771">
        <v>7282.636349</v>
      </c>
      <c r="AV666" s="989" t="s">
        <v>233</v>
      </c>
      <c r="AW666" s="714"/>
    </row>
    <row r="667">
      <c r="A667" s="761"/>
      <c r="B667" s="786" t="s">
        <v>493</v>
      </c>
      <c r="C667" s="787" t="s">
        <v>628</v>
      </c>
      <c r="D667" s="787" t="s">
        <v>494</v>
      </c>
      <c r="E667" s="787" t="s">
        <v>512</v>
      </c>
      <c r="F667" s="787" t="s">
        <v>519</v>
      </c>
      <c r="G667" s="787" t="s">
        <v>103</v>
      </c>
      <c r="H667" s="788">
        <v>2019.0</v>
      </c>
      <c r="I667" s="789">
        <v>138.1994659</v>
      </c>
      <c r="J667" s="789">
        <v>193.8620975</v>
      </c>
      <c r="K667" s="790">
        <v>87.38352217</v>
      </c>
      <c r="M667" s="769" t="s">
        <v>493</v>
      </c>
      <c r="N667" s="770" t="s">
        <v>628</v>
      </c>
      <c r="O667" s="770" t="s">
        <v>494</v>
      </c>
      <c r="P667" s="770" t="s">
        <v>512</v>
      </c>
      <c r="Q667" s="770" t="s">
        <v>519</v>
      </c>
      <c r="R667" s="770" t="s">
        <v>497</v>
      </c>
      <c r="S667" s="770">
        <v>2019.0</v>
      </c>
      <c r="T667" s="771">
        <v>5310.377586</v>
      </c>
      <c r="U667" s="771">
        <v>7449.239628</v>
      </c>
      <c r="V667" s="772">
        <v>3357.751744</v>
      </c>
      <c r="X667" s="769" t="s">
        <v>496</v>
      </c>
      <c r="Y667" s="770" t="s">
        <v>494</v>
      </c>
      <c r="Z667" s="770" t="s">
        <v>513</v>
      </c>
      <c r="AA667" s="770" t="s">
        <v>629</v>
      </c>
      <c r="AB667" s="770" t="s">
        <v>493</v>
      </c>
      <c r="AC667" s="770" t="s">
        <v>103</v>
      </c>
      <c r="AD667" s="770" t="s">
        <v>501</v>
      </c>
      <c r="AE667" s="784" t="s">
        <v>502</v>
      </c>
      <c r="AF667" s="771">
        <v>6581.703937</v>
      </c>
      <c r="AG667" s="771">
        <v>5018.523982</v>
      </c>
      <c r="AH667" s="771">
        <v>8665.457586</v>
      </c>
      <c r="AI667" s="772" t="s">
        <v>233</v>
      </c>
      <c r="AK667" s="769" t="s">
        <v>496</v>
      </c>
      <c r="AL667" s="770" t="s">
        <v>494</v>
      </c>
      <c r="AM667" s="770" t="s">
        <v>513</v>
      </c>
      <c r="AN667" s="770" t="s">
        <v>629</v>
      </c>
      <c r="AO667" s="770" t="s">
        <v>493</v>
      </c>
      <c r="AP667" s="770" t="s">
        <v>504</v>
      </c>
      <c r="AQ667" s="770" t="s">
        <v>501</v>
      </c>
      <c r="AR667" s="784" t="s">
        <v>502</v>
      </c>
      <c r="AS667" s="771">
        <v>927.9676449</v>
      </c>
      <c r="AT667" s="771">
        <v>707.5717664</v>
      </c>
      <c r="AU667" s="771">
        <v>1221.760253</v>
      </c>
      <c r="AV667" s="989" t="s">
        <v>233</v>
      </c>
      <c r="AW667" s="714"/>
    </row>
    <row r="668">
      <c r="A668" s="761"/>
      <c r="B668" s="769" t="s">
        <v>493</v>
      </c>
      <c r="C668" s="770" t="s">
        <v>628</v>
      </c>
      <c r="D668" s="770" t="s">
        <v>494</v>
      </c>
      <c r="E668" s="770" t="s">
        <v>495</v>
      </c>
      <c r="F668" s="770" t="s">
        <v>521</v>
      </c>
      <c r="G668" s="770" t="s">
        <v>103</v>
      </c>
      <c r="H668" s="770">
        <v>2019.0</v>
      </c>
      <c r="I668" s="771">
        <v>12.18159619</v>
      </c>
      <c r="J668" s="771">
        <v>29.25796546</v>
      </c>
      <c r="K668" s="772">
        <v>3.806195195</v>
      </c>
      <c r="M668" s="769" t="s">
        <v>493</v>
      </c>
      <c r="N668" s="770" t="s">
        <v>628</v>
      </c>
      <c r="O668" s="770" t="s">
        <v>494</v>
      </c>
      <c r="P668" s="770" t="s">
        <v>495</v>
      </c>
      <c r="Q668" s="770" t="s">
        <v>521</v>
      </c>
      <c r="R668" s="770" t="s">
        <v>497</v>
      </c>
      <c r="S668" s="770">
        <v>2019.0</v>
      </c>
      <c r="T668" s="771">
        <v>5.577417835</v>
      </c>
      <c r="U668" s="771">
        <v>13.39593727</v>
      </c>
      <c r="V668" s="772">
        <v>1.742689598</v>
      </c>
      <c r="X668" s="769" t="s">
        <v>514</v>
      </c>
      <c r="Y668" s="770" t="s">
        <v>494</v>
      </c>
      <c r="Z668" s="770" t="s">
        <v>499</v>
      </c>
      <c r="AA668" s="770" t="s">
        <v>629</v>
      </c>
      <c r="AB668" s="770" t="s">
        <v>493</v>
      </c>
      <c r="AC668" s="770" t="s">
        <v>103</v>
      </c>
      <c r="AD668" s="770" t="s">
        <v>501</v>
      </c>
      <c r="AE668" s="784" t="s">
        <v>502</v>
      </c>
      <c r="AF668" s="771">
        <v>2809.690085</v>
      </c>
      <c r="AG668" s="771">
        <v>2130.841833</v>
      </c>
      <c r="AH668" s="771">
        <v>3694.52946</v>
      </c>
      <c r="AI668" s="772" t="s">
        <v>233</v>
      </c>
      <c r="AK668" s="769" t="s">
        <v>514</v>
      </c>
      <c r="AL668" s="770" t="s">
        <v>494</v>
      </c>
      <c r="AM668" s="770" t="s">
        <v>499</v>
      </c>
      <c r="AN668" s="770" t="s">
        <v>629</v>
      </c>
      <c r="AO668" s="770" t="s">
        <v>493</v>
      </c>
      <c r="AP668" s="770" t="s">
        <v>504</v>
      </c>
      <c r="AQ668" s="770" t="s">
        <v>501</v>
      </c>
      <c r="AR668" s="784" t="s">
        <v>502</v>
      </c>
      <c r="AS668" s="771">
        <v>98088.61421</v>
      </c>
      <c r="AT668" s="771">
        <v>74389.45798</v>
      </c>
      <c r="AU668" s="771">
        <v>128979.0916</v>
      </c>
      <c r="AV668" s="989" t="s">
        <v>233</v>
      </c>
      <c r="AW668" s="714"/>
    </row>
    <row r="669">
      <c r="A669" s="761"/>
      <c r="B669" s="769" t="s">
        <v>493</v>
      </c>
      <c r="C669" s="770" t="s">
        <v>628</v>
      </c>
      <c r="D669" s="770" t="s">
        <v>494</v>
      </c>
      <c r="E669" s="770" t="s">
        <v>505</v>
      </c>
      <c r="F669" s="770" t="s">
        <v>521</v>
      </c>
      <c r="G669" s="770" t="s">
        <v>103</v>
      </c>
      <c r="H669" s="770">
        <v>2019.0</v>
      </c>
      <c r="I669" s="771">
        <v>0.0</v>
      </c>
      <c r="J669" s="771">
        <v>0.0</v>
      </c>
      <c r="K669" s="772">
        <v>0.0</v>
      </c>
      <c r="M669" s="769" t="s">
        <v>493</v>
      </c>
      <c r="N669" s="770" t="s">
        <v>628</v>
      </c>
      <c r="O669" s="770" t="s">
        <v>494</v>
      </c>
      <c r="P669" s="770" t="s">
        <v>505</v>
      </c>
      <c r="Q669" s="770" t="s">
        <v>521</v>
      </c>
      <c r="R669" s="770" t="s">
        <v>497</v>
      </c>
      <c r="S669" s="770">
        <v>2019.0</v>
      </c>
      <c r="T669" s="771">
        <v>0.0</v>
      </c>
      <c r="U669" s="771">
        <v>0.0</v>
      </c>
      <c r="V669" s="772">
        <v>0.0</v>
      </c>
      <c r="X669" s="769" t="s">
        <v>514</v>
      </c>
      <c r="Y669" s="770" t="s">
        <v>494</v>
      </c>
      <c r="Z669" s="770" t="s">
        <v>507</v>
      </c>
      <c r="AA669" s="770" t="s">
        <v>629</v>
      </c>
      <c r="AB669" s="770" t="s">
        <v>493</v>
      </c>
      <c r="AC669" s="770" t="s">
        <v>103</v>
      </c>
      <c r="AD669" s="770" t="s">
        <v>501</v>
      </c>
      <c r="AE669" s="784" t="s">
        <v>502</v>
      </c>
      <c r="AF669" s="771">
        <v>1313.853291</v>
      </c>
      <c r="AG669" s="771">
        <v>995.229986</v>
      </c>
      <c r="AH669" s="771">
        <v>1746.585535</v>
      </c>
      <c r="AI669" s="772" t="s">
        <v>233</v>
      </c>
      <c r="AK669" s="769" t="s">
        <v>514</v>
      </c>
      <c r="AL669" s="770" t="s">
        <v>494</v>
      </c>
      <c r="AM669" s="770" t="s">
        <v>507</v>
      </c>
      <c r="AN669" s="770" t="s">
        <v>629</v>
      </c>
      <c r="AO669" s="770" t="s">
        <v>493</v>
      </c>
      <c r="AP669" s="770" t="s">
        <v>504</v>
      </c>
      <c r="AQ669" s="770" t="s">
        <v>501</v>
      </c>
      <c r="AR669" s="784" t="s">
        <v>502</v>
      </c>
      <c r="AS669" s="771">
        <v>958.9462489</v>
      </c>
      <c r="AT669" s="771">
        <v>726.3916516</v>
      </c>
      <c r="AU669" s="771">
        <v>1274.785898</v>
      </c>
      <c r="AV669" s="989" t="s">
        <v>233</v>
      </c>
      <c r="AW669" s="714"/>
    </row>
    <row r="670">
      <c r="A670" s="761"/>
      <c r="B670" s="769" t="s">
        <v>493</v>
      </c>
      <c r="C670" s="770" t="s">
        <v>628</v>
      </c>
      <c r="D670" s="770" t="s">
        <v>494</v>
      </c>
      <c r="E670" s="770" t="s">
        <v>508</v>
      </c>
      <c r="F670" s="770" t="s">
        <v>521</v>
      </c>
      <c r="G670" s="770" t="s">
        <v>103</v>
      </c>
      <c r="H670" s="770">
        <v>2019.0</v>
      </c>
      <c r="I670" s="771">
        <v>3.045414852</v>
      </c>
      <c r="J670" s="771">
        <v>7.39647422</v>
      </c>
      <c r="K670" s="772">
        <v>0.9101660638</v>
      </c>
      <c r="M670" s="769" t="s">
        <v>493</v>
      </c>
      <c r="N670" s="770" t="s">
        <v>628</v>
      </c>
      <c r="O670" s="770" t="s">
        <v>494</v>
      </c>
      <c r="P670" s="770" t="s">
        <v>508</v>
      </c>
      <c r="Q670" s="770" t="s">
        <v>521</v>
      </c>
      <c r="R670" s="770" t="s">
        <v>497</v>
      </c>
      <c r="S670" s="770">
        <v>2019.0</v>
      </c>
      <c r="T670" s="771">
        <v>7.409462153</v>
      </c>
      <c r="U670" s="771">
        <v>17.99554362</v>
      </c>
      <c r="V670" s="772">
        <v>2.214424416</v>
      </c>
      <c r="X670" s="769" t="s">
        <v>514</v>
      </c>
      <c r="Y670" s="770" t="s">
        <v>494</v>
      </c>
      <c r="Z670" s="770" t="s">
        <v>509</v>
      </c>
      <c r="AA670" s="770" t="s">
        <v>629</v>
      </c>
      <c r="AB670" s="770" t="s">
        <v>493</v>
      </c>
      <c r="AC670" s="770" t="s">
        <v>103</v>
      </c>
      <c r="AD670" s="770" t="s">
        <v>501</v>
      </c>
      <c r="AE670" s="784" t="s">
        <v>502</v>
      </c>
      <c r="AF670" s="771">
        <v>423.3992357</v>
      </c>
      <c r="AG670" s="771">
        <v>316.3206009</v>
      </c>
      <c r="AH670" s="771">
        <v>562.9854668</v>
      </c>
      <c r="AI670" s="772" t="s">
        <v>233</v>
      </c>
      <c r="AK670" s="769" t="s">
        <v>514</v>
      </c>
      <c r="AL670" s="770" t="s">
        <v>494</v>
      </c>
      <c r="AM670" s="770" t="s">
        <v>509</v>
      </c>
      <c r="AN670" s="770" t="s">
        <v>629</v>
      </c>
      <c r="AO670" s="770" t="s">
        <v>493</v>
      </c>
      <c r="AP670" s="770" t="s">
        <v>504</v>
      </c>
      <c r="AQ670" s="770" t="s">
        <v>501</v>
      </c>
      <c r="AR670" s="784" t="s">
        <v>502</v>
      </c>
      <c r="AS670" s="771">
        <v>4982.915492</v>
      </c>
      <c r="AT670" s="771">
        <v>3722.724771</v>
      </c>
      <c r="AU670" s="771">
        <v>6625.682732</v>
      </c>
      <c r="AV670" s="989" t="s">
        <v>233</v>
      </c>
      <c r="AW670" s="714"/>
    </row>
    <row r="671">
      <c r="A671" s="761"/>
      <c r="B671" s="769" t="s">
        <v>493</v>
      </c>
      <c r="C671" s="770" t="s">
        <v>628</v>
      </c>
      <c r="D671" s="770" t="s">
        <v>494</v>
      </c>
      <c r="E671" s="770" t="s">
        <v>512</v>
      </c>
      <c r="F671" s="770" t="s">
        <v>521</v>
      </c>
      <c r="G671" s="770" t="s">
        <v>103</v>
      </c>
      <c r="H671" s="770">
        <v>2019.0</v>
      </c>
      <c r="I671" s="771">
        <v>0.0</v>
      </c>
      <c r="J671" s="771">
        <v>0.0</v>
      </c>
      <c r="K671" s="772">
        <v>0.0</v>
      </c>
      <c r="M671" s="769" t="s">
        <v>493</v>
      </c>
      <c r="N671" s="770" t="s">
        <v>628</v>
      </c>
      <c r="O671" s="770" t="s">
        <v>494</v>
      </c>
      <c r="P671" s="770" t="s">
        <v>512</v>
      </c>
      <c r="Q671" s="770" t="s">
        <v>521</v>
      </c>
      <c r="R671" s="770" t="s">
        <v>497</v>
      </c>
      <c r="S671" s="770">
        <v>2019.0</v>
      </c>
      <c r="T671" s="771">
        <v>0.0</v>
      </c>
      <c r="U671" s="771">
        <v>0.0</v>
      </c>
      <c r="V671" s="772">
        <v>0.0</v>
      </c>
      <c r="X671" s="769" t="s">
        <v>514</v>
      </c>
      <c r="Y671" s="770" t="s">
        <v>494</v>
      </c>
      <c r="Z671" s="770" t="s">
        <v>513</v>
      </c>
      <c r="AA671" s="770" t="s">
        <v>629</v>
      </c>
      <c r="AB671" s="770" t="s">
        <v>493</v>
      </c>
      <c r="AC671" s="770" t="s">
        <v>103</v>
      </c>
      <c r="AD671" s="770" t="s">
        <v>501</v>
      </c>
      <c r="AE671" s="784" t="s">
        <v>502</v>
      </c>
      <c r="AF671" s="771">
        <v>5984.806648</v>
      </c>
      <c r="AG671" s="771">
        <v>4541.834313</v>
      </c>
      <c r="AH671" s="771">
        <v>7921.372583</v>
      </c>
      <c r="AI671" s="772" t="s">
        <v>233</v>
      </c>
      <c r="AK671" s="769" t="s">
        <v>514</v>
      </c>
      <c r="AL671" s="770" t="s">
        <v>494</v>
      </c>
      <c r="AM671" s="770" t="s">
        <v>513</v>
      </c>
      <c r="AN671" s="770" t="s">
        <v>629</v>
      </c>
      <c r="AO671" s="770" t="s">
        <v>493</v>
      </c>
      <c r="AP671" s="770" t="s">
        <v>504</v>
      </c>
      <c r="AQ671" s="770" t="s">
        <v>501</v>
      </c>
      <c r="AR671" s="784" t="s">
        <v>502</v>
      </c>
      <c r="AS671" s="771">
        <v>843.8098983</v>
      </c>
      <c r="AT671" s="771">
        <v>640.3623333</v>
      </c>
      <c r="AU671" s="771">
        <v>1116.850215</v>
      </c>
      <c r="AV671" s="989" t="s">
        <v>233</v>
      </c>
      <c r="AW671" s="714"/>
    </row>
    <row r="672">
      <c r="A672" s="761"/>
      <c r="B672" s="769" t="s">
        <v>493</v>
      </c>
      <c r="C672" s="770" t="s">
        <v>628</v>
      </c>
      <c r="D672" s="770" t="s">
        <v>494</v>
      </c>
      <c r="E672" s="770" t="s">
        <v>495</v>
      </c>
      <c r="F672" s="770" t="s">
        <v>523</v>
      </c>
      <c r="G672" s="770" t="s">
        <v>103</v>
      </c>
      <c r="H672" s="770">
        <v>2019.0</v>
      </c>
      <c r="I672" s="771">
        <v>105.1315123</v>
      </c>
      <c r="J672" s="771">
        <v>162.1245318</v>
      </c>
      <c r="K672" s="772">
        <v>62.84063251</v>
      </c>
      <c r="M672" s="769" t="s">
        <v>493</v>
      </c>
      <c r="N672" s="770" t="s">
        <v>628</v>
      </c>
      <c r="O672" s="770" t="s">
        <v>494</v>
      </c>
      <c r="P672" s="770" t="s">
        <v>495</v>
      </c>
      <c r="Q672" s="770" t="s">
        <v>523</v>
      </c>
      <c r="R672" s="770" t="s">
        <v>497</v>
      </c>
      <c r="S672" s="770">
        <v>2019.0</v>
      </c>
      <c r="T672" s="771">
        <v>48.13510175</v>
      </c>
      <c r="U672" s="771">
        <v>74.22970203</v>
      </c>
      <c r="V672" s="772">
        <v>28.77196544</v>
      </c>
      <c r="X672" s="769" t="s">
        <v>518</v>
      </c>
      <c r="Y672" s="770" t="s">
        <v>494</v>
      </c>
      <c r="Z672" s="770" t="s">
        <v>499</v>
      </c>
      <c r="AA672" s="770" t="s">
        <v>629</v>
      </c>
      <c r="AB672" s="770" t="s">
        <v>493</v>
      </c>
      <c r="AC672" s="770" t="s">
        <v>103</v>
      </c>
      <c r="AD672" s="770" t="s">
        <v>501</v>
      </c>
      <c r="AE672" s="784" t="s">
        <v>502</v>
      </c>
      <c r="AF672" s="771">
        <v>22.73425724</v>
      </c>
      <c r="AG672" s="771">
        <v>8.955329887</v>
      </c>
      <c r="AH672" s="771">
        <v>47.52008968</v>
      </c>
      <c r="AI672" s="772" t="s">
        <v>233</v>
      </c>
      <c r="AK672" s="769" t="s">
        <v>518</v>
      </c>
      <c r="AL672" s="770" t="s">
        <v>494</v>
      </c>
      <c r="AM672" s="770" t="s">
        <v>499</v>
      </c>
      <c r="AN672" s="770" t="s">
        <v>629</v>
      </c>
      <c r="AO672" s="770" t="s">
        <v>493</v>
      </c>
      <c r="AP672" s="770" t="s">
        <v>504</v>
      </c>
      <c r="AQ672" s="770" t="s">
        <v>501</v>
      </c>
      <c r="AR672" s="784" t="s">
        <v>502</v>
      </c>
      <c r="AS672" s="771">
        <v>793.6718001</v>
      </c>
      <c r="AT672" s="771">
        <v>312.6380034</v>
      </c>
      <c r="AU672" s="771">
        <v>1658.965794</v>
      </c>
      <c r="AV672" s="989" t="s">
        <v>233</v>
      </c>
      <c r="AW672" s="714"/>
    </row>
    <row r="673">
      <c r="A673" s="761"/>
      <c r="B673" s="769" t="s">
        <v>493</v>
      </c>
      <c r="C673" s="770" t="s">
        <v>628</v>
      </c>
      <c r="D673" s="770" t="s">
        <v>494</v>
      </c>
      <c r="E673" s="770" t="s">
        <v>505</v>
      </c>
      <c r="F673" s="770" t="s">
        <v>523</v>
      </c>
      <c r="G673" s="770" t="s">
        <v>103</v>
      </c>
      <c r="H673" s="770">
        <v>2019.0</v>
      </c>
      <c r="I673" s="771">
        <v>0.0</v>
      </c>
      <c r="J673" s="771">
        <v>0.0</v>
      </c>
      <c r="K673" s="772">
        <v>0.0</v>
      </c>
      <c r="M673" s="769" t="s">
        <v>493</v>
      </c>
      <c r="N673" s="770" t="s">
        <v>628</v>
      </c>
      <c r="O673" s="770" t="s">
        <v>494</v>
      </c>
      <c r="P673" s="770" t="s">
        <v>505</v>
      </c>
      <c r="Q673" s="770" t="s">
        <v>523</v>
      </c>
      <c r="R673" s="770" t="s">
        <v>497</v>
      </c>
      <c r="S673" s="770">
        <v>2019.0</v>
      </c>
      <c r="T673" s="771">
        <v>0.0</v>
      </c>
      <c r="U673" s="771">
        <v>0.0</v>
      </c>
      <c r="V673" s="772">
        <v>0.0</v>
      </c>
      <c r="X673" s="769" t="s">
        <v>518</v>
      </c>
      <c r="Y673" s="770" t="s">
        <v>494</v>
      </c>
      <c r="Z673" s="770" t="s">
        <v>507</v>
      </c>
      <c r="AA673" s="770" t="s">
        <v>629</v>
      </c>
      <c r="AB673" s="770" t="s">
        <v>493</v>
      </c>
      <c r="AC673" s="770" t="s">
        <v>103</v>
      </c>
      <c r="AD673" s="770" t="s">
        <v>501</v>
      </c>
      <c r="AE673" s="784" t="s">
        <v>502</v>
      </c>
      <c r="AF673" s="771">
        <v>248.4759716</v>
      </c>
      <c r="AG673" s="771">
        <v>107.635423</v>
      </c>
      <c r="AH673" s="771">
        <v>471.9703175</v>
      </c>
      <c r="AI673" s="772" t="s">
        <v>233</v>
      </c>
      <c r="AK673" s="769" t="s">
        <v>518</v>
      </c>
      <c r="AL673" s="770" t="s">
        <v>494</v>
      </c>
      <c r="AM673" s="770" t="s">
        <v>507</v>
      </c>
      <c r="AN673" s="770" t="s">
        <v>629</v>
      </c>
      <c r="AO673" s="770" t="s">
        <v>493</v>
      </c>
      <c r="AP673" s="770" t="s">
        <v>504</v>
      </c>
      <c r="AQ673" s="770" t="s">
        <v>501</v>
      </c>
      <c r="AR673" s="784" t="s">
        <v>502</v>
      </c>
      <c r="AS673" s="771">
        <v>181.3559418</v>
      </c>
      <c r="AT673" s="771">
        <v>78.56020595</v>
      </c>
      <c r="AU673" s="771">
        <v>344.4784656</v>
      </c>
      <c r="AV673" s="989" t="s">
        <v>233</v>
      </c>
      <c r="AW673" s="714"/>
    </row>
    <row r="674">
      <c r="A674" s="761"/>
      <c r="B674" s="769" t="s">
        <v>493</v>
      </c>
      <c r="C674" s="770" t="s">
        <v>628</v>
      </c>
      <c r="D674" s="770" t="s">
        <v>494</v>
      </c>
      <c r="E674" s="770" t="s">
        <v>508</v>
      </c>
      <c r="F674" s="770" t="s">
        <v>523</v>
      </c>
      <c r="G674" s="770" t="s">
        <v>103</v>
      </c>
      <c r="H674" s="770">
        <v>2019.0</v>
      </c>
      <c r="I674" s="771">
        <v>53.0657126</v>
      </c>
      <c r="J674" s="771">
        <v>94.55033989</v>
      </c>
      <c r="K674" s="772">
        <v>24.56826513</v>
      </c>
      <c r="M674" s="769" t="s">
        <v>493</v>
      </c>
      <c r="N674" s="770" t="s">
        <v>628</v>
      </c>
      <c r="O674" s="770" t="s">
        <v>494</v>
      </c>
      <c r="P674" s="770" t="s">
        <v>508</v>
      </c>
      <c r="Q674" s="770" t="s">
        <v>523</v>
      </c>
      <c r="R674" s="770" t="s">
        <v>497</v>
      </c>
      <c r="S674" s="770">
        <v>2019.0</v>
      </c>
      <c r="T674" s="771">
        <v>129.108318</v>
      </c>
      <c r="U674" s="771">
        <v>230.0399778</v>
      </c>
      <c r="V674" s="772">
        <v>59.77432946</v>
      </c>
      <c r="X674" s="769" t="s">
        <v>518</v>
      </c>
      <c r="Y674" s="770" t="s">
        <v>494</v>
      </c>
      <c r="Z674" s="770" t="s">
        <v>509</v>
      </c>
      <c r="AA674" s="770" t="s">
        <v>629</v>
      </c>
      <c r="AB674" s="770" t="s">
        <v>493</v>
      </c>
      <c r="AC674" s="770" t="s">
        <v>103</v>
      </c>
      <c r="AD674" s="770" t="s">
        <v>501</v>
      </c>
      <c r="AE674" s="784" t="s">
        <v>502</v>
      </c>
      <c r="AF674" s="771">
        <v>26.60039011</v>
      </c>
      <c r="AG674" s="771">
        <v>12.04341537</v>
      </c>
      <c r="AH674" s="771">
        <v>53.37173831</v>
      </c>
      <c r="AI674" s="772" t="s">
        <v>233</v>
      </c>
      <c r="AK674" s="769" t="s">
        <v>518</v>
      </c>
      <c r="AL674" s="770" t="s">
        <v>494</v>
      </c>
      <c r="AM674" s="770" t="s">
        <v>509</v>
      </c>
      <c r="AN674" s="770" t="s">
        <v>629</v>
      </c>
      <c r="AO674" s="770" t="s">
        <v>493</v>
      </c>
      <c r="AP674" s="770" t="s">
        <v>504</v>
      </c>
      <c r="AQ674" s="770" t="s">
        <v>501</v>
      </c>
      <c r="AR674" s="784" t="s">
        <v>502</v>
      </c>
      <c r="AS674" s="771">
        <v>313.0555864</v>
      </c>
      <c r="AT674" s="771">
        <v>141.7369612</v>
      </c>
      <c r="AU674" s="771">
        <v>628.1231502</v>
      </c>
      <c r="AV674" s="989" t="s">
        <v>233</v>
      </c>
      <c r="AW674" s="714"/>
    </row>
    <row r="675">
      <c r="A675" s="761"/>
      <c r="B675" s="769" t="s">
        <v>493</v>
      </c>
      <c r="C675" s="770" t="s">
        <v>628</v>
      </c>
      <c r="D675" s="770" t="s">
        <v>494</v>
      </c>
      <c r="E675" s="770" t="s">
        <v>512</v>
      </c>
      <c r="F675" s="770" t="s">
        <v>523</v>
      </c>
      <c r="G675" s="770" t="s">
        <v>103</v>
      </c>
      <c r="H675" s="770">
        <v>2019.0</v>
      </c>
      <c r="I675" s="771">
        <v>0.0</v>
      </c>
      <c r="J675" s="771">
        <v>0.0</v>
      </c>
      <c r="K675" s="772">
        <v>0.0</v>
      </c>
      <c r="M675" s="769" t="s">
        <v>493</v>
      </c>
      <c r="N675" s="770" t="s">
        <v>628</v>
      </c>
      <c r="O675" s="770" t="s">
        <v>494</v>
      </c>
      <c r="P675" s="770" t="s">
        <v>512</v>
      </c>
      <c r="Q675" s="770" t="s">
        <v>523</v>
      </c>
      <c r="R675" s="770" t="s">
        <v>497</v>
      </c>
      <c r="S675" s="770">
        <v>2019.0</v>
      </c>
      <c r="T675" s="771">
        <v>0.0</v>
      </c>
      <c r="U675" s="771">
        <v>0.0</v>
      </c>
      <c r="V675" s="772">
        <v>0.0</v>
      </c>
      <c r="X675" s="769" t="s">
        <v>518</v>
      </c>
      <c r="Y675" s="770" t="s">
        <v>494</v>
      </c>
      <c r="Z675" s="770" t="s">
        <v>513</v>
      </c>
      <c r="AA675" s="770" t="s">
        <v>629</v>
      </c>
      <c r="AB675" s="770" t="s">
        <v>493</v>
      </c>
      <c r="AC675" s="770" t="s">
        <v>103</v>
      </c>
      <c r="AD675" s="770" t="s">
        <v>501</v>
      </c>
      <c r="AE675" s="784" t="s">
        <v>502</v>
      </c>
      <c r="AF675" s="771">
        <v>426.4343775</v>
      </c>
      <c r="AG675" s="771">
        <v>209.6646987</v>
      </c>
      <c r="AH675" s="771">
        <v>781.5781033</v>
      </c>
      <c r="AI675" s="772" t="s">
        <v>233</v>
      </c>
      <c r="AK675" s="769" t="s">
        <v>518</v>
      </c>
      <c r="AL675" s="770" t="s">
        <v>494</v>
      </c>
      <c r="AM675" s="770" t="s">
        <v>513</v>
      </c>
      <c r="AN675" s="770" t="s">
        <v>629</v>
      </c>
      <c r="AO675" s="770" t="s">
        <v>493</v>
      </c>
      <c r="AP675" s="770" t="s">
        <v>504</v>
      </c>
      <c r="AQ675" s="770" t="s">
        <v>501</v>
      </c>
      <c r="AR675" s="784" t="s">
        <v>502</v>
      </c>
      <c r="AS675" s="771">
        <v>60.12383855</v>
      </c>
      <c r="AT675" s="771">
        <v>29.56104658</v>
      </c>
      <c r="AU675" s="771">
        <v>110.1962651</v>
      </c>
      <c r="AV675" s="989" t="s">
        <v>233</v>
      </c>
      <c r="AW675" s="714"/>
    </row>
    <row r="676">
      <c r="A676" s="761"/>
      <c r="B676" s="769" t="s">
        <v>493</v>
      </c>
      <c r="C676" s="770" t="s">
        <v>630</v>
      </c>
      <c r="D676" s="770" t="s">
        <v>494</v>
      </c>
      <c r="E676" s="770" t="s">
        <v>495</v>
      </c>
      <c r="F676" s="770" t="s">
        <v>496</v>
      </c>
      <c r="G676" s="770" t="s">
        <v>103</v>
      </c>
      <c r="H676" s="770">
        <v>2019.0</v>
      </c>
      <c r="I676" s="771">
        <v>8281.733363</v>
      </c>
      <c r="J676" s="771">
        <v>11175.70458</v>
      </c>
      <c r="K676" s="772">
        <v>6118.179661</v>
      </c>
      <c r="M676" s="769" t="s">
        <v>493</v>
      </c>
      <c r="N676" s="770" t="s">
        <v>630</v>
      </c>
      <c r="O676" s="770" t="s">
        <v>494</v>
      </c>
      <c r="P676" s="770" t="s">
        <v>495</v>
      </c>
      <c r="Q676" s="770" t="s">
        <v>496</v>
      </c>
      <c r="R676" s="770" t="s">
        <v>497</v>
      </c>
      <c r="S676" s="770">
        <v>2019.0</v>
      </c>
      <c r="T676" s="771">
        <v>1307.648827</v>
      </c>
      <c r="U676" s="771">
        <v>1764.593998</v>
      </c>
      <c r="V676" s="772">
        <v>966.0333297</v>
      </c>
      <c r="X676" s="769" t="s">
        <v>519</v>
      </c>
      <c r="Y676" s="770" t="s">
        <v>494</v>
      </c>
      <c r="Z676" s="770" t="s">
        <v>499</v>
      </c>
      <c r="AA676" s="770" t="s">
        <v>629</v>
      </c>
      <c r="AB676" s="770" t="s">
        <v>493</v>
      </c>
      <c r="AC676" s="770" t="s">
        <v>103</v>
      </c>
      <c r="AD676" s="770" t="s">
        <v>501</v>
      </c>
      <c r="AE676" s="784" t="s">
        <v>502</v>
      </c>
      <c r="AF676" s="771">
        <v>2312.090072</v>
      </c>
      <c r="AG676" s="771">
        <v>1749.143553</v>
      </c>
      <c r="AH676" s="771">
        <v>3099.082153</v>
      </c>
      <c r="AI676" s="772" t="s">
        <v>233</v>
      </c>
      <c r="AK676" s="769" t="s">
        <v>519</v>
      </c>
      <c r="AL676" s="770" t="s">
        <v>494</v>
      </c>
      <c r="AM676" s="770" t="s">
        <v>499</v>
      </c>
      <c r="AN676" s="770" t="s">
        <v>629</v>
      </c>
      <c r="AO676" s="770" t="s">
        <v>493</v>
      </c>
      <c r="AP676" s="770" t="s">
        <v>504</v>
      </c>
      <c r="AQ676" s="770" t="s">
        <v>501</v>
      </c>
      <c r="AR676" s="784" t="s">
        <v>502</v>
      </c>
      <c r="AS676" s="771">
        <v>80716.98452</v>
      </c>
      <c r="AT676" s="771">
        <v>61064.05402</v>
      </c>
      <c r="AU676" s="771">
        <v>108191.5316</v>
      </c>
      <c r="AV676" s="989" t="s">
        <v>233</v>
      </c>
      <c r="AW676" s="714"/>
    </row>
    <row r="677">
      <c r="A677" s="761"/>
      <c r="B677" s="769" t="s">
        <v>493</v>
      </c>
      <c r="C677" s="770" t="s">
        <v>630</v>
      </c>
      <c r="D677" s="770" t="s">
        <v>494</v>
      </c>
      <c r="E677" s="770" t="s">
        <v>505</v>
      </c>
      <c r="F677" s="770" t="s">
        <v>496</v>
      </c>
      <c r="G677" s="770" t="s">
        <v>103</v>
      </c>
      <c r="H677" s="770">
        <v>2019.0</v>
      </c>
      <c r="I677" s="771">
        <v>2583.514587</v>
      </c>
      <c r="J677" s="771">
        <v>3551.690113</v>
      </c>
      <c r="K677" s="772">
        <v>1900.772161</v>
      </c>
      <c r="M677" s="769" t="s">
        <v>493</v>
      </c>
      <c r="N677" s="770" t="s">
        <v>630</v>
      </c>
      <c r="O677" s="770" t="s">
        <v>494</v>
      </c>
      <c r="P677" s="770" t="s">
        <v>505</v>
      </c>
      <c r="Q677" s="770" t="s">
        <v>496</v>
      </c>
      <c r="R677" s="770" t="s">
        <v>497</v>
      </c>
      <c r="S677" s="770">
        <v>2019.0</v>
      </c>
      <c r="T677" s="771">
        <v>101140.3981</v>
      </c>
      <c r="U677" s="771">
        <v>139042.8967</v>
      </c>
      <c r="V677" s="772">
        <v>74412.14149</v>
      </c>
      <c r="X677" s="769" t="s">
        <v>519</v>
      </c>
      <c r="Y677" s="770" t="s">
        <v>494</v>
      </c>
      <c r="Z677" s="770" t="s">
        <v>507</v>
      </c>
      <c r="AA677" s="770" t="s">
        <v>629</v>
      </c>
      <c r="AB677" s="770" t="s">
        <v>493</v>
      </c>
      <c r="AC677" s="770" t="s">
        <v>103</v>
      </c>
      <c r="AD677" s="770" t="s">
        <v>501</v>
      </c>
      <c r="AE677" s="784" t="s">
        <v>502</v>
      </c>
      <c r="AF677" s="771">
        <v>10.242501</v>
      </c>
      <c r="AG677" s="771">
        <v>4.739042321</v>
      </c>
      <c r="AH677" s="771">
        <v>18.97007446</v>
      </c>
      <c r="AI677" s="772" t="s">
        <v>233</v>
      </c>
      <c r="AK677" s="769" t="s">
        <v>519</v>
      </c>
      <c r="AL677" s="770" t="s">
        <v>494</v>
      </c>
      <c r="AM677" s="770" t="s">
        <v>507</v>
      </c>
      <c r="AN677" s="770" t="s">
        <v>629</v>
      </c>
      <c r="AO677" s="770" t="s">
        <v>493</v>
      </c>
      <c r="AP677" s="770" t="s">
        <v>504</v>
      </c>
      <c r="AQ677" s="770" t="s">
        <v>501</v>
      </c>
      <c r="AR677" s="784" t="s">
        <v>502</v>
      </c>
      <c r="AS677" s="771">
        <v>7.47572654</v>
      </c>
      <c r="AT677" s="771">
        <v>3.458899779</v>
      </c>
      <c r="AU677" s="771">
        <v>13.84574813</v>
      </c>
      <c r="AV677" s="989" t="s">
        <v>233</v>
      </c>
      <c r="AW677" s="714"/>
    </row>
    <row r="678">
      <c r="A678" s="761"/>
      <c r="B678" s="769" t="s">
        <v>493</v>
      </c>
      <c r="C678" s="770" t="s">
        <v>630</v>
      </c>
      <c r="D678" s="770" t="s">
        <v>494</v>
      </c>
      <c r="E678" s="770" t="s">
        <v>508</v>
      </c>
      <c r="F678" s="770" t="s">
        <v>496</v>
      </c>
      <c r="G678" s="770" t="s">
        <v>103</v>
      </c>
      <c r="H678" s="770">
        <v>2019.0</v>
      </c>
      <c r="I678" s="771">
        <v>2540.690952</v>
      </c>
      <c r="J678" s="771">
        <v>3442.338545</v>
      </c>
      <c r="K678" s="772">
        <v>1876.788534</v>
      </c>
      <c r="M678" s="769" t="s">
        <v>493</v>
      </c>
      <c r="N678" s="770" t="s">
        <v>630</v>
      </c>
      <c r="O678" s="770" t="s">
        <v>494</v>
      </c>
      <c r="P678" s="770" t="s">
        <v>508</v>
      </c>
      <c r="Q678" s="770" t="s">
        <v>496</v>
      </c>
      <c r="R678" s="770" t="s">
        <v>497</v>
      </c>
      <c r="S678" s="770">
        <v>2019.0</v>
      </c>
      <c r="T678" s="771">
        <v>2131.765652</v>
      </c>
      <c r="U678" s="771">
        <v>2888.292678</v>
      </c>
      <c r="V678" s="772">
        <v>1574.718613</v>
      </c>
      <c r="X678" s="769" t="s">
        <v>519</v>
      </c>
      <c r="Y678" s="770" t="s">
        <v>494</v>
      </c>
      <c r="Z678" s="770" t="s">
        <v>509</v>
      </c>
      <c r="AA678" s="770" t="s">
        <v>629</v>
      </c>
      <c r="AB678" s="770" t="s">
        <v>493</v>
      </c>
      <c r="AC678" s="770" t="s">
        <v>103</v>
      </c>
      <c r="AD678" s="770" t="s">
        <v>501</v>
      </c>
      <c r="AE678" s="784" t="s">
        <v>502</v>
      </c>
      <c r="AF678" s="771">
        <v>137.7051286</v>
      </c>
      <c r="AG678" s="771">
        <v>84.03659737</v>
      </c>
      <c r="AH678" s="771">
        <v>208.819365</v>
      </c>
      <c r="AI678" s="772" t="s">
        <v>233</v>
      </c>
      <c r="AK678" s="769" t="s">
        <v>519</v>
      </c>
      <c r="AL678" s="770" t="s">
        <v>494</v>
      </c>
      <c r="AM678" s="770" t="s">
        <v>509</v>
      </c>
      <c r="AN678" s="770" t="s">
        <v>629</v>
      </c>
      <c r="AO678" s="770" t="s">
        <v>493</v>
      </c>
      <c r="AP678" s="770" t="s">
        <v>504</v>
      </c>
      <c r="AQ678" s="770" t="s">
        <v>501</v>
      </c>
      <c r="AR678" s="784" t="s">
        <v>502</v>
      </c>
      <c r="AS678" s="771">
        <v>1620.628855</v>
      </c>
      <c r="AT678" s="771">
        <v>989.0127985</v>
      </c>
      <c r="AU678" s="771">
        <v>2457.560527</v>
      </c>
      <c r="AV678" s="989" t="s">
        <v>233</v>
      </c>
      <c r="AW678" s="714"/>
    </row>
    <row r="679">
      <c r="A679" s="761"/>
      <c r="B679" s="769" t="s">
        <v>493</v>
      </c>
      <c r="C679" s="770" t="s">
        <v>630</v>
      </c>
      <c r="D679" s="770" t="s">
        <v>494</v>
      </c>
      <c r="E679" s="770" t="s">
        <v>512</v>
      </c>
      <c r="F679" s="770" t="s">
        <v>496</v>
      </c>
      <c r="G679" s="770" t="s">
        <v>103</v>
      </c>
      <c r="H679" s="770">
        <v>2019.0</v>
      </c>
      <c r="I679" s="771">
        <v>632.6811364</v>
      </c>
      <c r="J679" s="771">
        <v>869.5792328</v>
      </c>
      <c r="K679" s="772">
        <v>464.7106071</v>
      </c>
      <c r="M679" s="769" t="s">
        <v>493</v>
      </c>
      <c r="N679" s="770" t="s">
        <v>630</v>
      </c>
      <c r="O679" s="770" t="s">
        <v>494</v>
      </c>
      <c r="P679" s="770" t="s">
        <v>512</v>
      </c>
      <c r="Q679" s="770" t="s">
        <v>496</v>
      </c>
      <c r="R679" s="770" t="s">
        <v>497</v>
      </c>
      <c r="S679" s="770">
        <v>2019.0</v>
      </c>
      <c r="T679" s="771">
        <v>8360.589707</v>
      </c>
      <c r="U679" s="771">
        <v>11491.0889</v>
      </c>
      <c r="V679" s="772">
        <v>6140.936555</v>
      </c>
      <c r="X679" s="769" t="s">
        <v>519</v>
      </c>
      <c r="Y679" s="770" t="s">
        <v>494</v>
      </c>
      <c r="Z679" s="770" t="s">
        <v>513</v>
      </c>
      <c r="AA679" s="770" t="s">
        <v>629</v>
      </c>
      <c r="AB679" s="770" t="s">
        <v>493</v>
      </c>
      <c r="AC679" s="770" t="s">
        <v>103</v>
      </c>
      <c r="AD679" s="770" t="s">
        <v>501</v>
      </c>
      <c r="AE679" s="784" t="s">
        <v>502</v>
      </c>
      <c r="AF679" s="771">
        <v>2461.091144</v>
      </c>
      <c r="AG679" s="771">
        <v>1868.911238</v>
      </c>
      <c r="AH679" s="771">
        <v>3281.788362</v>
      </c>
      <c r="AI679" s="772" t="s">
        <v>233</v>
      </c>
      <c r="AK679" s="769" t="s">
        <v>519</v>
      </c>
      <c r="AL679" s="770" t="s">
        <v>494</v>
      </c>
      <c r="AM679" s="770" t="s">
        <v>513</v>
      </c>
      <c r="AN679" s="770" t="s">
        <v>629</v>
      </c>
      <c r="AO679" s="770" t="s">
        <v>493</v>
      </c>
      <c r="AP679" s="770" t="s">
        <v>504</v>
      </c>
      <c r="AQ679" s="770" t="s">
        <v>501</v>
      </c>
      <c r="AR679" s="784" t="s">
        <v>502</v>
      </c>
      <c r="AS679" s="771">
        <v>346.9941787</v>
      </c>
      <c r="AT679" s="771">
        <v>263.5015456</v>
      </c>
      <c r="AU679" s="771">
        <v>462.7059263</v>
      </c>
      <c r="AV679" s="989" t="s">
        <v>233</v>
      </c>
      <c r="AW679" s="714"/>
    </row>
    <row r="680">
      <c r="A680" s="761"/>
      <c r="B680" s="769" t="s">
        <v>493</v>
      </c>
      <c r="C680" s="770" t="s">
        <v>630</v>
      </c>
      <c r="D680" s="770" t="s">
        <v>494</v>
      </c>
      <c r="E680" s="770" t="s">
        <v>495</v>
      </c>
      <c r="F680" s="770" t="s">
        <v>514</v>
      </c>
      <c r="G680" s="770" t="s">
        <v>103</v>
      </c>
      <c r="H680" s="770">
        <v>2019.0</v>
      </c>
      <c r="I680" s="771">
        <v>7389.649318</v>
      </c>
      <c r="J680" s="771">
        <v>9987.459731</v>
      </c>
      <c r="K680" s="772">
        <v>5453.99026</v>
      </c>
      <c r="M680" s="769" t="s">
        <v>493</v>
      </c>
      <c r="N680" s="770" t="s">
        <v>630</v>
      </c>
      <c r="O680" s="770" t="s">
        <v>494</v>
      </c>
      <c r="P680" s="770" t="s">
        <v>495</v>
      </c>
      <c r="Q680" s="770" t="s">
        <v>514</v>
      </c>
      <c r="R680" s="770" t="s">
        <v>497</v>
      </c>
      <c r="S680" s="770">
        <v>2019.0</v>
      </c>
      <c r="T680" s="771">
        <v>1166.792728</v>
      </c>
      <c r="U680" s="771">
        <v>1576.975426</v>
      </c>
      <c r="V680" s="772">
        <v>861.1607803</v>
      </c>
      <c r="X680" s="769" t="s">
        <v>521</v>
      </c>
      <c r="Y680" s="770" t="s">
        <v>494</v>
      </c>
      <c r="Z680" s="770" t="s">
        <v>499</v>
      </c>
      <c r="AA680" s="770" t="s">
        <v>629</v>
      </c>
      <c r="AB680" s="770" t="s">
        <v>493</v>
      </c>
      <c r="AC680" s="770" t="s">
        <v>103</v>
      </c>
      <c r="AD680" s="770" t="s">
        <v>501</v>
      </c>
      <c r="AE680" s="784" t="s">
        <v>502</v>
      </c>
      <c r="AF680" s="771">
        <v>0.0</v>
      </c>
      <c r="AG680" s="771">
        <v>0.0</v>
      </c>
      <c r="AH680" s="771">
        <v>0.0</v>
      </c>
      <c r="AI680" s="772" t="s">
        <v>233</v>
      </c>
      <c r="AK680" s="769" t="s">
        <v>521</v>
      </c>
      <c r="AL680" s="770" t="s">
        <v>494</v>
      </c>
      <c r="AM680" s="770" t="s">
        <v>499</v>
      </c>
      <c r="AN680" s="770" t="s">
        <v>629</v>
      </c>
      <c r="AO680" s="770" t="s">
        <v>493</v>
      </c>
      <c r="AP680" s="770" t="s">
        <v>504</v>
      </c>
      <c r="AQ680" s="770" t="s">
        <v>501</v>
      </c>
      <c r="AR680" s="784" t="s">
        <v>502</v>
      </c>
      <c r="AS680" s="771">
        <v>0.0</v>
      </c>
      <c r="AT680" s="771">
        <v>0.0</v>
      </c>
      <c r="AU680" s="771">
        <v>0.0</v>
      </c>
      <c r="AV680" s="989" t="s">
        <v>233</v>
      </c>
      <c r="AW680" s="714"/>
    </row>
    <row r="681">
      <c r="A681" s="761"/>
      <c r="B681" s="769" t="s">
        <v>493</v>
      </c>
      <c r="C681" s="770" t="s">
        <v>630</v>
      </c>
      <c r="D681" s="770" t="s">
        <v>494</v>
      </c>
      <c r="E681" s="770" t="s">
        <v>505</v>
      </c>
      <c r="F681" s="770" t="s">
        <v>514</v>
      </c>
      <c r="G681" s="770" t="s">
        <v>103</v>
      </c>
      <c r="H681" s="770">
        <v>2019.0</v>
      </c>
      <c r="I681" s="771">
        <v>2396.458761</v>
      </c>
      <c r="J681" s="771">
        <v>3240.616375</v>
      </c>
      <c r="K681" s="772">
        <v>1756.026882</v>
      </c>
      <c r="M681" s="769" t="s">
        <v>493</v>
      </c>
      <c r="N681" s="770" t="s">
        <v>630</v>
      </c>
      <c r="O681" s="770" t="s">
        <v>494</v>
      </c>
      <c r="P681" s="770" t="s">
        <v>505</v>
      </c>
      <c r="Q681" s="770" t="s">
        <v>514</v>
      </c>
      <c r="R681" s="770" t="s">
        <v>497</v>
      </c>
      <c r="S681" s="770">
        <v>2019.0</v>
      </c>
      <c r="T681" s="771">
        <v>93817.46643</v>
      </c>
      <c r="U681" s="771">
        <v>126864.8653</v>
      </c>
      <c r="V681" s="772">
        <v>68745.59904</v>
      </c>
      <c r="X681" s="769" t="s">
        <v>521</v>
      </c>
      <c r="Y681" s="770" t="s">
        <v>494</v>
      </c>
      <c r="Z681" s="770" t="s">
        <v>507</v>
      </c>
      <c r="AA681" s="770" t="s">
        <v>629</v>
      </c>
      <c r="AB681" s="770" t="s">
        <v>493</v>
      </c>
      <c r="AC681" s="770" t="s">
        <v>103</v>
      </c>
      <c r="AD681" s="770" t="s">
        <v>501</v>
      </c>
      <c r="AE681" s="784" t="s">
        <v>502</v>
      </c>
      <c r="AF681" s="771">
        <v>3.96545684</v>
      </c>
      <c r="AG681" s="771">
        <v>1.005179004</v>
      </c>
      <c r="AH681" s="771">
        <v>10.2267129</v>
      </c>
      <c r="AI681" s="772" t="s">
        <v>233</v>
      </c>
      <c r="AK681" s="769" t="s">
        <v>521</v>
      </c>
      <c r="AL681" s="770" t="s">
        <v>494</v>
      </c>
      <c r="AM681" s="770" t="s">
        <v>507</v>
      </c>
      <c r="AN681" s="770" t="s">
        <v>629</v>
      </c>
      <c r="AO681" s="770" t="s">
        <v>493</v>
      </c>
      <c r="AP681" s="770" t="s">
        <v>504</v>
      </c>
      <c r="AQ681" s="770" t="s">
        <v>501</v>
      </c>
      <c r="AR681" s="784" t="s">
        <v>502</v>
      </c>
      <c r="AS681" s="771">
        <v>2.894280502</v>
      </c>
      <c r="AT681" s="771">
        <v>0.7336531725</v>
      </c>
      <c r="AU681" s="771">
        <v>7.464203226</v>
      </c>
      <c r="AV681" s="989" t="s">
        <v>233</v>
      </c>
      <c r="AW681" s="714"/>
    </row>
    <row r="682">
      <c r="A682" s="761"/>
      <c r="B682" s="769" t="s">
        <v>493</v>
      </c>
      <c r="C682" s="770" t="s">
        <v>630</v>
      </c>
      <c r="D682" s="770" t="s">
        <v>494</v>
      </c>
      <c r="E682" s="770" t="s">
        <v>508</v>
      </c>
      <c r="F682" s="770" t="s">
        <v>514</v>
      </c>
      <c r="G682" s="770" t="s">
        <v>103</v>
      </c>
      <c r="H682" s="770">
        <v>2019.0</v>
      </c>
      <c r="I682" s="771">
        <v>2221.061287</v>
      </c>
      <c r="J682" s="771">
        <v>3061.448655</v>
      </c>
      <c r="K682" s="772">
        <v>1624.246585</v>
      </c>
      <c r="M682" s="769" t="s">
        <v>493</v>
      </c>
      <c r="N682" s="770" t="s">
        <v>630</v>
      </c>
      <c r="O682" s="770" t="s">
        <v>494</v>
      </c>
      <c r="P682" s="770" t="s">
        <v>508</v>
      </c>
      <c r="Q682" s="770" t="s">
        <v>514</v>
      </c>
      <c r="R682" s="770" t="s">
        <v>497</v>
      </c>
      <c r="S682" s="770">
        <v>2019.0</v>
      </c>
      <c r="T682" s="771">
        <v>1863.580518</v>
      </c>
      <c r="U682" s="771">
        <v>2568.707179</v>
      </c>
      <c r="V682" s="772">
        <v>1362.823399</v>
      </c>
      <c r="X682" s="769" t="s">
        <v>521</v>
      </c>
      <c r="Y682" s="770" t="s">
        <v>494</v>
      </c>
      <c r="Z682" s="770" t="s">
        <v>509</v>
      </c>
      <c r="AA682" s="770" t="s">
        <v>629</v>
      </c>
      <c r="AB682" s="770" t="s">
        <v>493</v>
      </c>
      <c r="AC682" s="770" t="s">
        <v>103</v>
      </c>
      <c r="AD682" s="770" t="s">
        <v>501</v>
      </c>
      <c r="AE682" s="784" t="s">
        <v>502</v>
      </c>
      <c r="AF682" s="771">
        <v>0.0</v>
      </c>
      <c r="AG682" s="771">
        <v>0.0</v>
      </c>
      <c r="AH682" s="771">
        <v>0.0</v>
      </c>
      <c r="AI682" s="772" t="s">
        <v>233</v>
      </c>
      <c r="AK682" s="769" t="s">
        <v>521</v>
      </c>
      <c r="AL682" s="770" t="s">
        <v>494</v>
      </c>
      <c r="AM682" s="770" t="s">
        <v>509</v>
      </c>
      <c r="AN682" s="770" t="s">
        <v>629</v>
      </c>
      <c r="AO682" s="770" t="s">
        <v>493</v>
      </c>
      <c r="AP682" s="770" t="s">
        <v>504</v>
      </c>
      <c r="AQ682" s="770" t="s">
        <v>501</v>
      </c>
      <c r="AR682" s="784" t="s">
        <v>502</v>
      </c>
      <c r="AS682" s="771">
        <v>0.0</v>
      </c>
      <c r="AT682" s="771">
        <v>0.0</v>
      </c>
      <c r="AU682" s="771">
        <v>0.0</v>
      </c>
      <c r="AV682" s="989" t="s">
        <v>233</v>
      </c>
      <c r="AW682" s="714"/>
    </row>
    <row r="683">
      <c r="A683" s="761"/>
      <c r="B683" s="769" t="s">
        <v>493</v>
      </c>
      <c r="C683" s="770" t="s">
        <v>630</v>
      </c>
      <c r="D683" s="770" t="s">
        <v>494</v>
      </c>
      <c r="E683" s="770" t="s">
        <v>512</v>
      </c>
      <c r="F683" s="770" t="s">
        <v>514</v>
      </c>
      <c r="G683" s="770" t="s">
        <v>103</v>
      </c>
      <c r="H683" s="770">
        <v>2019.0</v>
      </c>
      <c r="I683" s="771">
        <v>572.0089627</v>
      </c>
      <c r="J683" s="771">
        <v>775.0948295</v>
      </c>
      <c r="K683" s="772">
        <v>420.6036179</v>
      </c>
      <c r="M683" s="769" t="s">
        <v>493</v>
      </c>
      <c r="N683" s="770" t="s">
        <v>630</v>
      </c>
      <c r="O683" s="770" t="s">
        <v>494</v>
      </c>
      <c r="P683" s="770" t="s">
        <v>512</v>
      </c>
      <c r="Q683" s="770" t="s">
        <v>514</v>
      </c>
      <c r="R683" s="770" t="s">
        <v>497</v>
      </c>
      <c r="S683" s="770">
        <v>2019.0</v>
      </c>
      <c r="T683" s="771">
        <v>7558.834887</v>
      </c>
      <c r="U683" s="771">
        <v>10242.52104</v>
      </c>
      <c r="V683" s="772">
        <v>5558.083015</v>
      </c>
      <c r="X683" s="769" t="s">
        <v>521</v>
      </c>
      <c r="Y683" s="770" t="s">
        <v>494</v>
      </c>
      <c r="Z683" s="770" t="s">
        <v>513</v>
      </c>
      <c r="AA683" s="770" t="s">
        <v>629</v>
      </c>
      <c r="AB683" s="770" t="s">
        <v>493</v>
      </c>
      <c r="AC683" s="770" t="s">
        <v>103</v>
      </c>
      <c r="AD683" s="770" t="s">
        <v>501</v>
      </c>
      <c r="AE683" s="784" t="s">
        <v>502</v>
      </c>
      <c r="AF683" s="771">
        <v>14.70428928</v>
      </c>
      <c r="AG683" s="771">
        <v>3.551465638</v>
      </c>
      <c r="AH683" s="771">
        <v>38.86889874</v>
      </c>
      <c r="AI683" s="772" t="s">
        <v>233</v>
      </c>
      <c r="AK683" s="769" t="s">
        <v>521</v>
      </c>
      <c r="AL683" s="770" t="s">
        <v>494</v>
      </c>
      <c r="AM683" s="770" t="s">
        <v>513</v>
      </c>
      <c r="AN683" s="770" t="s">
        <v>629</v>
      </c>
      <c r="AO683" s="770" t="s">
        <v>493</v>
      </c>
      <c r="AP683" s="770" t="s">
        <v>504</v>
      </c>
      <c r="AQ683" s="770" t="s">
        <v>501</v>
      </c>
      <c r="AR683" s="784" t="s">
        <v>502</v>
      </c>
      <c r="AS683" s="771">
        <v>2.073187251</v>
      </c>
      <c r="AT683" s="771">
        <v>0.5007282667</v>
      </c>
      <c r="AU683" s="771">
        <v>5.480204027</v>
      </c>
      <c r="AV683" s="989" t="s">
        <v>233</v>
      </c>
      <c r="AW683" s="714"/>
    </row>
    <row r="684">
      <c r="A684" s="761"/>
      <c r="B684" s="769" t="s">
        <v>493</v>
      </c>
      <c r="C684" s="770" t="s">
        <v>630</v>
      </c>
      <c r="D684" s="770" t="s">
        <v>494</v>
      </c>
      <c r="E684" s="770" t="s">
        <v>495</v>
      </c>
      <c r="F684" s="770" t="s">
        <v>518</v>
      </c>
      <c r="G684" s="770" t="s">
        <v>103</v>
      </c>
      <c r="H684" s="770">
        <v>2019.0</v>
      </c>
      <c r="I684" s="771">
        <v>1360.829685</v>
      </c>
      <c r="J684" s="771">
        <v>2321.65918</v>
      </c>
      <c r="K684" s="772">
        <v>533.3738317</v>
      </c>
      <c r="M684" s="769" t="s">
        <v>493</v>
      </c>
      <c r="N684" s="770" t="s">
        <v>630</v>
      </c>
      <c r="O684" s="770" t="s">
        <v>494</v>
      </c>
      <c r="P684" s="770" t="s">
        <v>495</v>
      </c>
      <c r="Q684" s="770" t="s">
        <v>518</v>
      </c>
      <c r="R684" s="770" t="s">
        <v>497</v>
      </c>
      <c r="S684" s="770">
        <v>2019.0</v>
      </c>
      <c r="T684" s="771">
        <v>214.8689487</v>
      </c>
      <c r="U684" s="771">
        <v>366.5796482</v>
      </c>
      <c r="V684" s="772">
        <v>84.21735339</v>
      </c>
      <c r="X684" s="769" t="s">
        <v>523</v>
      </c>
      <c r="Y684" s="770" t="s">
        <v>494</v>
      </c>
      <c r="Z684" s="770" t="s">
        <v>507</v>
      </c>
      <c r="AA684" s="770" t="s">
        <v>629</v>
      </c>
      <c r="AB684" s="770" t="s">
        <v>493</v>
      </c>
      <c r="AC684" s="770" t="s">
        <v>103</v>
      </c>
      <c r="AD684" s="770" t="s">
        <v>501</v>
      </c>
      <c r="AE684" s="784" t="s">
        <v>502</v>
      </c>
      <c r="AF684" s="771">
        <v>9.711264527</v>
      </c>
      <c r="AG684" s="771">
        <v>4.027428712</v>
      </c>
      <c r="AH684" s="771">
        <v>19.37685723</v>
      </c>
      <c r="AI684" s="772" t="s">
        <v>233</v>
      </c>
      <c r="AK684" s="769" t="s">
        <v>523</v>
      </c>
      <c r="AL684" s="770" t="s">
        <v>494</v>
      </c>
      <c r="AM684" s="770" t="s">
        <v>507</v>
      </c>
      <c r="AN684" s="770" t="s">
        <v>629</v>
      </c>
      <c r="AO684" s="770" t="s">
        <v>493</v>
      </c>
      <c r="AP684" s="770" t="s">
        <v>504</v>
      </c>
      <c r="AQ684" s="770" t="s">
        <v>501</v>
      </c>
      <c r="AR684" s="784" t="s">
        <v>502</v>
      </c>
      <c r="AS684" s="771">
        <v>7.087991297</v>
      </c>
      <c r="AT684" s="771">
        <v>2.939512107</v>
      </c>
      <c r="AU684" s="771">
        <v>14.14264795</v>
      </c>
      <c r="AV684" s="989" t="s">
        <v>233</v>
      </c>
      <c r="AW684" s="714"/>
    </row>
    <row r="685">
      <c r="A685" s="761"/>
      <c r="B685" s="769" t="s">
        <v>493</v>
      </c>
      <c r="C685" s="770" t="s">
        <v>630</v>
      </c>
      <c r="D685" s="770" t="s">
        <v>494</v>
      </c>
      <c r="E685" s="770" t="s">
        <v>505</v>
      </c>
      <c r="F685" s="770" t="s">
        <v>518</v>
      </c>
      <c r="G685" s="770" t="s">
        <v>103</v>
      </c>
      <c r="H685" s="770">
        <v>2019.0</v>
      </c>
      <c r="I685" s="771">
        <v>25.66620658</v>
      </c>
      <c r="J685" s="771">
        <v>50.95290618</v>
      </c>
      <c r="K685" s="772">
        <v>11.11860161</v>
      </c>
      <c r="M685" s="769" t="s">
        <v>493</v>
      </c>
      <c r="N685" s="770" t="s">
        <v>630</v>
      </c>
      <c r="O685" s="770" t="s">
        <v>494</v>
      </c>
      <c r="P685" s="770" t="s">
        <v>505</v>
      </c>
      <c r="Q685" s="770" t="s">
        <v>518</v>
      </c>
      <c r="R685" s="770" t="s">
        <v>497</v>
      </c>
      <c r="S685" s="770">
        <v>2019.0</v>
      </c>
      <c r="T685" s="771">
        <v>1004.790282</v>
      </c>
      <c r="U685" s="771">
        <v>1994.723483</v>
      </c>
      <c r="V685" s="772">
        <v>435.2751861</v>
      </c>
      <c r="X685" s="769" t="s">
        <v>523</v>
      </c>
      <c r="Y685" s="770" t="s">
        <v>494</v>
      </c>
      <c r="Z685" s="770" t="s">
        <v>513</v>
      </c>
      <c r="AA685" s="770" t="s">
        <v>629</v>
      </c>
      <c r="AB685" s="770" t="s">
        <v>493</v>
      </c>
      <c r="AC685" s="770" t="s">
        <v>103</v>
      </c>
      <c r="AD685" s="770" t="s">
        <v>501</v>
      </c>
      <c r="AE685" s="784" t="s">
        <v>502</v>
      </c>
      <c r="AF685" s="771">
        <v>14.88482043</v>
      </c>
      <c r="AG685" s="771">
        <v>6.792310863</v>
      </c>
      <c r="AH685" s="771">
        <v>30.04538514</v>
      </c>
      <c r="AI685" s="772" t="s">
        <v>233</v>
      </c>
      <c r="AK685" s="769" t="s">
        <v>523</v>
      </c>
      <c r="AL685" s="770" t="s">
        <v>494</v>
      </c>
      <c r="AM685" s="770" t="s">
        <v>513</v>
      </c>
      <c r="AN685" s="770" t="s">
        <v>629</v>
      </c>
      <c r="AO685" s="770" t="s">
        <v>493</v>
      </c>
      <c r="AP685" s="770" t="s">
        <v>504</v>
      </c>
      <c r="AQ685" s="770" t="s">
        <v>501</v>
      </c>
      <c r="AR685" s="784" t="s">
        <v>502</v>
      </c>
      <c r="AS685" s="771">
        <v>2.0986407</v>
      </c>
      <c r="AT685" s="771">
        <v>0.9576615379</v>
      </c>
      <c r="AU685" s="771">
        <v>4.236159139</v>
      </c>
      <c r="AV685" s="989" t="s">
        <v>233</v>
      </c>
      <c r="AW685" s="714"/>
    </row>
    <row r="686">
      <c r="A686" s="761"/>
      <c r="B686" s="769" t="s">
        <v>493</v>
      </c>
      <c r="C686" s="770" t="s">
        <v>630</v>
      </c>
      <c r="D686" s="770" t="s">
        <v>494</v>
      </c>
      <c r="E686" s="770" t="s">
        <v>508</v>
      </c>
      <c r="F686" s="770" t="s">
        <v>518</v>
      </c>
      <c r="G686" s="770" t="s">
        <v>103</v>
      </c>
      <c r="H686" s="770">
        <v>2019.0</v>
      </c>
      <c r="I686" s="771">
        <v>667.1774523</v>
      </c>
      <c r="J686" s="771">
        <v>1221.017543</v>
      </c>
      <c r="K686" s="772">
        <v>264.2993283</v>
      </c>
      <c r="M686" s="769" t="s">
        <v>493</v>
      </c>
      <c r="N686" s="770" t="s">
        <v>630</v>
      </c>
      <c r="O686" s="770" t="s">
        <v>494</v>
      </c>
      <c r="P686" s="770" t="s">
        <v>508</v>
      </c>
      <c r="Q686" s="770" t="s">
        <v>518</v>
      </c>
      <c r="R686" s="770" t="s">
        <v>497</v>
      </c>
      <c r="S686" s="770">
        <v>2019.0</v>
      </c>
      <c r="T686" s="771">
        <v>559.7949547</v>
      </c>
      <c r="U686" s="771">
        <v>1024.494245</v>
      </c>
      <c r="V686" s="772">
        <v>221.7602379</v>
      </c>
      <c r="X686" s="769" t="s">
        <v>496</v>
      </c>
      <c r="Y686" s="770" t="s">
        <v>494</v>
      </c>
      <c r="Z686" s="770" t="s">
        <v>499</v>
      </c>
      <c r="AA686" s="770" t="s">
        <v>631</v>
      </c>
      <c r="AB686" s="770" t="s">
        <v>493</v>
      </c>
      <c r="AC686" s="770" t="s">
        <v>103</v>
      </c>
      <c r="AD686" s="770" t="s">
        <v>501</v>
      </c>
      <c r="AE686" s="784" t="s">
        <v>502</v>
      </c>
      <c r="AF686" s="771">
        <v>7512.391839</v>
      </c>
      <c r="AG686" s="771">
        <v>5754.788592</v>
      </c>
      <c r="AH686" s="771">
        <v>9955.856249</v>
      </c>
      <c r="AI686" s="772" t="s">
        <v>233</v>
      </c>
      <c r="AK686" s="769" t="s">
        <v>496</v>
      </c>
      <c r="AL686" s="770" t="s">
        <v>494</v>
      </c>
      <c r="AM686" s="770" t="s">
        <v>499</v>
      </c>
      <c r="AN686" s="770" t="s">
        <v>631</v>
      </c>
      <c r="AO686" s="770" t="s">
        <v>493</v>
      </c>
      <c r="AP686" s="770" t="s">
        <v>504</v>
      </c>
      <c r="AQ686" s="770" t="s">
        <v>501</v>
      </c>
      <c r="AR686" s="784" t="s">
        <v>502</v>
      </c>
      <c r="AS686" s="771">
        <v>123249.1342</v>
      </c>
      <c r="AT686" s="771">
        <v>94413.70026</v>
      </c>
      <c r="AU686" s="771">
        <v>163336.8824</v>
      </c>
      <c r="AV686" s="989" t="s">
        <v>233</v>
      </c>
      <c r="AW686" s="714"/>
    </row>
    <row r="687">
      <c r="A687" s="761"/>
      <c r="B687" s="769" t="s">
        <v>493</v>
      </c>
      <c r="C687" s="770" t="s">
        <v>630</v>
      </c>
      <c r="D687" s="770" t="s">
        <v>494</v>
      </c>
      <c r="E687" s="770" t="s">
        <v>512</v>
      </c>
      <c r="F687" s="770" t="s">
        <v>518</v>
      </c>
      <c r="G687" s="770" t="s">
        <v>103</v>
      </c>
      <c r="H687" s="770">
        <v>2019.0</v>
      </c>
      <c r="I687" s="771">
        <v>59.90303834</v>
      </c>
      <c r="J687" s="771">
        <v>148.480643</v>
      </c>
      <c r="K687" s="772">
        <v>18.25553311</v>
      </c>
      <c r="M687" s="769" t="s">
        <v>493</v>
      </c>
      <c r="N687" s="770" t="s">
        <v>630</v>
      </c>
      <c r="O687" s="770" t="s">
        <v>494</v>
      </c>
      <c r="P687" s="770" t="s">
        <v>512</v>
      </c>
      <c r="Q687" s="770" t="s">
        <v>518</v>
      </c>
      <c r="R687" s="770" t="s">
        <v>497</v>
      </c>
      <c r="S687" s="770">
        <v>2019.0</v>
      </c>
      <c r="T687" s="771">
        <v>791.5910511</v>
      </c>
      <c r="U687" s="771">
        <v>1962.103284</v>
      </c>
      <c r="V687" s="772">
        <v>241.2384588</v>
      </c>
      <c r="X687" s="769" t="s">
        <v>496</v>
      </c>
      <c r="Y687" s="770" t="s">
        <v>494</v>
      </c>
      <c r="Z687" s="770" t="s">
        <v>507</v>
      </c>
      <c r="AA687" s="770" t="s">
        <v>631</v>
      </c>
      <c r="AB687" s="770" t="s">
        <v>493</v>
      </c>
      <c r="AC687" s="770" t="s">
        <v>103</v>
      </c>
      <c r="AD687" s="770" t="s">
        <v>501</v>
      </c>
      <c r="AE687" s="784" t="s">
        <v>502</v>
      </c>
      <c r="AF687" s="771">
        <v>5201.646916</v>
      </c>
      <c r="AG687" s="771">
        <v>3974.951995</v>
      </c>
      <c r="AH687" s="771">
        <v>6897.331223</v>
      </c>
      <c r="AI687" s="772" t="s">
        <v>233</v>
      </c>
      <c r="AK687" s="769" t="s">
        <v>496</v>
      </c>
      <c r="AL687" s="770" t="s">
        <v>494</v>
      </c>
      <c r="AM687" s="770" t="s">
        <v>507</v>
      </c>
      <c r="AN687" s="770" t="s">
        <v>631</v>
      </c>
      <c r="AO687" s="770" t="s">
        <v>493</v>
      </c>
      <c r="AP687" s="770" t="s">
        <v>504</v>
      </c>
      <c r="AQ687" s="770" t="s">
        <v>501</v>
      </c>
      <c r="AR687" s="784" t="s">
        <v>502</v>
      </c>
      <c r="AS687" s="771">
        <v>1875.502175</v>
      </c>
      <c r="AT687" s="771">
        <v>1433.205912</v>
      </c>
      <c r="AU687" s="771">
        <v>2486.896923</v>
      </c>
      <c r="AV687" s="989" t="s">
        <v>233</v>
      </c>
      <c r="AW687" s="714"/>
    </row>
    <row r="688">
      <c r="A688" s="761"/>
      <c r="B688" s="769" t="s">
        <v>493</v>
      </c>
      <c r="C688" s="770" t="s">
        <v>630</v>
      </c>
      <c r="D688" s="770" t="s">
        <v>494</v>
      </c>
      <c r="E688" s="770" t="s">
        <v>495</v>
      </c>
      <c r="F688" s="770" t="s">
        <v>519</v>
      </c>
      <c r="G688" s="770" t="s">
        <v>103</v>
      </c>
      <c r="H688" s="770">
        <v>2019.0</v>
      </c>
      <c r="I688" s="771">
        <v>2239.841452</v>
      </c>
      <c r="J688" s="771">
        <v>3090.404938</v>
      </c>
      <c r="K688" s="772">
        <v>1593.880489</v>
      </c>
      <c r="M688" s="769" t="s">
        <v>493</v>
      </c>
      <c r="N688" s="770" t="s">
        <v>630</v>
      </c>
      <c r="O688" s="770" t="s">
        <v>494</v>
      </c>
      <c r="P688" s="770" t="s">
        <v>495</v>
      </c>
      <c r="Q688" s="770" t="s">
        <v>519</v>
      </c>
      <c r="R688" s="770" t="s">
        <v>497</v>
      </c>
      <c r="S688" s="770">
        <v>2019.0</v>
      </c>
      <c r="T688" s="771">
        <v>353.6609933</v>
      </c>
      <c r="U688" s="771">
        <v>487.961181</v>
      </c>
      <c r="V688" s="772">
        <v>251.6666332</v>
      </c>
      <c r="X688" s="769" t="s">
        <v>496</v>
      </c>
      <c r="Y688" s="770" t="s">
        <v>494</v>
      </c>
      <c r="Z688" s="770" t="s">
        <v>509</v>
      </c>
      <c r="AA688" s="770" t="s">
        <v>631</v>
      </c>
      <c r="AB688" s="770" t="s">
        <v>493</v>
      </c>
      <c r="AC688" s="770" t="s">
        <v>103</v>
      </c>
      <c r="AD688" s="770" t="s">
        <v>501</v>
      </c>
      <c r="AE688" s="784" t="s">
        <v>502</v>
      </c>
      <c r="AF688" s="771">
        <v>1424.805477</v>
      </c>
      <c r="AG688" s="771">
        <v>1087.103252</v>
      </c>
      <c r="AH688" s="771">
        <v>1886.605555</v>
      </c>
      <c r="AI688" s="772" t="s">
        <v>233</v>
      </c>
      <c r="AK688" s="769" t="s">
        <v>496</v>
      </c>
      <c r="AL688" s="770" t="s">
        <v>494</v>
      </c>
      <c r="AM688" s="770" t="s">
        <v>509</v>
      </c>
      <c r="AN688" s="770" t="s">
        <v>631</v>
      </c>
      <c r="AO688" s="770" t="s">
        <v>493</v>
      </c>
      <c r="AP688" s="770" t="s">
        <v>504</v>
      </c>
      <c r="AQ688" s="770" t="s">
        <v>501</v>
      </c>
      <c r="AR688" s="784" t="s">
        <v>502</v>
      </c>
      <c r="AS688" s="771">
        <v>7927.510974</v>
      </c>
      <c r="AT688" s="771">
        <v>6048.561084</v>
      </c>
      <c r="AU688" s="771">
        <v>10496.93203</v>
      </c>
      <c r="AV688" s="989" t="s">
        <v>233</v>
      </c>
      <c r="AW688" s="714"/>
    </row>
    <row r="689">
      <c r="A689" s="761"/>
      <c r="B689" s="769" t="s">
        <v>493</v>
      </c>
      <c r="C689" s="770" t="s">
        <v>630</v>
      </c>
      <c r="D689" s="770" t="s">
        <v>494</v>
      </c>
      <c r="E689" s="770" t="s">
        <v>505</v>
      </c>
      <c r="F689" s="770" t="s">
        <v>519</v>
      </c>
      <c r="G689" s="770" t="s">
        <v>103</v>
      </c>
      <c r="H689" s="770">
        <v>2019.0</v>
      </c>
      <c r="I689" s="771">
        <v>1947.729516</v>
      </c>
      <c r="J689" s="771">
        <v>2701.392529</v>
      </c>
      <c r="K689" s="772">
        <v>1385.973344</v>
      </c>
      <c r="M689" s="769" t="s">
        <v>493</v>
      </c>
      <c r="N689" s="770" t="s">
        <v>630</v>
      </c>
      <c r="O689" s="770" t="s">
        <v>494</v>
      </c>
      <c r="P689" s="770" t="s">
        <v>505</v>
      </c>
      <c r="Q689" s="770" t="s">
        <v>519</v>
      </c>
      <c r="R689" s="770" t="s">
        <v>497</v>
      </c>
      <c r="S689" s="770">
        <v>2019.0</v>
      </c>
      <c r="T689" s="771">
        <v>76250.44566</v>
      </c>
      <c r="U689" s="771">
        <v>105755.128</v>
      </c>
      <c r="V689" s="772">
        <v>54258.60435</v>
      </c>
      <c r="X689" s="769" t="s">
        <v>496</v>
      </c>
      <c r="Y689" s="770" t="s">
        <v>494</v>
      </c>
      <c r="Z689" s="770" t="s">
        <v>513</v>
      </c>
      <c r="AA689" s="770" t="s">
        <v>631</v>
      </c>
      <c r="AB689" s="770" t="s">
        <v>493</v>
      </c>
      <c r="AC689" s="770" t="s">
        <v>103</v>
      </c>
      <c r="AD689" s="770" t="s">
        <v>501</v>
      </c>
      <c r="AE689" s="784" t="s">
        <v>502</v>
      </c>
      <c r="AF689" s="771">
        <v>19288.09672</v>
      </c>
      <c r="AG689" s="771">
        <v>14754.90631</v>
      </c>
      <c r="AH689" s="771">
        <v>25536.88187</v>
      </c>
      <c r="AI689" s="772" t="s">
        <v>233</v>
      </c>
      <c r="AK689" s="769" t="s">
        <v>496</v>
      </c>
      <c r="AL689" s="770" t="s">
        <v>494</v>
      </c>
      <c r="AM689" s="770" t="s">
        <v>513</v>
      </c>
      <c r="AN689" s="770" t="s">
        <v>631</v>
      </c>
      <c r="AO689" s="770" t="s">
        <v>493</v>
      </c>
      <c r="AP689" s="770" t="s">
        <v>504</v>
      </c>
      <c r="AQ689" s="770" t="s">
        <v>501</v>
      </c>
      <c r="AR689" s="784" t="s">
        <v>502</v>
      </c>
      <c r="AS689" s="771">
        <v>1274.367772</v>
      </c>
      <c r="AT689" s="771">
        <v>974.8591245</v>
      </c>
      <c r="AU689" s="771">
        <v>1687.22605</v>
      </c>
      <c r="AV689" s="989" t="s">
        <v>233</v>
      </c>
      <c r="AW689" s="714"/>
    </row>
    <row r="690">
      <c r="A690" s="761"/>
      <c r="B690" s="769" t="s">
        <v>493</v>
      </c>
      <c r="C690" s="770" t="s">
        <v>630</v>
      </c>
      <c r="D690" s="770" t="s">
        <v>494</v>
      </c>
      <c r="E690" s="770" t="s">
        <v>508</v>
      </c>
      <c r="F690" s="770" t="s">
        <v>519</v>
      </c>
      <c r="G690" s="770" t="s">
        <v>103</v>
      </c>
      <c r="H690" s="770">
        <v>2019.0</v>
      </c>
      <c r="I690" s="771">
        <v>38.03052164</v>
      </c>
      <c r="J690" s="771">
        <v>71.24942888</v>
      </c>
      <c r="K690" s="772">
        <v>16.18515675</v>
      </c>
      <c r="M690" s="769" t="s">
        <v>493</v>
      </c>
      <c r="N690" s="770" t="s">
        <v>630</v>
      </c>
      <c r="O690" s="770" t="s">
        <v>494</v>
      </c>
      <c r="P690" s="770" t="s">
        <v>508</v>
      </c>
      <c r="Q690" s="770" t="s">
        <v>519</v>
      </c>
      <c r="R690" s="770" t="s">
        <v>497</v>
      </c>
      <c r="S690" s="770">
        <v>2019.0</v>
      </c>
      <c r="T690" s="771">
        <v>31.90949284</v>
      </c>
      <c r="U690" s="771">
        <v>59.78180269</v>
      </c>
      <c r="V690" s="772">
        <v>13.58014882</v>
      </c>
      <c r="X690" s="769" t="s">
        <v>514</v>
      </c>
      <c r="Y690" s="770" t="s">
        <v>494</v>
      </c>
      <c r="Z690" s="770" t="s">
        <v>499</v>
      </c>
      <c r="AA690" s="770" t="s">
        <v>631</v>
      </c>
      <c r="AB690" s="770" t="s">
        <v>493</v>
      </c>
      <c r="AC690" s="770" t="s">
        <v>103</v>
      </c>
      <c r="AD690" s="770" t="s">
        <v>501</v>
      </c>
      <c r="AE690" s="784" t="s">
        <v>502</v>
      </c>
      <c r="AF690" s="771">
        <v>6916.122354</v>
      </c>
      <c r="AG690" s="771">
        <v>5209.87574</v>
      </c>
      <c r="AH690" s="771">
        <v>9137.314121</v>
      </c>
      <c r="AI690" s="772" t="s">
        <v>233</v>
      </c>
      <c r="AK690" s="769" t="s">
        <v>514</v>
      </c>
      <c r="AL690" s="770" t="s">
        <v>494</v>
      </c>
      <c r="AM690" s="770" t="s">
        <v>499</v>
      </c>
      <c r="AN690" s="770" t="s">
        <v>631</v>
      </c>
      <c r="AO690" s="770" t="s">
        <v>493</v>
      </c>
      <c r="AP690" s="770" t="s">
        <v>504</v>
      </c>
      <c r="AQ690" s="770" t="s">
        <v>501</v>
      </c>
      <c r="AR690" s="784" t="s">
        <v>502</v>
      </c>
      <c r="AS690" s="771">
        <v>113466.6708</v>
      </c>
      <c r="AT690" s="771">
        <v>85473.79952</v>
      </c>
      <c r="AU690" s="771">
        <v>149907.7894</v>
      </c>
      <c r="AV690" s="989" t="s">
        <v>233</v>
      </c>
      <c r="AW690" s="714"/>
    </row>
    <row r="691">
      <c r="A691" s="761"/>
      <c r="B691" s="769" t="s">
        <v>493</v>
      </c>
      <c r="C691" s="770" t="s">
        <v>630</v>
      </c>
      <c r="D691" s="770" t="s">
        <v>494</v>
      </c>
      <c r="E691" s="770" t="s">
        <v>512</v>
      </c>
      <c r="F691" s="770" t="s">
        <v>519</v>
      </c>
      <c r="G691" s="770" t="s">
        <v>103</v>
      </c>
      <c r="H691" s="770">
        <v>2019.0</v>
      </c>
      <c r="I691" s="771">
        <v>248.8381021</v>
      </c>
      <c r="J691" s="771">
        <v>377.5592965</v>
      </c>
      <c r="K691" s="772">
        <v>153.6636841</v>
      </c>
      <c r="M691" s="769" t="s">
        <v>493</v>
      </c>
      <c r="N691" s="770" t="s">
        <v>630</v>
      </c>
      <c r="O691" s="770" t="s">
        <v>494</v>
      </c>
      <c r="P691" s="770" t="s">
        <v>512</v>
      </c>
      <c r="Q691" s="770" t="s">
        <v>519</v>
      </c>
      <c r="R691" s="770" t="s">
        <v>497</v>
      </c>
      <c r="S691" s="770">
        <v>2019.0</v>
      </c>
      <c r="T691" s="771">
        <v>3288.280867</v>
      </c>
      <c r="U691" s="771">
        <v>4989.272141</v>
      </c>
      <c r="V691" s="772">
        <v>2030.594785</v>
      </c>
      <c r="X691" s="769" t="s">
        <v>514</v>
      </c>
      <c r="Y691" s="770" t="s">
        <v>494</v>
      </c>
      <c r="Z691" s="770" t="s">
        <v>507</v>
      </c>
      <c r="AA691" s="770" t="s">
        <v>631</v>
      </c>
      <c r="AB691" s="770" t="s">
        <v>493</v>
      </c>
      <c r="AC691" s="770" t="s">
        <v>103</v>
      </c>
      <c r="AD691" s="770" t="s">
        <v>501</v>
      </c>
      <c r="AE691" s="784" t="s">
        <v>502</v>
      </c>
      <c r="AF691" s="771">
        <v>4349.820707</v>
      </c>
      <c r="AG691" s="771">
        <v>3286.959072</v>
      </c>
      <c r="AH691" s="771">
        <v>5830.088637</v>
      </c>
      <c r="AI691" s="772" t="s">
        <v>233</v>
      </c>
      <c r="AK691" s="769" t="s">
        <v>514</v>
      </c>
      <c r="AL691" s="770" t="s">
        <v>494</v>
      </c>
      <c r="AM691" s="770" t="s">
        <v>507</v>
      </c>
      <c r="AN691" s="770" t="s">
        <v>631</v>
      </c>
      <c r="AO691" s="770" t="s">
        <v>493</v>
      </c>
      <c r="AP691" s="770" t="s">
        <v>504</v>
      </c>
      <c r="AQ691" s="770" t="s">
        <v>501</v>
      </c>
      <c r="AR691" s="784" t="s">
        <v>502</v>
      </c>
      <c r="AS691" s="771">
        <v>1568.368312</v>
      </c>
      <c r="AT691" s="771">
        <v>1185.143664</v>
      </c>
      <c r="AU691" s="771">
        <v>2102.092682</v>
      </c>
      <c r="AV691" s="989" t="s">
        <v>233</v>
      </c>
      <c r="AW691" s="714"/>
    </row>
    <row r="692">
      <c r="A692" s="761"/>
      <c r="B692" s="769" t="s">
        <v>493</v>
      </c>
      <c r="C692" s="770" t="s">
        <v>630</v>
      </c>
      <c r="D692" s="770" t="s">
        <v>494</v>
      </c>
      <c r="E692" s="770" t="s">
        <v>495</v>
      </c>
      <c r="F692" s="770" t="s">
        <v>521</v>
      </c>
      <c r="G692" s="770" t="s">
        <v>103</v>
      </c>
      <c r="H692" s="770">
        <v>2019.0</v>
      </c>
      <c r="I692" s="771">
        <v>182.6913078</v>
      </c>
      <c r="J692" s="771">
        <v>436.3894175</v>
      </c>
      <c r="K692" s="772">
        <v>53.13211007</v>
      </c>
      <c r="M692" s="769" t="s">
        <v>493</v>
      </c>
      <c r="N692" s="770" t="s">
        <v>630</v>
      </c>
      <c r="O692" s="770" t="s">
        <v>494</v>
      </c>
      <c r="P692" s="770" t="s">
        <v>495</v>
      </c>
      <c r="Q692" s="770" t="s">
        <v>521</v>
      </c>
      <c r="R692" s="770" t="s">
        <v>497</v>
      </c>
      <c r="S692" s="770">
        <v>2019.0</v>
      </c>
      <c r="T692" s="771">
        <v>28.84614415</v>
      </c>
      <c r="U692" s="771">
        <v>68.90394618</v>
      </c>
      <c r="V692" s="772">
        <v>8.389323631</v>
      </c>
      <c r="X692" s="769" t="s">
        <v>514</v>
      </c>
      <c r="Y692" s="770" t="s">
        <v>494</v>
      </c>
      <c r="Z692" s="770" t="s">
        <v>509</v>
      </c>
      <c r="AA692" s="770" t="s">
        <v>631</v>
      </c>
      <c r="AB692" s="770" t="s">
        <v>493</v>
      </c>
      <c r="AC692" s="770" t="s">
        <v>103</v>
      </c>
      <c r="AD692" s="770" t="s">
        <v>501</v>
      </c>
      <c r="AE692" s="784" t="s">
        <v>502</v>
      </c>
      <c r="AF692" s="771">
        <v>1248.613228</v>
      </c>
      <c r="AG692" s="771">
        <v>937.6494271</v>
      </c>
      <c r="AH692" s="771">
        <v>1653.825225</v>
      </c>
      <c r="AI692" s="772" t="s">
        <v>233</v>
      </c>
      <c r="AK692" s="769" t="s">
        <v>514</v>
      </c>
      <c r="AL692" s="770" t="s">
        <v>494</v>
      </c>
      <c r="AM692" s="770" t="s">
        <v>509</v>
      </c>
      <c r="AN692" s="770" t="s">
        <v>631</v>
      </c>
      <c r="AO692" s="770" t="s">
        <v>493</v>
      </c>
      <c r="AP692" s="770" t="s">
        <v>504</v>
      </c>
      <c r="AQ692" s="770" t="s">
        <v>501</v>
      </c>
      <c r="AR692" s="784" t="s">
        <v>502</v>
      </c>
      <c r="AS692" s="771">
        <v>6947.190492</v>
      </c>
      <c r="AT692" s="771">
        <v>5217.011194</v>
      </c>
      <c r="AU692" s="771">
        <v>9201.7597</v>
      </c>
      <c r="AV692" s="989" t="s">
        <v>233</v>
      </c>
      <c r="AW692" s="714"/>
    </row>
    <row r="693">
      <c r="A693" s="761"/>
      <c r="B693" s="769" t="s">
        <v>493</v>
      </c>
      <c r="C693" s="770" t="s">
        <v>630</v>
      </c>
      <c r="D693" s="770" t="s">
        <v>494</v>
      </c>
      <c r="E693" s="770" t="s">
        <v>505</v>
      </c>
      <c r="F693" s="770" t="s">
        <v>521</v>
      </c>
      <c r="G693" s="770" t="s">
        <v>103</v>
      </c>
      <c r="H693" s="770">
        <v>2019.0</v>
      </c>
      <c r="I693" s="771">
        <v>0.0</v>
      </c>
      <c r="J693" s="771">
        <v>0.0</v>
      </c>
      <c r="K693" s="772">
        <v>0.0</v>
      </c>
      <c r="M693" s="769" t="s">
        <v>493</v>
      </c>
      <c r="N693" s="770" t="s">
        <v>630</v>
      </c>
      <c r="O693" s="770" t="s">
        <v>494</v>
      </c>
      <c r="P693" s="770" t="s">
        <v>505</v>
      </c>
      <c r="Q693" s="770" t="s">
        <v>521</v>
      </c>
      <c r="R693" s="770" t="s">
        <v>497</v>
      </c>
      <c r="S693" s="770">
        <v>2019.0</v>
      </c>
      <c r="T693" s="771">
        <v>0.0</v>
      </c>
      <c r="U693" s="771">
        <v>0.0</v>
      </c>
      <c r="V693" s="772">
        <v>0.0</v>
      </c>
      <c r="X693" s="769" t="s">
        <v>514</v>
      </c>
      <c r="Y693" s="770" t="s">
        <v>494</v>
      </c>
      <c r="Z693" s="770" t="s">
        <v>513</v>
      </c>
      <c r="AA693" s="770" t="s">
        <v>631</v>
      </c>
      <c r="AB693" s="770" t="s">
        <v>493</v>
      </c>
      <c r="AC693" s="770" t="s">
        <v>103</v>
      </c>
      <c r="AD693" s="770" t="s">
        <v>501</v>
      </c>
      <c r="AE693" s="784" t="s">
        <v>502</v>
      </c>
      <c r="AF693" s="771">
        <v>17028.16581</v>
      </c>
      <c r="AG693" s="771">
        <v>12965.33948</v>
      </c>
      <c r="AH693" s="771">
        <v>22467.36989</v>
      </c>
      <c r="AI693" s="772" t="s">
        <v>233</v>
      </c>
      <c r="AK693" s="769" t="s">
        <v>514</v>
      </c>
      <c r="AL693" s="770" t="s">
        <v>494</v>
      </c>
      <c r="AM693" s="770" t="s">
        <v>513</v>
      </c>
      <c r="AN693" s="770" t="s">
        <v>631</v>
      </c>
      <c r="AO693" s="770" t="s">
        <v>493</v>
      </c>
      <c r="AP693" s="770" t="s">
        <v>504</v>
      </c>
      <c r="AQ693" s="770" t="s">
        <v>501</v>
      </c>
      <c r="AR693" s="784" t="s">
        <v>502</v>
      </c>
      <c r="AS693" s="771">
        <v>1125.053759</v>
      </c>
      <c r="AT693" s="771">
        <v>856.6221449</v>
      </c>
      <c r="AU693" s="771">
        <v>1484.422881</v>
      </c>
      <c r="AV693" s="989" t="s">
        <v>233</v>
      </c>
      <c r="AW693" s="714"/>
    </row>
    <row r="694">
      <c r="A694" s="761"/>
      <c r="B694" s="769" t="s">
        <v>493</v>
      </c>
      <c r="C694" s="770" t="s">
        <v>630</v>
      </c>
      <c r="D694" s="770" t="s">
        <v>494</v>
      </c>
      <c r="E694" s="770" t="s">
        <v>508</v>
      </c>
      <c r="F694" s="770" t="s">
        <v>521</v>
      </c>
      <c r="G694" s="770" t="s">
        <v>103</v>
      </c>
      <c r="H694" s="770">
        <v>2019.0</v>
      </c>
      <c r="I694" s="771">
        <v>55.22274658</v>
      </c>
      <c r="J694" s="771">
        <v>132.0085841</v>
      </c>
      <c r="K694" s="772">
        <v>16.42685667</v>
      </c>
      <c r="M694" s="769" t="s">
        <v>493</v>
      </c>
      <c r="N694" s="770" t="s">
        <v>630</v>
      </c>
      <c r="O694" s="770" t="s">
        <v>494</v>
      </c>
      <c r="P694" s="770" t="s">
        <v>508</v>
      </c>
      <c r="Q694" s="770" t="s">
        <v>521</v>
      </c>
      <c r="R694" s="770" t="s">
        <v>497</v>
      </c>
      <c r="S694" s="770">
        <v>2019.0</v>
      </c>
      <c r="T694" s="771">
        <v>46.33462179</v>
      </c>
      <c r="U694" s="771">
        <v>110.7617458</v>
      </c>
      <c r="V694" s="772">
        <v>13.78294703</v>
      </c>
      <c r="X694" s="769" t="s">
        <v>518</v>
      </c>
      <c r="Y694" s="770" t="s">
        <v>494</v>
      </c>
      <c r="Z694" s="770" t="s">
        <v>499</v>
      </c>
      <c r="AA694" s="770" t="s">
        <v>631</v>
      </c>
      <c r="AB694" s="770" t="s">
        <v>493</v>
      </c>
      <c r="AC694" s="770" t="s">
        <v>103</v>
      </c>
      <c r="AD694" s="770" t="s">
        <v>501</v>
      </c>
      <c r="AE694" s="784" t="s">
        <v>502</v>
      </c>
      <c r="AF694" s="771">
        <v>52.98624723</v>
      </c>
      <c r="AG694" s="771">
        <v>22.49011695</v>
      </c>
      <c r="AH694" s="771">
        <v>114.765278</v>
      </c>
      <c r="AI694" s="772" t="s">
        <v>233</v>
      </c>
      <c r="AK694" s="769" t="s">
        <v>518</v>
      </c>
      <c r="AL694" s="770" t="s">
        <v>494</v>
      </c>
      <c r="AM694" s="770" t="s">
        <v>499</v>
      </c>
      <c r="AN694" s="770" t="s">
        <v>631</v>
      </c>
      <c r="AO694" s="770" t="s">
        <v>493</v>
      </c>
      <c r="AP694" s="770" t="s">
        <v>504</v>
      </c>
      <c r="AQ694" s="770" t="s">
        <v>501</v>
      </c>
      <c r="AR694" s="784" t="s">
        <v>502</v>
      </c>
      <c r="AS694" s="771">
        <v>869.298252</v>
      </c>
      <c r="AT694" s="771">
        <v>368.9753544</v>
      </c>
      <c r="AU694" s="771">
        <v>1882.851887</v>
      </c>
      <c r="AV694" s="989" t="s">
        <v>233</v>
      </c>
      <c r="AW694" s="714"/>
    </row>
    <row r="695">
      <c r="A695" s="761"/>
      <c r="B695" s="769" t="s">
        <v>493</v>
      </c>
      <c r="C695" s="770" t="s">
        <v>630</v>
      </c>
      <c r="D695" s="770" t="s">
        <v>494</v>
      </c>
      <c r="E695" s="770" t="s">
        <v>512</v>
      </c>
      <c r="F695" s="770" t="s">
        <v>521</v>
      </c>
      <c r="G695" s="770" t="s">
        <v>103</v>
      </c>
      <c r="H695" s="770">
        <v>2019.0</v>
      </c>
      <c r="I695" s="771">
        <v>0.0</v>
      </c>
      <c r="J695" s="771">
        <v>0.0</v>
      </c>
      <c r="K695" s="772">
        <v>0.0</v>
      </c>
      <c r="M695" s="769" t="s">
        <v>493</v>
      </c>
      <c r="N695" s="770" t="s">
        <v>630</v>
      </c>
      <c r="O695" s="770" t="s">
        <v>494</v>
      </c>
      <c r="P695" s="770" t="s">
        <v>512</v>
      </c>
      <c r="Q695" s="770" t="s">
        <v>521</v>
      </c>
      <c r="R695" s="770" t="s">
        <v>497</v>
      </c>
      <c r="S695" s="770">
        <v>2019.0</v>
      </c>
      <c r="T695" s="771">
        <v>0.0</v>
      </c>
      <c r="U695" s="771">
        <v>0.0</v>
      </c>
      <c r="V695" s="772">
        <v>0.0</v>
      </c>
      <c r="X695" s="769" t="s">
        <v>518</v>
      </c>
      <c r="Y695" s="770" t="s">
        <v>494</v>
      </c>
      <c r="Z695" s="770" t="s">
        <v>507</v>
      </c>
      <c r="AA695" s="770" t="s">
        <v>631</v>
      </c>
      <c r="AB695" s="770" t="s">
        <v>493</v>
      </c>
      <c r="AC695" s="770" t="s">
        <v>103</v>
      </c>
      <c r="AD695" s="770" t="s">
        <v>501</v>
      </c>
      <c r="AE695" s="784" t="s">
        <v>502</v>
      </c>
      <c r="AF695" s="771">
        <v>1185.128544</v>
      </c>
      <c r="AG695" s="771">
        <v>571.7558647</v>
      </c>
      <c r="AH695" s="771">
        <v>2044.75075</v>
      </c>
      <c r="AI695" s="772" t="s">
        <v>233</v>
      </c>
      <c r="AK695" s="769" t="s">
        <v>518</v>
      </c>
      <c r="AL695" s="770" t="s">
        <v>494</v>
      </c>
      <c r="AM695" s="770" t="s">
        <v>507</v>
      </c>
      <c r="AN695" s="770" t="s">
        <v>631</v>
      </c>
      <c r="AO695" s="770" t="s">
        <v>493</v>
      </c>
      <c r="AP695" s="770" t="s">
        <v>504</v>
      </c>
      <c r="AQ695" s="770" t="s">
        <v>501</v>
      </c>
      <c r="AR695" s="784" t="s">
        <v>502</v>
      </c>
      <c r="AS695" s="771">
        <v>427.3091192</v>
      </c>
      <c r="AT695" s="771">
        <v>206.1518948</v>
      </c>
      <c r="AU695" s="771">
        <v>737.2539006</v>
      </c>
      <c r="AV695" s="989" t="s">
        <v>233</v>
      </c>
      <c r="AW695" s="714"/>
    </row>
    <row r="696">
      <c r="A696" s="761"/>
      <c r="B696" s="769" t="s">
        <v>493</v>
      </c>
      <c r="C696" s="770" t="s">
        <v>630</v>
      </c>
      <c r="D696" s="770" t="s">
        <v>494</v>
      </c>
      <c r="E696" s="770" t="s">
        <v>495</v>
      </c>
      <c r="F696" s="770" t="s">
        <v>523</v>
      </c>
      <c r="G696" s="770" t="s">
        <v>103</v>
      </c>
      <c r="H696" s="770">
        <v>2019.0</v>
      </c>
      <c r="I696" s="771">
        <v>134.5612004</v>
      </c>
      <c r="J696" s="771">
        <v>242.3196748</v>
      </c>
      <c r="K696" s="772">
        <v>64.3928087</v>
      </c>
      <c r="M696" s="769" t="s">
        <v>493</v>
      </c>
      <c r="N696" s="770" t="s">
        <v>630</v>
      </c>
      <c r="O696" s="770" t="s">
        <v>494</v>
      </c>
      <c r="P696" s="770" t="s">
        <v>495</v>
      </c>
      <c r="Q696" s="770" t="s">
        <v>523</v>
      </c>
      <c r="R696" s="770" t="s">
        <v>497</v>
      </c>
      <c r="S696" s="770">
        <v>2019.0</v>
      </c>
      <c r="T696" s="771">
        <v>21.24661447</v>
      </c>
      <c r="U696" s="771">
        <v>38.26119782</v>
      </c>
      <c r="V696" s="772">
        <v>10.16733781</v>
      </c>
      <c r="X696" s="769" t="s">
        <v>518</v>
      </c>
      <c r="Y696" s="770" t="s">
        <v>494</v>
      </c>
      <c r="Z696" s="770" t="s">
        <v>509</v>
      </c>
      <c r="AA696" s="770" t="s">
        <v>631</v>
      </c>
      <c r="AB696" s="770" t="s">
        <v>493</v>
      </c>
      <c r="AC696" s="770" t="s">
        <v>103</v>
      </c>
      <c r="AD696" s="770" t="s">
        <v>501</v>
      </c>
      <c r="AE696" s="784" t="s">
        <v>502</v>
      </c>
      <c r="AF696" s="771">
        <v>99.31545074</v>
      </c>
      <c r="AG696" s="771">
        <v>49.09620041</v>
      </c>
      <c r="AH696" s="771">
        <v>181.0821309</v>
      </c>
      <c r="AI696" s="772" t="s">
        <v>233</v>
      </c>
      <c r="AK696" s="769" t="s">
        <v>518</v>
      </c>
      <c r="AL696" s="770" t="s">
        <v>494</v>
      </c>
      <c r="AM696" s="770" t="s">
        <v>509</v>
      </c>
      <c r="AN696" s="770" t="s">
        <v>631</v>
      </c>
      <c r="AO696" s="770" t="s">
        <v>493</v>
      </c>
      <c r="AP696" s="770" t="s">
        <v>504</v>
      </c>
      <c r="AQ696" s="770" t="s">
        <v>501</v>
      </c>
      <c r="AR696" s="784" t="s">
        <v>502</v>
      </c>
      <c r="AS696" s="771">
        <v>552.5837304</v>
      </c>
      <c r="AT696" s="771">
        <v>273.1675824</v>
      </c>
      <c r="AU696" s="771">
        <v>1007.527415</v>
      </c>
      <c r="AV696" s="989" t="s">
        <v>233</v>
      </c>
      <c r="AW696" s="714"/>
    </row>
    <row r="697">
      <c r="A697" s="761"/>
      <c r="B697" s="769" t="s">
        <v>493</v>
      </c>
      <c r="C697" s="770" t="s">
        <v>630</v>
      </c>
      <c r="D697" s="770" t="s">
        <v>494</v>
      </c>
      <c r="E697" s="770" t="s">
        <v>505</v>
      </c>
      <c r="F697" s="770" t="s">
        <v>523</v>
      </c>
      <c r="G697" s="770" t="s">
        <v>103</v>
      </c>
      <c r="H697" s="770">
        <v>2019.0</v>
      </c>
      <c r="I697" s="771">
        <v>0.0</v>
      </c>
      <c r="J697" s="771">
        <v>0.0</v>
      </c>
      <c r="K697" s="772">
        <v>0.0</v>
      </c>
      <c r="M697" s="769" t="s">
        <v>493</v>
      </c>
      <c r="N697" s="770" t="s">
        <v>630</v>
      </c>
      <c r="O697" s="770" t="s">
        <v>494</v>
      </c>
      <c r="P697" s="770" t="s">
        <v>505</v>
      </c>
      <c r="Q697" s="770" t="s">
        <v>523</v>
      </c>
      <c r="R697" s="770" t="s">
        <v>497</v>
      </c>
      <c r="S697" s="770">
        <v>2019.0</v>
      </c>
      <c r="T697" s="771">
        <v>0.0</v>
      </c>
      <c r="U697" s="771">
        <v>0.0</v>
      </c>
      <c r="V697" s="772">
        <v>0.0</v>
      </c>
      <c r="X697" s="769" t="s">
        <v>518</v>
      </c>
      <c r="Y697" s="770" t="s">
        <v>494</v>
      </c>
      <c r="Z697" s="770" t="s">
        <v>513</v>
      </c>
      <c r="AA697" s="770" t="s">
        <v>631</v>
      </c>
      <c r="AB697" s="770" t="s">
        <v>493</v>
      </c>
      <c r="AC697" s="770" t="s">
        <v>103</v>
      </c>
      <c r="AD697" s="770" t="s">
        <v>501</v>
      </c>
      <c r="AE697" s="784" t="s">
        <v>502</v>
      </c>
      <c r="AF697" s="771">
        <v>2051.705485</v>
      </c>
      <c r="AG697" s="771">
        <v>1080.45437</v>
      </c>
      <c r="AH697" s="771">
        <v>3499.28575</v>
      </c>
      <c r="AI697" s="772" t="s">
        <v>233</v>
      </c>
      <c r="AK697" s="769" t="s">
        <v>518</v>
      </c>
      <c r="AL697" s="770" t="s">
        <v>494</v>
      </c>
      <c r="AM697" s="770" t="s">
        <v>513</v>
      </c>
      <c r="AN697" s="770" t="s">
        <v>631</v>
      </c>
      <c r="AO697" s="770" t="s">
        <v>493</v>
      </c>
      <c r="AP697" s="770" t="s">
        <v>504</v>
      </c>
      <c r="AQ697" s="770" t="s">
        <v>501</v>
      </c>
      <c r="AR697" s="784" t="s">
        <v>502</v>
      </c>
      <c r="AS697" s="771">
        <v>135.5565241</v>
      </c>
      <c r="AT697" s="771">
        <v>71.38580068</v>
      </c>
      <c r="AU697" s="771">
        <v>231.1983939</v>
      </c>
      <c r="AV697" s="989" t="s">
        <v>233</v>
      </c>
      <c r="AW697" s="714"/>
    </row>
    <row r="698">
      <c r="A698" s="761"/>
      <c r="B698" s="769" t="s">
        <v>493</v>
      </c>
      <c r="C698" s="770" t="s">
        <v>630</v>
      </c>
      <c r="D698" s="770" t="s">
        <v>494</v>
      </c>
      <c r="E698" s="770" t="s">
        <v>508</v>
      </c>
      <c r="F698" s="770" t="s">
        <v>523</v>
      </c>
      <c r="G698" s="770" t="s">
        <v>103</v>
      </c>
      <c r="H698" s="770">
        <v>2019.0</v>
      </c>
      <c r="I698" s="771">
        <v>66.17808426</v>
      </c>
      <c r="J698" s="771">
        <v>132.5683592</v>
      </c>
      <c r="K698" s="772">
        <v>27.5237694</v>
      </c>
      <c r="M698" s="769" t="s">
        <v>493</v>
      </c>
      <c r="N698" s="770" t="s">
        <v>630</v>
      </c>
      <c r="O698" s="770" t="s">
        <v>494</v>
      </c>
      <c r="P698" s="770" t="s">
        <v>508</v>
      </c>
      <c r="Q698" s="770" t="s">
        <v>523</v>
      </c>
      <c r="R698" s="770" t="s">
        <v>497</v>
      </c>
      <c r="S698" s="770">
        <v>2019.0</v>
      </c>
      <c r="T698" s="771">
        <v>55.52669317</v>
      </c>
      <c r="U698" s="771">
        <v>111.2314248</v>
      </c>
      <c r="V698" s="772">
        <v>23.09380689</v>
      </c>
      <c r="X698" s="769" t="s">
        <v>519</v>
      </c>
      <c r="Y698" s="770" t="s">
        <v>494</v>
      </c>
      <c r="Z698" s="770" t="s">
        <v>499</v>
      </c>
      <c r="AA698" s="770" t="s">
        <v>631</v>
      </c>
      <c r="AB698" s="770" t="s">
        <v>493</v>
      </c>
      <c r="AC698" s="770" t="s">
        <v>103</v>
      </c>
      <c r="AD698" s="770" t="s">
        <v>501</v>
      </c>
      <c r="AE698" s="784" t="s">
        <v>502</v>
      </c>
      <c r="AF698" s="771">
        <v>5761.549878</v>
      </c>
      <c r="AG698" s="771">
        <v>4301.509251</v>
      </c>
      <c r="AH698" s="771">
        <v>7595.824824</v>
      </c>
      <c r="AI698" s="772" t="s">
        <v>233</v>
      </c>
      <c r="AK698" s="769" t="s">
        <v>519</v>
      </c>
      <c r="AL698" s="770" t="s">
        <v>494</v>
      </c>
      <c r="AM698" s="770" t="s">
        <v>499</v>
      </c>
      <c r="AN698" s="770" t="s">
        <v>631</v>
      </c>
      <c r="AO698" s="770" t="s">
        <v>493</v>
      </c>
      <c r="AP698" s="770" t="s">
        <v>504</v>
      </c>
      <c r="AQ698" s="770" t="s">
        <v>501</v>
      </c>
      <c r="AR698" s="784" t="s">
        <v>502</v>
      </c>
      <c r="AS698" s="771">
        <v>94524.62666</v>
      </c>
      <c r="AT698" s="771">
        <v>70571.03811</v>
      </c>
      <c r="AU698" s="771">
        <v>124617.945</v>
      </c>
      <c r="AV698" s="989" t="s">
        <v>233</v>
      </c>
      <c r="AW698" s="714"/>
    </row>
    <row r="699">
      <c r="A699" s="761"/>
      <c r="B699" s="769" t="s">
        <v>493</v>
      </c>
      <c r="C699" s="770" t="s">
        <v>630</v>
      </c>
      <c r="D699" s="770" t="s">
        <v>494</v>
      </c>
      <c r="E699" s="770" t="s">
        <v>512</v>
      </c>
      <c r="F699" s="770" t="s">
        <v>523</v>
      </c>
      <c r="G699" s="770" t="s">
        <v>103</v>
      </c>
      <c r="H699" s="770">
        <v>2019.0</v>
      </c>
      <c r="I699" s="771">
        <v>0.0</v>
      </c>
      <c r="J699" s="771">
        <v>0.0</v>
      </c>
      <c r="K699" s="772">
        <v>0.0</v>
      </c>
      <c r="M699" s="769" t="s">
        <v>493</v>
      </c>
      <c r="N699" s="770" t="s">
        <v>630</v>
      </c>
      <c r="O699" s="770" t="s">
        <v>494</v>
      </c>
      <c r="P699" s="770" t="s">
        <v>512</v>
      </c>
      <c r="Q699" s="770" t="s">
        <v>523</v>
      </c>
      <c r="R699" s="770" t="s">
        <v>497</v>
      </c>
      <c r="S699" s="770">
        <v>2019.0</v>
      </c>
      <c r="T699" s="771">
        <v>0.0</v>
      </c>
      <c r="U699" s="771">
        <v>0.0</v>
      </c>
      <c r="V699" s="772">
        <v>0.0</v>
      </c>
      <c r="X699" s="769" t="s">
        <v>519</v>
      </c>
      <c r="Y699" s="770" t="s">
        <v>494</v>
      </c>
      <c r="Z699" s="770" t="s">
        <v>507</v>
      </c>
      <c r="AA699" s="770" t="s">
        <v>631</v>
      </c>
      <c r="AB699" s="770" t="s">
        <v>493</v>
      </c>
      <c r="AC699" s="770" t="s">
        <v>103</v>
      </c>
      <c r="AD699" s="770" t="s">
        <v>501</v>
      </c>
      <c r="AE699" s="784" t="s">
        <v>502</v>
      </c>
      <c r="AF699" s="771">
        <v>38.03641771</v>
      </c>
      <c r="AG699" s="771">
        <v>20.79912989</v>
      </c>
      <c r="AH699" s="771">
        <v>62.70173877</v>
      </c>
      <c r="AI699" s="772" t="s">
        <v>233</v>
      </c>
      <c r="AK699" s="769" t="s">
        <v>519</v>
      </c>
      <c r="AL699" s="770" t="s">
        <v>494</v>
      </c>
      <c r="AM699" s="770" t="s">
        <v>507</v>
      </c>
      <c r="AN699" s="770" t="s">
        <v>631</v>
      </c>
      <c r="AO699" s="770" t="s">
        <v>493</v>
      </c>
      <c r="AP699" s="770" t="s">
        <v>504</v>
      </c>
      <c r="AQ699" s="770" t="s">
        <v>501</v>
      </c>
      <c r="AR699" s="784" t="s">
        <v>502</v>
      </c>
      <c r="AS699" s="771">
        <v>13.71438417</v>
      </c>
      <c r="AT699" s="771">
        <v>7.49931973</v>
      </c>
      <c r="AU699" s="771">
        <v>22.60769509</v>
      </c>
      <c r="AV699" s="989" t="s">
        <v>233</v>
      </c>
      <c r="AW699" s="714"/>
    </row>
    <row r="700">
      <c r="A700" s="761"/>
      <c r="B700" s="769" t="s">
        <v>493</v>
      </c>
      <c r="C700" s="770" t="s">
        <v>11</v>
      </c>
      <c r="D700" s="770" t="s">
        <v>494</v>
      </c>
      <c r="E700" s="770" t="s">
        <v>495</v>
      </c>
      <c r="F700" s="770" t="s">
        <v>496</v>
      </c>
      <c r="G700" s="770" t="s">
        <v>103</v>
      </c>
      <c r="H700" s="770">
        <v>2019.0</v>
      </c>
      <c r="I700" s="771">
        <v>48156.10418</v>
      </c>
      <c r="J700" s="771">
        <v>59027.63881</v>
      </c>
      <c r="K700" s="772">
        <v>39119.0021</v>
      </c>
      <c r="M700" s="769" t="s">
        <v>493</v>
      </c>
      <c r="N700" s="770" t="s">
        <v>11</v>
      </c>
      <c r="O700" s="770" t="s">
        <v>494</v>
      </c>
      <c r="P700" s="770" t="s">
        <v>495</v>
      </c>
      <c r="Q700" s="770" t="s">
        <v>496</v>
      </c>
      <c r="R700" s="770" t="s">
        <v>497</v>
      </c>
      <c r="S700" s="770">
        <v>2019.0</v>
      </c>
      <c r="T700" s="771">
        <v>1222.490103</v>
      </c>
      <c r="U700" s="771">
        <v>1498.47471</v>
      </c>
      <c r="V700" s="772">
        <v>993.074372</v>
      </c>
      <c r="X700" s="769" t="s">
        <v>519</v>
      </c>
      <c r="Y700" s="770" t="s">
        <v>494</v>
      </c>
      <c r="Z700" s="770" t="s">
        <v>509</v>
      </c>
      <c r="AA700" s="770" t="s">
        <v>631</v>
      </c>
      <c r="AB700" s="770" t="s">
        <v>493</v>
      </c>
      <c r="AC700" s="770" t="s">
        <v>103</v>
      </c>
      <c r="AD700" s="770" t="s">
        <v>501</v>
      </c>
      <c r="AE700" s="784" t="s">
        <v>502</v>
      </c>
      <c r="AF700" s="771">
        <v>564.0537355</v>
      </c>
      <c r="AG700" s="771">
        <v>384.2861292</v>
      </c>
      <c r="AH700" s="771">
        <v>799.730892</v>
      </c>
      <c r="AI700" s="772" t="s">
        <v>233</v>
      </c>
      <c r="AK700" s="769" t="s">
        <v>519</v>
      </c>
      <c r="AL700" s="770" t="s">
        <v>494</v>
      </c>
      <c r="AM700" s="770" t="s">
        <v>509</v>
      </c>
      <c r="AN700" s="770" t="s">
        <v>631</v>
      </c>
      <c r="AO700" s="770" t="s">
        <v>493</v>
      </c>
      <c r="AP700" s="770" t="s">
        <v>504</v>
      </c>
      <c r="AQ700" s="770" t="s">
        <v>501</v>
      </c>
      <c r="AR700" s="784" t="s">
        <v>502</v>
      </c>
      <c r="AS700" s="771">
        <v>3138.352744</v>
      </c>
      <c r="AT700" s="771">
        <v>2138.139245</v>
      </c>
      <c r="AU700" s="771">
        <v>4449.642793</v>
      </c>
      <c r="AV700" s="989" t="s">
        <v>233</v>
      </c>
      <c r="AW700" s="714"/>
    </row>
    <row r="701">
      <c r="A701" s="761"/>
      <c r="B701" s="769" t="s">
        <v>493</v>
      </c>
      <c r="C701" s="770" t="s">
        <v>11</v>
      </c>
      <c r="D701" s="770" t="s">
        <v>494</v>
      </c>
      <c r="E701" s="770" t="s">
        <v>505</v>
      </c>
      <c r="F701" s="770" t="s">
        <v>496</v>
      </c>
      <c r="G701" s="770" t="s">
        <v>103</v>
      </c>
      <c r="H701" s="770">
        <v>2019.0</v>
      </c>
      <c r="I701" s="771">
        <v>15934.39256</v>
      </c>
      <c r="J701" s="771">
        <v>19755.61448</v>
      </c>
      <c r="K701" s="772">
        <v>12793.38832</v>
      </c>
      <c r="M701" s="769" t="s">
        <v>493</v>
      </c>
      <c r="N701" s="770" t="s">
        <v>11</v>
      </c>
      <c r="O701" s="770" t="s">
        <v>494</v>
      </c>
      <c r="P701" s="770" t="s">
        <v>505</v>
      </c>
      <c r="Q701" s="770" t="s">
        <v>496</v>
      </c>
      <c r="R701" s="770" t="s">
        <v>497</v>
      </c>
      <c r="S701" s="770">
        <v>2019.0</v>
      </c>
      <c r="T701" s="771">
        <v>97913.3639</v>
      </c>
      <c r="U701" s="771">
        <v>121393.9385</v>
      </c>
      <c r="V701" s="772">
        <v>78612.57854</v>
      </c>
      <c r="X701" s="769" t="s">
        <v>519</v>
      </c>
      <c r="Y701" s="770" t="s">
        <v>494</v>
      </c>
      <c r="Z701" s="770" t="s">
        <v>513</v>
      </c>
      <c r="AA701" s="770" t="s">
        <v>631</v>
      </c>
      <c r="AB701" s="770" t="s">
        <v>493</v>
      </c>
      <c r="AC701" s="770" t="s">
        <v>103</v>
      </c>
      <c r="AD701" s="770" t="s">
        <v>501</v>
      </c>
      <c r="AE701" s="784" t="s">
        <v>502</v>
      </c>
      <c r="AF701" s="771">
        <v>6369.39095</v>
      </c>
      <c r="AG701" s="771">
        <v>4739.164212</v>
      </c>
      <c r="AH701" s="771">
        <v>8375.771032</v>
      </c>
      <c r="AI701" s="772" t="s">
        <v>233</v>
      </c>
      <c r="AK701" s="769" t="s">
        <v>519</v>
      </c>
      <c r="AL701" s="770" t="s">
        <v>494</v>
      </c>
      <c r="AM701" s="770" t="s">
        <v>513</v>
      </c>
      <c r="AN701" s="770" t="s">
        <v>631</v>
      </c>
      <c r="AO701" s="770" t="s">
        <v>493</v>
      </c>
      <c r="AP701" s="770" t="s">
        <v>504</v>
      </c>
      <c r="AQ701" s="770" t="s">
        <v>501</v>
      </c>
      <c r="AR701" s="784" t="s">
        <v>502</v>
      </c>
      <c r="AS701" s="771">
        <v>420.8267239</v>
      </c>
      <c r="AT701" s="771">
        <v>313.1173711</v>
      </c>
      <c r="AU701" s="771">
        <v>553.388591</v>
      </c>
      <c r="AV701" s="989" t="s">
        <v>233</v>
      </c>
      <c r="AW701" s="714"/>
    </row>
    <row r="702">
      <c r="A702" s="761"/>
      <c r="B702" s="769" t="s">
        <v>493</v>
      </c>
      <c r="C702" s="770" t="s">
        <v>11</v>
      </c>
      <c r="D702" s="770" t="s">
        <v>494</v>
      </c>
      <c r="E702" s="770" t="s">
        <v>508</v>
      </c>
      <c r="F702" s="770" t="s">
        <v>496</v>
      </c>
      <c r="G702" s="770" t="s">
        <v>103</v>
      </c>
      <c r="H702" s="770">
        <v>2019.0</v>
      </c>
      <c r="I702" s="771">
        <v>15450.8777</v>
      </c>
      <c r="J702" s="771">
        <v>18962.01046</v>
      </c>
      <c r="K702" s="772">
        <v>12505.96137</v>
      </c>
      <c r="M702" s="769" t="s">
        <v>493</v>
      </c>
      <c r="N702" s="770" t="s">
        <v>11</v>
      </c>
      <c r="O702" s="770" t="s">
        <v>494</v>
      </c>
      <c r="P702" s="770" t="s">
        <v>508</v>
      </c>
      <c r="Q702" s="770" t="s">
        <v>496</v>
      </c>
      <c r="R702" s="770" t="s">
        <v>497</v>
      </c>
      <c r="S702" s="770">
        <v>2019.0</v>
      </c>
      <c r="T702" s="771">
        <v>2041.980679</v>
      </c>
      <c r="U702" s="771">
        <v>2506.010322</v>
      </c>
      <c r="V702" s="772">
        <v>1652.781932</v>
      </c>
      <c r="X702" s="769" t="s">
        <v>521</v>
      </c>
      <c r="Y702" s="770" t="s">
        <v>494</v>
      </c>
      <c r="Z702" s="770" t="s">
        <v>499</v>
      </c>
      <c r="AA702" s="770" t="s">
        <v>631</v>
      </c>
      <c r="AB702" s="770" t="s">
        <v>493</v>
      </c>
      <c r="AC702" s="770" t="s">
        <v>103</v>
      </c>
      <c r="AD702" s="770" t="s">
        <v>501</v>
      </c>
      <c r="AE702" s="784" t="s">
        <v>502</v>
      </c>
      <c r="AF702" s="771">
        <v>0.0</v>
      </c>
      <c r="AG702" s="771">
        <v>0.0</v>
      </c>
      <c r="AH702" s="771">
        <v>0.0</v>
      </c>
      <c r="AI702" s="772" t="s">
        <v>233</v>
      </c>
      <c r="AK702" s="769" t="s">
        <v>521</v>
      </c>
      <c r="AL702" s="770" t="s">
        <v>494</v>
      </c>
      <c r="AM702" s="770" t="s">
        <v>499</v>
      </c>
      <c r="AN702" s="770" t="s">
        <v>631</v>
      </c>
      <c r="AO702" s="770" t="s">
        <v>493</v>
      </c>
      <c r="AP702" s="770" t="s">
        <v>504</v>
      </c>
      <c r="AQ702" s="770" t="s">
        <v>501</v>
      </c>
      <c r="AR702" s="784" t="s">
        <v>502</v>
      </c>
      <c r="AS702" s="771">
        <v>0.0</v>
      </c>
      <c r="AT702" s="771">
        <v>0.0</v>
      </c>
      <c r="AU702" s="771">
        <v>0.0</v>
      </c>
      <c r="AV702" s="989" t="s">
        <v>233</v>
      </c>
      <c r="AW702" s="714"/>
    </row>
    <row r="703">
      <c r="A703" s="761"/>
      <c r="B703" s="769" t="s">
        <v>493</v>
      </c>
      <c r="C703" s="770" t="s">
        <v>11</v>
      </c>
      <c r="D703" s="770" t="s">
        <v>494</v>
      </c>
      <c r="E703" s="770" t="s">
        <v>512</v>
      </c>
      <c r="F703" s="770" t="s">
        <v>496</v>
      </c>
      <c r="G703" s="770" t="s">
        <v>103</v>
      </c>
      <c r="H703" s="770">
        <v>2019.0</v>
      </c>
      <c r="I703" s="771">
        <v>3885.4177</v>
      </c>
      <c r="J703" s="771">
        <v>4787.963587</v>
      </c>
      <c r="K703" s="772">
        <v>3135.870089</v>
      </c>
      <c r="M703" s="769" t="s">
        <v>493</v>
      </c>
      <c r="N703" s="770" t="s">
        <v>11</v>
      </c>
      <c r="O703" s="770" t="s">
        <v>494</v>
      </c>
      <c r="P703" s="770" t="s">
        <v>512</v>
      </c>
      <c r="Q703" s="770" t="s">
        <v>496</v>
      </c>
      <c r="R703" s="770" t="s">
        <v>497</v>
      </c>
      <c r="S703" s="770">
        <v>2019.0</v>
      </c>
      <c r="T703" s="771">
        <v>8058.418932</v>
      </c>
      <c r="U703" s="771">
        <v>9930.313646</v>
      </c>
      <c r="V703" s="772">
        <v>6503.845106</v>
      </c>
      <c r="X703" s="769" t="s">
        <v>521</v>
      </c>
      <c r="Y703" s="770" t="s">
        <v>494</v>
      </c>
      <c r="Z703" s="770" t="s">
        <v>507</v>
      </c>
      <c r="AA703" s="770" t="s">
        <v>631</v>
      </c>
      <c r="AB703" s="770" t="s">
        <v>493</v>
      </c>
      <c r="AC703" s="770" t="s">
        <v>103</v>
      </c>
      <c r="AD703" s="770" t="s">
        <v>501</v>
      </c>
      <c r="AE703" s="784" t="s">
        <v>502</v>
      </c>
      <c r="AF703" s="771">
        <v>15.35767337</v>
      </c>
      <c r="AG703" s="771">
        <v>4.495451005</v>
      </c>
      <c r="AH703" s="771">
        <v>39.03451071</v>
      </c>
      <c r="AI703" s="772" t="s">
        <v>233</v>
      </c>
      <c r="AK703" s="769" t="s">
        <v>521</v>
      </c>
      <c r="AL703" s="770" t="s">
        <v>494</v>
      </c>
      <c r="AM703" s="770" t="s">
        <v>507</v>
      </c>
      <c r="AN703" s="770" t="s">
        <v>631</v>
      </c>
      <c r="AO703" s="770" t="s">
        <v>493</v>
      </c>
      <c r="AP703" s="770" t="s">
        <v>504</v>
      </c>
      <c r="AQ703" s="770" t="s">
        <v>501</v>
      </c>
      <c r="AR703" s="784" t="s">
        <v>502</v>
      </c>
      <c r="AS703" s="771">
        <v>5.537351972</v>
      </c>
      <c r="AT703" s="771">
        <v>1.620876671</v>
      </c>
      <c r="AU703" s="771">
        <v>14.07425589</v>
      </c>
      <c r="AV703" s="989" t="s">
        <v>233</v>
      </c>
      <c r="AW703" s="714"/>
    </row>
    <row r="704">
      <c r="A704" s="761"/>
      <c r="B704" s="769" t="s">
        <v>493</v>
      </c>
      <c r="C704" s="770" t="s">
        <v>11</v>
      </c>
      <c r="D704" s="770" t="s">
        <v>494</v>
      </c>
      <c r="E704" s="770" t="s">
        <v>495</v>
      </c>
      <c r="F704" s="770" t="s">
        <v>514</v>
      </c>
      <c r="G704" s="770" t="s">
        <v>103</v>
      </c>
      <c r="H704" s="770">
        <v>2019.0</v>
      </c>
      <c r="I704" s="771">
        <v>42879.61451</v>
      </c>
      <c r="J704" s="771">
        <v>52771.48566</v>
      </c>
      <c r="K704" s="772">
        <v>34724.73459</v>
      </c>
      <c r="M704" s="769" t="s">
        <v>493</v>
      </c>
      <c r="N704" s="770" t="s">
        <v>11</v>
      </c>
      <c r="O704" s="770" t="s">
        <v>494</v>
      </c>
      <c r="P704" s="770" t="s">
        <v>495</v>
      </c>
      <c r="Q704" s="770" t="s">
        <v>514</v>
      </c>
      <c r="R704" s="770" t="s">
        <v>497</v>
      </c>
      <c r="S704" s="770">
        <v>2019.0</v>
      </c>
      <c r="T704" s="771">
        <v>1088.541219</v>
      </c>
      <c r="U704" s="771">
        <v>1339.656105</v>
      </c>
      <c r="V704" s="772">
        <v>881.5215662</v>
      </c>
      <c r="X704" s="769" t="s">
        <v>521</v>
      </c>
      <c r="Y704" s="770" t="s">
        <v>494</v>
      </c>
      <c r="Z704" s="770" t="s">
        <v>509</v>
      </c>
      <c r="AA704" s="770" t="s">
        <v>631</v>
      </c>
      <c r="AB704" s="770" t="s">
        <v>493</v>
      </c>
      <c r="AC704" s="770" t="s">
        <v>103</v>
      </c>
      <c r="AD704" s="770" t="s">
        <v>501</v>
      </c>
      <c r="AE704" s="784" t="s">
        <v>502</v>
      </c>
      <c r="AF704" s="771">
        <v>0.0</v>
      </c>
      <c r="AG704" s="771">
        <v>0.0</v>
      </c>
      <c r="AH704" s="771">
        <v>0.0</v>
      </c>
      <c r="AI704" s="772" t="s">
        <v>233</v>
      </c>
      <c r="AK704" s="769" t="s">
        <v>521</v>
      </c>
      <c r="AL704" s="770" t="s">
        <v>494</v>
      </c>
      <c r="AM704" s="770" t="s">
        <v>509</v>
      </c>
      <c r="AN704" s="770" t="s">
        <v>631</v>
      </c>
      <c r="AO704" s="770" t="s">
        <v>493</v>
      </c>
      <c r="AP704" s="770" t="s">
        <v>504</v>
      </c>
      <c r="AQ704" s="770" t="s">
        <v>501</v>
      </c>
      <c r="AR704" s="784" t="s">
        <v>502</v>
      </c>
      <c r="AS704" s="771">
        <v>0.0</v>
      </c>
      <c r="AT704" s="771">
        <v>0.0</v>
      </c>
      <c r="AU704" s="771">
        <v>0.0</v>
      </c>
      <c r="AV704" s="989" t="s">
        <v>233</v>
      </c>
      <c r="AW704" s="714"/>
    </row>
    <row r="705">
      <c r="A705" s="761"/>
      <c r="B705" s="769" t="s">
        <v>493</v>
      </c>
      <c r="C705" s="770" t="s">
        <v>11</v>
      </c>
      <c r="D705" s="770" t="s">
        <v>494</v>
      </c>
      <c r="E705" s="770" t="s">
        <v>505</v>
      </c>
      <c r="F705" s="770" t="s">
        <v>514</v>
      </c>
      <c r="G705" s="770" t="s">
        <v>103</v>
      </c>
      <c r="H705" s="770">
        <v>2019.0</v>
      </c>
      <c r="I705" s="771">
        <v>14513.51656</v>
      </c>
      <c r="J705" s="771">
        <v>17989.19463</v>
      </c>
      <c r="K705" s="772">
        <v>11659.08941</v>
      </c>
      <c r="M705" s="769" t="s">
        <v>493</v>
      </c>
      <c r="N705" s="770" t="s">
        <v>11</v>
      </c>
      <c r="O705" s="770" t="s">
        <v>494</v>
      </c>
      <c r="P705" s="770" t="s">
        <v>505</v>
      </c>
      <c r="Q705" s="770" t="s">
        <v>514</v>
      </c>
      <c r="R705" s="770" t="s">
        <v>497</v>
      </c>
      <c r="S705" s="770">
        <v>2019.0</v>
      </c>
      <c r="T705" s="771">
        <v>89182.39106</v>
      </c>
      <c r="U705" s="771">
        <v>110539.6741</v>
      </c>
      <c r="V705" s="772">
        <v>71642.55931</v>
      </c>
      <c r="X705" s="769" t="s">
        <v>521</v>
      </c>
      <c r="Y705" s="770" t="s">
        <v>494</v>
      </c>
      <c r="Z705" s="770" t="s">
        <v>513</v>
      </c>
      <c r="AA705" s="770" t="s">
        <v>631</v>
      </c>
      <c r="AB705" s="770" t="s">
        <v>493</v>
      </c>
      <c r="AC705" s="770" t="s">
        <v>103</v>
      </c>
      <c r="AD705" s="770" t="s">
        <v>501</v>
      </c>
      <c r="AE705" s="784" t="s">
        <v>502</v>
      </c>
      <c r="AF705" s="771">
        <v>68.863039</v>
      </c>
      <c r="AG705" s="771">
        <v>18.32948458</v>
      </c>
      <c r="AH705" s="771">
        <v>179.5344806</v>
      </c>
      <c r="AI705" s="772" t="s">
        <v>233</v>
      </c>
      <c r="AK705" s="769" t="s">
        <v>521</v>
      </c>
      <c r="AL705" s="770" t="s">
        <v>494</v>
      </c>
      <c r="AM705" s="770" t="s">
        <v>513</v>
      </c>
      <c r="AN705" s="770" t="s">
        <v>631</v>
      </c>
      <c r="AO705" s="770" t="s">
        <v>493</v>
      </c>
      <c r="AP705" s="770" t="s">
        <v>504</v>
      </c>
      <c r="AQ705" s="770" t="s">
        <v>501</v>
      </c>
      <c r="AR705" s="784" t="s">
        <v>502</v>
      </c>
      <c r="AS705" s="771">
        <v>4.549792488</v>
      </c>
      <c r="AT705" s="771">
        <v>1.211032108</v>
      </c>
      <c r="AU705" s="771">
        <v>11.86187312</v>
      </c>
      <c r="AV705" s="989" t="s">
        <v>233</v>
      </c>
      <c r="AW705" s="714"/>
    </row>
    <row r="706">
      <c r="A706" s="761"/>
      <c r="B706" s="769" t="s">
        <v>493</v>
      </c>
      <c r="C706" s="770" t="s">
        <v>11</v>
      </c>
      <c r="D706" s="770" t="s">
        <v>494</v>
      </c>
      <c r="E706" s="770" t="s">
        <v>508</v>
      </c>
      <c r="F706" s="770" t="s">
        <v>514</v>
      </c>
      <c r="G706" s="770" t="s">
        <v>103</v>
      </c>
      <c r="H706" s="770">
        <v>2019.0</v>
      </c>
      <c r="I706" s="771">
        <v>13528.25622</v>
      </c>
      <c r="J706" s="771">
        <v>16760.39263</v>
      </c>
      <c r="K706" s="772">
        <v>10855.96209</v>
      </c>
      <c r="M706" s="769" t="s">
        <v>493</v>
      </c>
      <c r="N706" s="770" t="s">
        <v>11</v>
      </c>
      <c r="O706" s="770" t="s">
        <v>494</v>
      </c>
      <c r="P706" s="770" t="s">
        <v>508</v>
      </c>
      <c r="Q706" s="770" t="s">
        <v>514</v>
      </c>
      <c r="R706" s="770" t="s">
        <v>497</v>
      </c>
      <c r="S706" s="770">
        <v>2019.0</v>
      </c>
      <c r="T706" s="771">
        <v>1787.887935</v>
      </c>
      <c r="U706" s="771">
        <v>2215.045552</v>
      </c>
      <c r="V706" s="772">
        <v>1434.718808</v>
      </c>
      <c r="X706" s="769" t="s">
        <v>523</v>
      </c>
      <c r="Y706" s="770" t="s">
        <v>494</v>
      </c>
      <c r="Z706" s="770" t="s">
        <v>507</v>
      </c>
      <c r="AA706" s="770" t="s">
        <v>631</v>
      </c>
      <c r="AB706" s="770" t="s">
        <v>493</v>
      </c>
      <c r="AC706" s="770" t="s">
        <v>103</v>
      </c>
      <c r="AD706" s="770" t="s">
        <v>501</v>
      </c>
      <c r="AE706" s="784" t="s">
        <v>502</v>
      </c>
      <c r="AF706" s="771">
        <v>56.01502102</v>
      </c>
      <c r="AG706" s="771">
        <v>25.0473775</v>
      </c>
      <c r="AH706" s="771">
        <v>107.3652707</v>
      </c>
      <c r="AI706" s="772" t="s">
        <v>233</v>
      </c>
      <c r="AK706" s="769" t="s">
        <v>523</v>
      </c>
      <c r="AL706" s="770" t="s">
        <v>494</v>
      </c>
      <c r="AM706" s="770" t="s">
        <v>507</v>
      </c>
      <c r="AN706" s="770" t="s">
        <v>631</v>
      </c>
      <c r="AO706" s="770" t="s">
        <v>493</v>
      </c>
      <c r="AP706" s="770" t="s">
        <v>504</v>
      </c>
      <c r="AQ706" s="770" t="s">
        <v>501</v>
      </c>
      <c r="AR706" s="784" t="s">
        <v>502</v>
      </c>
      <c r="AS706" s="771">
        <v>20.19673681</v>
      </c>
      <c r="AT706" s="771">
        <v>9.031064915</v>
      </c>
      <c r="AU706" s="771">
        <v>38.71154694</v>
      </c>
      <c r="AV706" s="989" t="s">
        <v>233</v>
      </c>
      <c r="AW706" s="714"/>
    </row>
    <row r="707">
      <c r="A707" s="761"/>
      <c r="B707" s="769" t="s">
        <v>493</v>
      </c>
      <c r="C707" s="770" t="s">
        <v>11</v>
      </c>
      <c r="D707" s="770" t="s">
        <v>494</v>
      </c>
      <c r="E707" s="770" t="s">
        <v>512</v>
      </c>
      <c r="F707" s="770" t="s">
        <v>514</v>
      </c>
      <c r="G707" s="770" t="s">
        <v>103</v>
      </c>
      <c r="H707" s="770">
        <v>2019.0</v>
      </c>
      <c r="I707" s="771">
        <v>3458.453559</v>
      </c>
      <c r="J707" s="771">
        <v>4254.70423</v>
      </c>
      <c r="K707" s="772">
        <v>2783.907543</v>
      </c>
      <c r="M707" s="769" t="s">
        <v>493</v>
      </c>
      <c r="N707" s="770" t="s">
        <v>11</v>
      </c>
      <c r="O707" s="770" t="s">
        <v>494</v>
      </c>
      <c r="P707" s="770" t="s">
        <v>512</v>
      </c>
      <c r="Q707" s="770" t="s">
        <v>514</v>
      </c>
      <c r="R707" s="770" t="s">
        <v>497</v>
      </c>
      <c r="S707" s="770">
        <v>2019.0</v>
      </c>
      <c r="T707" s="771">
        <v>7172.888421</v>
      </c>
      <c r="U707" s="771">
        <v>8824.325146</v>
      </c>
      <c r="V707" s="772">
        <v>5773.869113</v>
      </c>
      <c r="X707" s="769" t="s">
        <v>523</v>
      </c>
      <c r="Y707" s="770" t="s">
        <v>494</v>
      </c>
      <c r="Z707" s="770" t="s">
        <v>513</v>
      </c>
      <c r="AA707" s="770" t="s">
        <v>631</v>
      </c>
      <c r="AB707" s="770" t="s">
        <v>493</v>
      </c>
      <c r="AC707" s="770" t="s">
        <v>103</v>
      </c>
      <c r="AD707" s="770" t="s">
        <v>501</v>
      </c>
      <c r="AE707" s="784" t="s">
        <v>502</v>
      </c>
      <c r="AF707" s="771">
        <v>87.80935572</v>
      </c>
      <c r="AG707" s="771">
        <v>43.91538461</v>
      </c>
      <c r="AH707" s="771">
        <v>156.5843068</v>
      </c>
      <c r="AI707" s="772" t="s">
        <v>233</v>
      </c>
      <c r="AK707" s="769" t="s">
        <v>523</v>
      </c>
      <c r="AL707" s="770" t="s">
        <v>494</v>
      </c>
      <c r="AM707" s="770" t="s">
        <v>513</v>
      </c>
      <c r="AN707" s="770" t="s">
        <v>631</v>
      </c>
      <c r="AO707" s="770" t="s">
        <v>493</v>
      </c>
      <c r="AP707" s="770" t="s">
        <v>504</v>
      </c>
      <c r="AQ707" s="770" t="s">
        <v>501</v>
      </c>
      <c r="AR707" s="784" t="s">
        <v>502</v>
      </c>
      <c r="AS707" s="771">
        <v>5.801578799</v>
      </c>
      <c r="AT707" s="771">
        <v>2.901496796</v>
      </c>
      <c r="AU707" s="771">
        <v>10.34555131</v>
      </c>
      <c r="AV707" s="989" t="s">
        <v>233</v>
      </c>
      <c r="AW707" s="714"/>
    </row>
    <row r="708">
      <c r="A708" s="761"/>
      <c r="B708" s="769" t="s">
        <v>493</v>
      </c>
      <c r="C708" s="770" t="s">
        <v>11</v>
      </c>
      <c r="D708" s="770" t="s">
        <v>494</v>
      </c>
      <c r="E708" s="770" t="s">
        <v>495</v>
      </c>
      <c r="F708" s="770" t="s">
        <v>518</v>
      </c>
      <c r="G708" s="770" t="s">
        <v>103</v>
      </c>
      <c r="H708" s="770">
        <v>2019.0</v>
      </c>
      <c r="I708" s="771">
        <v>10970.43312</v>
      </c>
      <c r="J708" s="771">
        <v>15708.88081</v>
      </c>
      <c r="K708" s="772">
        <v>6367.77462</v>
      </c>
      <c r="M708" s="769" t="s">
        <v>493</v>
      </c>
      <c r="N708" s="770" t="s">
        <v>11</v>
      </c>
      <c r="O708" s="770" t="s">
        <v>494</v>
      </c>
      <c r="P708" s="770" t="s">
        <v>495</v>
      </c>
      <c r="Q708" s="770" t="s">
        <v>518</v>
      </c>
      <c r="R708" s="770" t="s">
        <v>497</v>
      </c>
      <c r="S708" s="770">
        <v>2019.0</v>
      </c>
      <c r="T708" s="771">
        <v>278.4952425</v>
      </c>
      <c r="U708" s="771">
        <v>398.7854011</v>
      </c>
      <c r="V708" s="772">
        <v>161.6522263</v>
      </c>
      <c r="X708" s="769" t="s">
        <v>496</v>
      </c>
      <c r="Y708" s="770" t="s">
        <v>494</v>
      </c>
      <c r="Z708" s="770" t="s">
        <v>499</v>
      </c>
      <c r="AA708" s="770" t="s">
        <v>42</v>
      </c>
      <c r="AB708" s="770" t="s">
        <v>493</v>
      </c>
      <c r="AC708" s="770" t="s">
        <v>103</v>
      </c>
      <c r="AD708" s="770" t="s">
        <v>501</v>
      </c>
      <c r="AE708" s="784" t="s">
        <v>502</v>
      </c>
      <c r="AF708" s="771">
        <v>2301.501831</v>
      </c>
      <c r="AG708" s="771">
        <v>1745.638607</v>
      </c>
      <c r="AH708" s="771">
        <v>3062.182984</v>
      </c>
      <c r="AI708" s="772" t="s">
        <v>233</v>
      </c>
      <c r="AK708" s="769" t="s">
        <v>496</v>
      </c>
      <c r="AL708" s="770" t="s">
        <v>494</v>
      </c>
      <c r="AM708" s="770" t="s">
        <v>499</v>
      </c>
      <c r="AN708" s="770" t="s">
        <v>42</v>
      </c>
      <c r="AO708" s="770" t="s">
        <v>493</v>
      </c>
      <c r="AP708" s="770" t="s">
        <v>504</v>
      </c>
      <c r="AQ708" s="770" t="s">
        <v>501</v>
      </c>
      <c r="AR708" s="784" t="s">
        <v>502</v>
      </c>
      <c r="AS708" s="771">
        <v>141713.3272</v>
      </c>
      <c r="AT708" s="771">
        <v>107486.4472</v>
      </c>
      <c r="AU708" s="771">
        <v>188551.7245</v>
      </c>
      <c r="AV708" s="989" t="s">
        <v>233</v>
      </c>
      <c r="AW708" s="714"/>
    </row>
    <row r="709">
      <c r="A709" s="761"/>
      <c r="B709" s="769" t="s">
        <v>493</v>
      </c>
      <c r="C709" s="770" t="s">
        <v>11</v>
      </c>
      <c r="D709" s="770" t="s">
        <v>494</v>
      </c>
      <c r="E709" s="770" t="s">
        <v>505</v>
      </c>
      <c r="F709" s="770" t="s">
        <v>518</v>
      </c>
      <c r="G709" s="770" t="s">
        <v>103</v>
      </c>
      <c r="H709" s="770">
        <v>2019.0</v>
      </c>
      <c r="I709" s="771">
        <v>315.1634272</v>
      </c>
      <c r="J709" s="771">
        <v>540.3642129</v>
      </c>
      <c r="K709" s="772">
        <v>170.2408114</v>
      </c>
      <c r="M709" s="769" t="s">
        <v>493</v>
      </c>
      <c r="N709" s="770" t="s">
        <v>11</v>
      </c>
      <c r="O709" s="770" t="s">
        <v>494</v>
      </c>
      <c r="P709" s="770" t="s">
        <v>505</v>
      </c>
      <c r="Q709" s="770" t="s">
        <v>518</v>
      </c>
      <c r="R709" s="770" t="s">
        <v>497</v>
      </c>
      <c r="S709" s="770">
        <v>2019.0</v>
      </c>
      <c r="T709" s="771">
        <v>1936.610462</v>
      </c>
      <c r="U709" s="771">
        <v>3320.420131</v>
      </c>
      <c r="V709" s="772">
        <v>1046.092624</v>
      </c>
      <c r="X709" s="769" t="s">
        <v>496</v>
      </c>
      <c r="Y709" s="770" t="s">
        <v>494</v>
      </c>
      <c r="Z709" s="770" t="s">
        <v>507</v>
      </c>
      <c r="AA709" s="770" t="s">
        <v>42</v>
      </c>
      <c r="AB709" s="770" t="s">
        <v>493</v>
      </c>
      <c r="AC709" s="770" t="s">
        <v>103</v>
      </c>
      <c r="AD709" s="770" t="s">
        <v>501</v>
      </c>
      <c r="AE709" s="784" t="s">
        <v>502</v>
      </c>
      <c r="AF709" s="771">
        <v>1846.545736</v>
      </c>
      <c r="AG709" s="771">
        <v>1395.671126</v>
      </c>
      <c r="AH709" s="771">
        <v>2446.759606</v>
      </c>
      <c r="AI709" s="772" t="s">
        <v>233</v>
      </c>
      <c r="AK709" s="769" t="s">
        <v>496</v>
      </c>
      <c r="AL709" s="770" t="s">
        <v>494</v>
      </c>
      <c r="AM709" s="770" t="s">
        <v>507</v>
      </c>
      <c r="AN709" s="770" t="s">
        <v>42</v>
      </c>
      <c r="AO709" s="770" t="s">
        <v>493</v>
      </c>
      <c r="AP709" s="770" t="s">
        <v>504</v>
      </c>
      <c r="AQ709" s="770" t="s">
        <v>501</v>
      </c>
      <c r="AR709" s="784" t="s">
        <v>502</v>
      </c>
      <c r="AS709" s="771">
        <v>2387.636231</v>
      </c>
      <c r="AT709" s="771">
        <v>1804.642518</v>
      </c>
      <c r="AU709" s="771">
        <v>3163.72986</v>
      </c>
      <c r="AV709" s="989" t="s">
        <v>233</v>
      </c>
      <c r="AW709" s="714"/>
    </row>
    <row r="710">
      <c r="A710" s="761"/>
      <c r="B710" s="769" t="s">
        <v>493</v>
      </c>
      <c r="C710" s="770" t="s">
        <v>11</v>
      </c>
      <c r="D710" s="770" t="s">
        <v>494</v>
      </c>
      <c r="E710" s="770" t="s">
        <v>508</v>
      </c>
      <c r="F710" s="770" t="s">
        <v>518</v>
      </c>
      <c r="G710" s="770" t="s">
        <v>103</v>
      </c>
      <c r="H710" s="770">
        <v>2019.0</v>
      </c>
      <c r="I710" s="771">
        <v>5187.831972</v>
      </c>
      <c r="J710" s="771">
        <v>8191.359347</v>
      </c>
      <c r="K710" s="772">
        <v>2755.861477</v>
      </c>
      <c r="M710" s="769" t="s">
        <v>493</v>
      </c>
      <c r="N710" s="770" t="s">
        <v>11</v>
      </c>
      <c r="O710" s="770" t="s">
        <v>494</v>
      </c>
      <c r="P710" s="770" t="s">
        <v>508</v>
      </c>
      <c r="Q710" s="770" t="s">
        <v>518</v>
      </c>
      <c r="R710" s="770" t="s">
        <v>497</v>
      </c>
      <c r="S710" s="770">
        <v>2019.0</v>
      </c>
      <c r="T710" s="771">
        <v>685.6214163</v>
      </c>
      <c r="U710" s="771">
        <v>1082.566172</v>
      </c>
      <c r="V710" s="772">
        <v>364.2133476</v>
      </c>
      <c r="X710" s="769" t="s">
        <v>496</v>
      </c>
      <c r="Y710" s="770" t="s">
        <v>494</v>
      </c>
      <c r="Z710" s="770" t="s">
        <v>509</v>
      </c>
      <c r="AA710" s="770" t="s">
        <v>42</v>
      </c>
      <c r="AB710" s="770" t="s">
        <v>493</v>
      </c>
      <c r="AC710" s="770" t="s">
        <v>103</v>
      </c>
      <c r="AD710" s="770" t="s">
        <v>501</v>
      </c>
      <c r="AE710" s="784" t="s">
        <v>502</v>
      </c>
      <c r="AF710" s="771">
        <v>460.3396178</v>
      </c>
      <c r="AG710" s="771">
        <v>347.8507686</v>
      </c>
      <c r="AH710" s="771">
        <v>614.525215</v>
      </c>
      <c r="AI710" s="772" t="s">
        <v>233</v>
      </c>
      <c r="AK710" s="769" t="s">
        <v>496</v>
      </c>
      <c r="AL710" s="770" t="s">
        <v>494</v>
      </c>
      <c r="AM710" s="770" t="s">
        <v>509</v>
      </c>
      <c r="AN710" s="770" t="s">
        <v>42</v>
      </c>
      <c r="AO710" s="770" t="s">
        <v>493</v>
      </c>
      <c r="AP710" s="770" t="s">
        <v>504</v>
      </c>
      <c r="AQ710" s="770" t="s">
        <v>501</v>
      </c>
      <c r="AR710" s="784" t="s">
        <v>502</v>
      </c>
      <c r="AS710" s="771">
        <v>9588.338601</v>
      </c>
      <c r="AT710" s="771">
        <v>7245.326761</v>
      </c>
      <c r="AU710" s="771">
        <v>12799.84518</v>
      </c>
      <c r="AV710" s="989" t="s">
        <v>233</v>
      </c>
      <c r="AW710" s="714"/>
    </row>
    <row r="711">
      <c r="A711" s="761"/>
      <c r="B711" s="769" t="s">
        <v>493</v>
      </c>
      <c r="C711" s="770" t="s">
        <v>11</v>
      </c>
      <c r="D711" s="770" t="s">
        <v>494</v>
      </c>
      <c r="E711" s="770" t="s">
        <v>512</v>
      </c>
      <c r="F711" s="770" t="s">
        <v>518</v>
      </c>
      <c r="G711" s="770" t="s">
        <v>103</v>
      </c>
      <c r="H711" s="770">
        <v>2019.0</v>
      </c>
      <c r="I711" s="771">
        <v>772.3839288</v>
      </c>
      <c r="J711" s="771">
        <v>1320.591939</v>
      </c>
      <c r="K711" s="772">
        <v>347.0637746</v>
      </c>
      <c r="M711" s="769" t="s">
        <v>493</v>
      </c>
      <c r="N711" s="770" t="s">
        <v>11</v>
      </c>
      <c r="O711" s="770" t="s">
        <v>494</v>
      </c>
      <c r="P711" s="770" t="s">
        <v>512</v>
      </c>
      <c r="Q711" s="770" t="s">
        <v>518</v>
      </c>
      <c r="R711" s="770" t="s">
        <v>497</v>
      </c>
      <c r="S711" s="770">
        <v>2019.0</v>
      </c>
      <c r="T711" s="771">
        <v>1601.936717</v>
      </c>
      <c r="U711" s="771">
        <v>2738.928964</v>
      </c>
      <c r="V711" s="772">
        <v>719.815862</v>
      </c>
      <c r="X711" s="769" t="s">
        <v>496</v>
      </c>
      <c r="Y711" s="770" t="s">
        <v>494</v>
      </c>
      <c r="Z711" s="770" t="s">
        <v>513</v>
      </c>
      <c r="AA711" s="770" t="s">
        <v>42</v>
      </c>
      <c r="AB711" s="770" t="s">
        <v>493</v>
      </c>
      <c r="AC711" s="770" t="s">
        <v>103</v>
      </c>
      <c r="AD711" s="770" t="s">
        <v>501</v>
      </c>
      <c r="AE711" s="784" t="s">
        <v>502</v>
      </c>
      <c r="AF711" s="771">
        <v>6707.239581</v>
      </c>
      <c r="AG711" s="771">
        <v>5072.924583</v>
      </c>
      <c r="AH711" s="771">
        <v>8901.990523</v>
      </c>
      <c r="AI711" s="772" t="s">
        <v>233</v>
      </c>
      <c r="AK711" s="769" t="s">
        <v>496</v>
      </c>
      <c r="AL711" s="770" t="s">
        <v>494</v>
      </c>
      <c r="AM711" s="770" t="s">
        <v>513</v>
      </c>
      <c r="AN711" s="770" t="s">
        <v>42</v>
      </c>
      <c r="AO711" s="770" t="s">
        <v>493</v>
      </c>
      <c r="AP711" s="770" t="s">
        <v>504</v>
      </c>
      <c r="AQ711" s="770" t="s">
        <v>501</v>
      </c>
      <c r="AR711" s="784" t="s">
        <v>502</v>
      </c>
      <c r="AS711" s="771">
        <v>1560.88469</v>
      </c>
      <c r="AT711" s="771">
        <v>1180.552777</v>
      </c>
      <c r="AU711" s="771">
        <v>2071.639241</v>
      </c>
      <c r="AV711" s="989" t="s">
        <v>233</v>
      </c>
      <c r="AW711" s="714"/>
    </row>
    <row r="712">
      <c r="A712" s="761"/>
      <c r="B712" s="769" t="s">
        <v>493</v>
      </c>
      <c r="C712" s="770" t="s">
        <v>11</v>
      </c>
      <c r="D712" s="770" t="s">
        <v>494</v>
      </c>
      <c r="E712" s="770" t="s">
        <v>495</v>
      </c>
      <c r="F712" s="770" t="s">
        <v>519</v>
      </c>
      <c r="G712" s="770" t="s">
        <v>103</v>
      </c>
      <c r="H712" s="770">
        <v>2019.0</v>
      </c>
      <c r="I712" s="771">
        <v>12503.65652</v>
      </c>
      <c r="J712" s="771">
        <v>15896.66873</v>
      </c>
      <c r="K712" s="772">
        <v>9670.409596</v>
      </c>
      <c r="M712" s="769" t="s">
        <v>493</v>
      </c>
      <c r="N712" s="770" t="s">
        <v>11</v>
      </c>
      <c r="O712" s="770" t="s">
        <v>494</v>
      </c>
      <c r="P712" s="770" t="s">
        <v>495</v>
      </c>
      <c r="Q712" s="770" t="s">
        <v>519</v>
      </c>
      <c r="R712" s="770" t="s">
        <v>497</v>
      </c>
      <c r="S712" s="770">
        <v>2019.0</v>
      </c>
      <c r="T712" s="771">
        <v>317.4176278</v>
      </c>
      <c r="U712" s="771">
        <v>403.5525823</v>
      </c>
      <c r="V712" s="772">
        <v>245.4928659</v>
      </c>
      <c r="X712" s="769" t="s">
        <v>514</v>
      </c>
      <c r="Y712" s="770" t="s">
        <v>494</v>
      </c>
      <c r="Z712" s="770" t="s">
        <v>499</v>
      </c>
      <c r="AA712" s="770" t="s">
        <v>42</v>
      </c>
      <c r="AB712" s="770" t="s">
        <v>493</v>
      </c>
      <c r="AC712" s="770" t="s">
        <v>103</v>
      </c>
      <c r="AD712" s="770" t="s">
        <v>501</v>
      </c>
      <c r="AE712" s="784" t="s">
        <v>502</v>
      </c>
      <c r="AF712" s="771">
        <v>2126.167861</v>
      </c>
      <c r="AG712" s="771">
        <v>1587.535454</v>
      </c>
      <c r="AH712" s="771">
        <v>2827.650876</v>
      </c>
      <c r="AI712" s="772" t="s">
        <v>233</v>
      </c>
      <c r="AK712" s="769" t="s">
        <v>514</v>
      </c>
      <c r="AL712" s="770" t="s">
        <v>494</v>
      </c>
      <c r="AM712" s="770" t="s">
        <v>499</v>
      </c>
      <c r="AN712" s="770" t="s">
        <v>42</v>
      </c>
      <c r="AO712" s="770" t="s">
        <v>493</v>
      </c>
      <c r="AP712" s="770" t="s">
        <v>504</v>
      </c>
      <c r="AQ712" s="770" t="s">
        <v>501</v>
      </c>
      <c r="AR712" s="784" t="s">
        <v>502</v>
      </c>
      <c r="AS712" s="771">
        <v>130917.2636</v>
      </c>
      <c r="AT712" s="771">
        <v>97751.35879</v>
      </c>
      <c r="AU712" s="771">
        <v>174110.5779</v>
      </c>
      <c r="AV712" s="989" t="s">
        <v>233</v>
      </c>
      <c r="AW712" s="714"/>
    </row>
    <row r="713">
      <c r="A713" s="761"/>
      <c r="B713" s="769" t="s">
        <v>493</v>
      </c>
      <c r="C713" s="770" t="s">
        <v>11</v>
      </c>
      <c r="D713" s="770" t="s">
        <v>494</v>
      </c>
      <c r="E713" s="770" t="s">
        <v>505</v>
      </c>
      <c r="F713" s="770" t="s">
        <v>519</v>
      </c>
      <c r="G713" s="770" t="s">
        <v>103</v>
      </c>
      <c r="H713" s="770">
        <v>2019.0</v>
      </c>
      <c r="I713" s="771">
        <v>10818.30135</v>
      </c>
      <c r="J713" s="771">
        <v>13778.47108</v>
      </c>
      <c r="K713" s="772">
        <v>8289.579617</v>
      </c>
      <c r="M713" s="769" t="s">
        <v>493</v>
      </c>
      <c r="N713" s="770" t="s">
        <v>11</v>
      </c>
      <c r="O713" s="770" t="s">
        <v>494</v>
      </c>
      <c r="P713" s="770" t="s">
        <v>505</v>
      </c>
      <c r="Q713" s="770" t="s">
        <v>519</v>
      </c>
      <c r="R713" s="770" t="s">
        <v>497</v>
      </c>
      <c r="S713" s="770">
        <v>2019.0</v>
      </c>
      <c r="T713" s="771">
        <v>66476.10023</v>
      </c>
      <c r="U713" s="771">
        <v>84665.69705</v>
      </c>
      <c r="V713" s="772">
        <v>50937.6572</v>
      </c>
      <c r="X713" s="769" t="s">
        <v>514</v>
      </c>
      <c r="Y713" s="770" t="s">
        <v>494</v>
      </c>
      <c r="Z713" s="770" t="s">
        <v>507</v>
      </c>
      <c r="AA713" s="770" t="s">
        <v>42</v>
      </c>
      <c r="AB713" s="770" t="s">
        <v>493</v>
      </c>
      <c r="AC713" s="770" t="s">
        <v>103</v>
      </c>
      <c r="AD713" s="770" t="s">
        <v>501</v>
      </c>
      <c r="AE713" s="784" t="s">
        <v>502</v>
      </c>
      <c r="AF713" s="771">
        <v>1620.889213</v>
      </c>
      <c r="AG713" s="771">
        <v>1205.324721</v>
      </c>
      <c r="AH713" s="771">
        <v>2189.204747</v>
      </c>
      <c r="AI713" s="772" t="s">
        <v>233</v>
      </c>
      <c r="AK713" s="769" t="s">
        <v>514</v>
      </c>
      <c r="AL713" s="770" t="s">
        <v>494</v>
      </c>
      <c r="AM713" s="770" t="s">
        <v>507</v>
      </c>
      <c r="AN713" s="770" t="s">
        <v>42</v>
      </c>
      <c r="AO713" s="770" t="s">
        <v>493</v>
      </c>
      <c r="AP713" s="770" t="s">
        <v>504</v>
      </c>
      <c r="AQ713" s="770" t="s">
        <v>501</v>
      </c>
      <c r="AR713" s="784" t="s">
        <v>502</v>
      </c>
      <c r="AS713" s="771">
        <v>2095.855919</v>
      </c>
      <c r="AT713" s="771">
        <v>1558.519194</v>
      </c>
      <c r="AU713" s="771">
        <v>2830.704091</v>
      </c>
      <c r="AV713" s="989" t="s">
        <v>233</v>
      </c>
      <c r="AW713" s="714"/>
    </row>
    <row r="714">
      <c r="A714" s="761"/>
      <c r="B714" s="769" t="s">
        <v>493</v>
      </c>
      <c r="C714" s="770" t="s">
        <v>11</v>
      </c>
      <c r="D714" s="770" t="s">
        <v>494</v>
      </c>
      <c r="E714" s="770" t="s">
        <v>508</v>
      </c>
      <c r="F714" s="770" t="s">
        <v>519</v>
      </c>
      <c r="G714" s="770" t="s">
        <v>103</v>
      </c>
      <c r="H714" s="770">
        <v>2019.0</v>
      </c>
      <c r="I714" s="771">
        <v>438.4947609</v>
      </c>
      <c r="J714" s="771">
        <v>988.0747286</v>
      </c>
      <c r="K714" s="772">
        <v>216.1097817</v>
      </c>
      <c r="M714" s="769" t="s">
        <v>493</v>
      </c>
      <c r="N714" s="770" t="s">
        <v>11</v>
      </c>
      <c r="O714" s="770" t="s">
        <v>494</v>
      </c>
      <c r="P714" s="770" t="s">
        <v>508</v>
      </c>
      <c r="Q714" s="770" t="s">
        <v>519</v>
      </c>
      <c r="R714" s="770" t="s">
        <v>497</v>
      </c>
      <c r="S714" s="770">
        <v>2019.0</v>
      </c>
      <c r="T714" s="771">
        <v>57.95125992</v>
      </c>
      <c r="U714" s="771">
        <v>130.5834882</v>
      </c>
      <c r="V714" s="772">
        <v>28.56096639</v>
      </c>
      <c r="X714" s="769" t="s">
        <v>514</v>
      </c>
      <c r="Y714" s="770" t="s">
        <v>494</v>
      </c>
      <c r="Z714" s="770" t="s">
        <v>509</v>
      </c>
      <c r="AA714" s="770" t="s">
        <v>42</v>
      </c>
      <c r="AB714" s="770" t="s">
        <v>493</v>
      </c>
      <c r="AC714" s="770" t="s">
        <v>103</v>
      </c>
      <c r="AD714" s="770" t="s">
        <v>501</v>
      </c>
      <c r="AE714" s="784" t="s">
        <v>502</v>
      </c>
      <c r="AF714" s="771">
        <v>414.2474273</v>
      </c>
      <c r="AG714" s="771">
        <v>311.41469</v>
      </c>
      <c r="AH714" s="771">
        <v>556.9790125</v>
      </c>
      <c r="AI714" s="772" t="s">
        <v>233</v>
      </c>
      <c r="AK714" s="769" t="s">
        <v>514</v>
      </c>
      <c r="AL714" s="770" t="s">
        <v>494</v>
      </c>
      <c r="AM714" s="770" t="s">
        <v>509</v>
      </c>
      <c r="AN714" s="770" t="s">
        <v>42</v>
      </c>
      <c r="AO714" s="770" t="s">
        <v>493</v>
      </c>
      <c r="AP714" s="770" t="s">
        <v>504</v>
      </c>
      <c r="AQ714" s="770" t="s">
        <v>501</v>
      </c>
      <c r="AR714" s="784" t="s">
        <v>502</v>
      </c>
      <c r="AS714" s="771">
        <v>8628.291905</v>
      </c>
      <c r="AT714" s="771">
        <v>6486.40564</v>
      </c>
      <c r="AU714" s="771">
        <v>11601.22475</v>
      </c>
      <c r="AV714" s="989" t="s">
        <v>233</v>
      </c>
      <c r="AW714" s="714"/>
    </row>
    <row r="715">
      <c r="A715" s="761"/>
      <c r="B715" s="769" t="s">
        <v>493</v>
      </c>
      <c r="C715" s="770" t="s">
        <v>11</v>
      </c>
      <c r="D715" s="770" t="s">
        <v>494</v>
      </c>
      <c r="E715" s="770" t="s">
        <v>512</v>
      </c>
      <c r="F715" s="770" t="s">
        <v>519</v>
      </c>
      <c r="G715" s="770" t="s">
        <v>103</v>
      </c>
      <c r="H715" s="770">
        <v>2019.0</v>
      </c>
      <c r="I715" s="771">
        <v>1190.442477</v>
      </c>
      <c r="J715" s="771">
        <v>1803.348663</v>
      </c>
      <c r="K715" s="772">
        <v>731.1291501</v>
      </c>
      <c r="M715" s="769" t="s">
        <v>493</v>
      </c>
      <c r="N715" s="770" t="s">
        <v>11</v>
      </c>
      <c r="O715" s="770" t="s">
        <v>494</v>
      </c>
      <c r="P715" s="770" t="s">
        <v>512</v>
      </c>
      <c r="Q715" s="770" t="s">
        <v>519</v>
      </c>
      <c r="R715" s="770" t="s">
        <v>497</v>
      </c>
      <c r="S715" s="770">
        <v>2019.0</v>
      </c>
      <c r="T715" s="771">
        <v>2468.996885</v>
      </c>
      <c r="U715" s="771">
        <v>3740.174191</v>
      </c>
      <c r="V715" s="772">
        <v>1516.373641</v>
      </c>
      <c r="X715" s="769" t="s">
        <v>514</v>
      </c>
      <c r="Y715" s="770" t="s">
        <v>494</v>
      </c>
      <c r="Z715" s="770" t="s">
        <v>513</v>
      </c>
      <c r="AA715" s="770" t="s">
        <v>42</v>
      </c>
      <c r="AB715" s="770" t="s">
        <v>493</v>
      </c>
      <c r="AC715" s="770" t="s">
        <v>103</v>
      </c>
      <c r="AD715" s="770" t="s">
        <v>501</v>
      </c>
      <c r="AE715" s="784" t="s">
        <v>502</v>
      </c>
      <c r="AF715" s="771">
        <v>6066.608993</v>
      </c>
      <c r="AG715" s="771">
        <v>4572.358834</v>
      </c>
      <c r="AH715" s="771">
        <v>8122.127265</v>
      </c>
      <c r="AI715" s="772" t="s">
        <v>233</v>
      </c>
      <c r="AK715" s="769" t="s">
        <v>514</v>
      </c>
      <c r="AL715" s="770" t="s">
        <v>494</v>
      </c>
      <c r="AM715" s="770" t="s">
        <v>513</v>
      </c>
      <c r="AN715" s="770" t="s">
        <v>42</v>
      </c>
      <c r="AO715" s="770" t="s">
        <v>493</v>
      </c>
      <c r="AP715" s="770" t="s">
        <v>504</v>
      </c>
      <c r="AQ715" s="770" t="s">
        <v>501</v>
      </c>
      <c r="AR715" s="784" t="s">
        <v>502</v>
      </c>
      <c r="AS715" s="771">
        <v>1411.799442</v>
      </c>
      <c r="AT715" s="771">
        <v>1064.062915</v>
      </c>
      <c r="AU715" s="771">
        <v>1890.152266</v>
      </c>
      <c r="AV715" s="989" t="s">
        <v>233</v>
      </c>
      <c r="AW715" s="714"/>
    </row>
    <row r="716">
      <c r="A716" s="761"/>
      <c r="B716" s="769" t="s">
        <v>493</v>
      </c>
      <c r="C716" s="770" t="s">
        <v>11</v>
      </c>
      <c r="D716" s="770" t="s">
        <v>494</v>
      </c>
      <c r="E716" s="770" t="s">
        <v>495</v>
      </c>
      <c r="F716" s="770" t="s">
        <v>521</v>
      </c>
      <c r="G716" s="770" t="s">
        <v>103</v>
      </c>
      <c r="H716" s="770">
        <v>2019.0</v>
      </c>
      <c r="I716" s="771">
        <v>1935.712929</v>
      </c>
      <c r="J716" s="771">
        <v>3710.468276</v>
      </c>
      <c r="K716" s="772">
        <v>936.1915779</v>
      </c>
      <c r="M716" s="769" t="s">
        <v>493</v>
      </c>
      <c r="N716" s="770" t="s">
        <v>11</v>
      </c>
      <c r="O716" s="770" t="s">
        <v>494</v>
      </c>
      <c r="P716" s="770" t="s">
        <v>495</v>
      </c>
      <c r="Q716" s="770" t="s">
        <v>521</v>
      </c>
      <c r="R716" s="770" t="s">
        <v>497</v>
      </c>
      <c r="S716" s="770">
        <v>2019.0</v>
      </c>
      <c r="T716" s="771">
        <v>49.13997795</v>
      </c>
      <c r="U716" s="771">
        <v>94.19388929</v>
      </c>
      <c r="V716" s="772">
        <v>23.76614467</v>
      </c>
      <c r="X716" s="769" t="s">
        <v>518</v>
      </c>
      <c r="Y716" s="770" t="s">
        <v>494</v>
      </c>
      <c r="Z716" s="770" t="s">
        <v>499</v>
      </c>
      <c r="AA716" s="770" t="s">
        <v>42</v>
      </c>
      <c r="AB716" s="770" t="s">
        <v>493</v>
      </c>
      <c r="AC716" s="770" t="s">
        <v>103</v>
      </c>
      <c r="AD716" s="770" t="s">
        <v>501</v>
      </c>
      <c r="AE716" s="784" t="s">
        <v>502</v>
      </c>
      <c r="AF716" s="771">
        <v>20.83510073</v>
      </c>
      <c r="AG716" s="771">
        <v>8.483213817</v>
      </c>
      <c r="AH716" s="771">
        <v>42.89953177</v>
      </c>
      <c r="AI716" s="772" t="s">
        <v>233</v>
      </c>
      <c r="AK716" s="769" t="s">
        <v>518</v>
      </c>
      <c r="AL716" s="770" t="s">
        <v>494</v>
      </c>
      <c r="AM716" s="770" t="s">
        <v>499</v>
      </c>
      <c r="AN716" s="770" t="s">
        <v>42</v>
      </c>
      <c r="AO716" s="770" t="s">
        <v>493</v>
      </c>
      <c r="AP716" s="770" t="s">
        <v>504</v>
      </c>
      <c r="AQ716" s="770" t="s">
        <v>501</v>
      </c>
      <c r="AR716" s="784" t="s">
        <v>502</v>
      </c>
      <c r="AS716" s="771">
        <v>1282.906408</v>
      </c>
      <c r="AT716" s="771">
        <v>522.3478162</v>
      </c>
      <c r="AU716" s="771">
        <v>2641.50795</v>
      </c>
      <c r="AV716" s="989" t="s">
        <v>233</v>
      </c>
      <c r="AW716" s="714"/>
    </row>
    <row r="717">
      <c r="A717" s="761"/>
      <c r="B717" s="769" t="s">
        <v>493</v>
      </c>
      <c r="C717" s="770" t="s">
        <v>11</v>
      </c>
      <c r="D717" s="770" t="s">
        <v>494</v>
      </c>
      <c r="E717" s="770" t="s">
        <v>505</v>
      </c>
      <c r="F717" s="770" t="s">
        <v>521</v>
      </c>
      <c r="G717" s="770" t="s">
        <v>103</v>
      </c>
      <c r="H717" s="770">
        <v>2019.0</v>
      </c>
      <c r="I717" s="771">
        <v>0.0</v>
      </c>
      <c r="J717" s="771">
        <v>0.0</v>
      </c>
      <c r="K717" s="772">
        <v>0.0</v>
      </c>
      <c r="M717" s="769" t="s">
        <v>493</v>
      </c>
      <c r="N717" s="770" t="s">
        <v>11</v>
      </c>
      <c r="O717" s="770" t="s">
        <v>494</v>
      </c>
      <c r="P717" s="770" t="s">
        <v>505</v>
      </c>
      <c r="Q717" s="770" t="s">
        <v>521</v>
      </c>
      <c r="R717" s="770" t="s">
        <v>497</v>
      </c>
      <c r="S717" s="770">
        <v>2019.0</v>
      </c>
      <c r="T717" s="771">
        <v>0.0</v>
      </c>
      <c r="U717" s="771">
        <v>0.0</v>
      </c>
      <c r="V717" s="772">
        <v>0.0</v>
      </c>
      <c r="X717" s="769" t="s">
        <v>518</v>
      </c>
      <c r="Y717" s="770" t="s">
        <v>494</v>
      </c>
      <c r="Z717" s="770" t="s">
        <v>507</v>
      </c>
      <c r="AA717" s="770" t="s">
        <v>42</v>
      </c>
      <c r="AB717" s="770" t="s">
        <v>493</v>
      </c>
      <c r="AC717" s="770" t="s">
        <v>103</v>
      </c>
      <c r="AD717" s="770" t="s">
        <v>501</v>
      </c>
      <c r="AE717" s="784" t="s">
        <v>502</v>
      </c>
      <c r="AF717" s="771">
        <v>381.2421014</v>
      </c>
      <c r="AG717" s="771">
        <v>165.2376277</v>
      </c>
      <c r="AH717" s="771">
        <v>698.8464849</v>
      </c>
      <c r="AI717" s="772" t="s">
        <v>233</v>
      </c>
      <c r="AK717" s="769" t="s">
        <v>518</v>
      </c>
      <c r="AL717" s="770" t="s">
        <v>494</v>
      </c>
      <c r="AM717" s="770" t="s">
        <v>507</v>
      </c>
      <c r="AN717" s="770" t="s">
        <v>42</v>
      </c>
      <c r="AO717" s="770" t="s">
        <v>493</v>
      </c>
      <c r="AP717" s="770" t="s">
        <v>504</v>
      </c>
      <c r="AQ717" s="770" t="s">
        <v>501</v>
      </c>
      <c r="AR717" s="784" t="s">
        <v>502</v>
      </c>
      <c r="AS717" s="771">
        <v>492.9568957</v>
      </c>
      <c r="AT717" s="771">
        <v>213.6569589</v>
      </c>
      <c r="AU717" s="771">
        <v>903.6284097</v>
      </c>
      <c r="AV717" s="989" t="s">
        <v>233</v>
      </c>
      <c r="AW717" s="714"/>
    </row>
    <row r="718">
      <c r="A718" s="761"/>
      <c r="B718" s="769" t="s">
        <v>493</v>
      </c>
      <c r="C718" s="770" t="s">
        <v>11</v>
      </c>
      <c r="D718" s="770" t="s">
        <v>494</v>
      </c>
      <c r="E718" s="770" t="s">
        <v>508</v>
      </c>
      <c r="F718" s="770" t="s">
        <v>521</v>
      </c>
      <c r="G718" s="770" t="s">
        <v>103</v>
      </c>
      <c r="H718" s="770">
        <v>2019.0</v>
      </c>
      <c r="I718" s="771">
        <v>606.3633556</v>
      </c>
      <c r="J718" s="771">
        <v>1224.050107</v>
      </c>
      <c r="K718" s="772">
        <v>281.1555836</v>
      </c>
      <c r="M718" s="769" t="s">
        <v>493</v>
      </c>
      <c r="N718" s="770" t="s">
        <v>11</v>
      </c>
      <c r="O718" s="770" t="s">
        <v>494</v>
      </c>
      <c r="P718" s="770" t="s">
        <v>508</v>
      </c>
      <c r="Q718" s="770" t="s">
        <v>521</v>
      </c>
      <c r="R718" s="770" t="s">
        <v>497</v>
      </c>
      <c r="S718" s="770">
        <v>2019.0</v>
      </c>
      <c r="T718" s="771">
        <v>80.13669389</v>
      </c>
      <c r="U718" s="771">
        <v>161.7698824</v>
      </c>
      <c r="V718" s="772">
        <v>37.15738877</v>
      </c>
      <c r="X718" s="769" t="s">
        <v>518</v>
      </c>
      <c r="Y718" s="770" t="s">
        <v>494</v>
      </c>
      <c r="Z718" s="770" t="s">
        <v>509</v>
      </c>
      <c r="AA718" s="770" t="s">
        <v>42</v>
      </c>
      <c r="AB718" s="770" t="s">
        <v>493</v>
      </c>
      <c r="AC718" s="770" t="s">
        <v>103</v>
      </c>
      <c r="AD718" s="770" t="s">
        <v>501</v>
      </c>
      <c r="AE718" s="784" t="s">
        <v>502</v>
      </c>
      <c r="AF718" s="771">
        <v>33.96682009</v>
      </c>
      <c r="AG718" s="771">
        <v>15.5114116</v>
      </c>
      <c r="AH718" s="771">
        <v>65.13434891</v>
      </c>
      <c r="AI718" s="772" t="s">
        <v>233</v>
      </c>
      <c r="AK718" s="769" t="s">
        <v>518</v>
      </c>
      <c r="AL718" s="770" t="s">
        <v>494</v>
      </c>
      <c r="AM718" s="770" t="s">
        <v>509</v>
      </c>
      <c r="AN718" s="770" t="s">
        <v>42</v>
      </c>
      <c r="AO718" s="770" t="s">
        <v>493</v>
      </c>
      <c r="AP718" s="770" t="s">
        <v>504</v>
      </c>
      <c r="AQ718" s="770" t="s">
        <v>501</v>
      </c>
      <c r="AR718" s="784" t="s">
        <v>502</v>
      </c>
      <c r="AS718" s="771">
        <v>707.4893396</v>
      </c>
      <c r="AT718" s="771">
        <v>323.084655</v>
      </c>
      <c r="AU718" s="771">
        <v>1356.672699</v>
      </c>
      <c r="AV718" s="989" t="s">
        <v>233</v>
      </c>
      <c r="AW718" s="714"/>
    </row>
    <row r="719">
      <c r="A719" s="761"/>
      <c r="B719" s="769" t="s">
        <v>493</v>
      </c>
      <c r="C719" s="770" t="s">
        <v>11</v>
      </c>
      <c r="D719" s="770" t="s">
        <v>494</v>
      </c>
      <c r="E719" s="770" t="s">
        <v>512</v>
      </c>
      <c r="F719" s="770" t="s">
        <v>521</v>
      </c>
      <c r="G719" s="770" t="s">
        <v>103</v>
      </c>
      <c r="H719" s="770">
        <v>2019.0</v>
      </c>
      <c r="I719" s="771">
        <v>0.0</v>
      </c>
      <c r="J719" s="771">
        <v>0.0</v>
      </c>
      <c r="K719" s="772">
        <v>0.0</v>
      </c>
      <c r="M719" s="769" t="s">
        <v>493</v>
      </c>
      <c r="N719" s="770" t="s">
        <v>11</v>
      </c>
      <c r="O719" s="770" t="s">
        <v>494</v>
      </c>
      <c r="P719" s="770" t="s">
        <v>512</v>
      </c>
      <c r="Q719" s="770" t="s">
        <v>521</v>
      </c>
      <c r="R719" s="770" t="s">
        <v>497</v>
      </c>
      <c r="S719" s="770">
        <v>2019.0</v>
      </c>
      <c r="T719" s="771">
        <v>0.0</v>
      </c>
      <c r="U719" s="771">
        <v>0.0</v>
      </c>
      <c r="V719" s="772">
        <v>0.0</v>
      </c>
      <c r="X719" s="769" t="s">
        <v>518</v>
      </c>
      <c r="Y719" s="770" t="s">
        <v>494</v>
      </c>
      <c r="Z719" s="770" t="s">
        <v>513</v>
      </c>
      <c r="AA719" s="770" t="s">
        <v>42</v>
      </c>
      <c r="AB719" s="770" t="s">
        <v>493</v>
      </c>
      <c r="AC719" s="770" t="s">
        <v>103</v>
      </c>
      <c r="AD719" s="770" t="s">
        <v>501</v>
      </c>
      <c r="AE719" s="784" t="s">
        <v>502</v>
      </c>
      <c r="AF719" s="771">
        <v>698.5771604</v>
      </c>
      <c r="AG719" s="771">
        <v>333.5141204</v>
      </c>
      <c r="AH719" s="771">
        <v>1279.165356</v>
      </c>
      <c r="AI719" s="772" t="s">
        <v>233</v>
      </c>
      <c r="AK719" s="769" t="s">
        <v>518</v>
      </c>
      <c r="AL719" s="770" t="s">
        <v>494</v>
      </c>
      <c r="AM719" s="770" t="s">
        <v>513</v>
      </c>
      <c r="AN719" s="770" t="s">
        <v>42</v>
      </c>
      <c r="AO719" s="770" t="s">
        <v>493</v>
      </c>
      <c r="AP719" s="770" t="s">
        <v>504</v>
      </c>
      <c r="AQ719" s="770" t="s">
        <v>501</v>
      </c>
      <c r="AR719" s="784" t="s">
        <v>502</v>
      </c>
      <c r="AS719" s="771">
        <v>162.5703661</v>
      </c>
      <c r="AT719" s="771">
        <v>77.61420748</v>
      </c>
      <c r="AU719" s="771">
        <v>297.6827643</v>
      </c>
      <c r="AV719" s="989" t="s">
        <v>233</v>
      </c>
      <c r="AW719" s="714"/>
    </row>
    <row r="720">
      <c r="A720" s="761"/>
      <c r="B720" s="769" t="s">
        <v>493</v>
      </c>
      <c r="C720" s="770" t="s">
        <v>11</v>
      </c>
      <c r="D720" s="770" t="s">
        <v>494</v>
      </c>
      <c r="E720" s="770" t="s">
        <v>495</v>
      </c>
      <c r="F720" s="770" t="s">
        <v>523</v>
      </c>
      <c r="G720" s="770" t="s">
        <v>103</v>
      </c>
      <c r="H720" s="770">
        <v>2019.0</v>
      </c>
      <c r="I720" s="771">
        <v>2713.235172</v>
      </c>
      <c r="J720" s="771">
        <v>4267.276564</v>
      </c>
      <c r="K720" s="772">
        <v>1558.655873</v>
      </c>
      <c r="M720" s="769" t="s">
        <v>493</v>
      </c>
      <c r="N720" s="770" t="s">
        <v>11</v>
      </c>
      <c r="O720" s="770" t="s">
        <v>494</v>
      </c>
      <c r="P720" s="770" t="s">
        <v>495</v>
      </c>
      <c r="Q720" s="770" t="s">
        <v>523</v>
      </c>
      <c r="R720" s="770" t="s">
        <v>497</v>
      </c>
      <c r="S720" s="770">
        <v>2019.0</v>
      </c>
      <c r="T720" s="771">
        <v>68.8781454</v>
      </c>
      <c r="U720" s="771">
        <v>108.3290157</v>
      </c>
      <c r="V720" s="772">
        <v>39.56801348</v>
      </c>
      <c r="X720" s="769" t="s">
        <v>519</v>
      </c>
      <c r="Y720" s="770" t="s">
        <v>494</v>
      </c>
      <c r="Z720" s="770" t="s">
        <v>499</v>
      </c>
      <c r="AA720" s="770" t="s">
        <v>42</v>
      </c>
      <c r="AB720" s="770" t="s">
        <v>493</v>
      </c>
      <c r="AC720" s="770" t="s">
        <v>103</v>
      </c>
      <c r="AD720" s="770" t="s">
        <v>501</v>
      </c>
      <c r="AE720" s="784" t="s">
        <v>502</v>
      </c>
      <c r="AF720" s="771">
        <v>1729.804881</v>
      </c>
      <c r="AG720" s="771">
        <v>1286.646679</v>
      </c>
      <c r="AH720" s="771">
        <v>2338.907641</v>
      </c>
      <c r="AI720" s="772" t="s">
        <v>233</v>
      </c>
      <c r="AK720" s="769" t="s">
        <v>519</v>
      </c>
      <c r="AL720" s="770" t="s">
        <v>494</v>
      </c>
      <c r="AM720" s="770" t="s">
        <v>499</v>
      </c>
      <c r="AN720" s="770" t="s">
        <v>42</v>
      </c>
      <c r="AO720" s="770" t="s">
        <v>493</v>
      </c>
      <c r="AP720" s="770" t="s">
        <v>504</v>
      </c>
      <c r="AQ720" s="770" t="s">
        <v>501</v>
      </c>
      <c r="AR720" s="784" t="s">
        <v>502</v>
      </c>
      <c r="AS720" s="771">
        <v>106511.4969</v>
      </c>
      <c r="AT720" s="771">
        <v>79224.34794</v>
      </c>
      <c r="AU720" s="771">
        <v>144016.5632</v>
      </c>
      <c r="AV720" s="989" t="s">
        <v>233</v>
      </c>
      <c r="AW720" s="714"/>
    </row>
    <row r="721">
      <c r="A721" s="761"/>
      <c r="B721" s="769" t="s">
        <v>493</v>
      </c>
      <c r="C721" s="770" t="s">
        <v>11</v>
      </c>
      <c r="D721" s="770" t="s">
        <v>494</v>
      </c>
      <c r="E721" s="770" t="s">
        <v>505</v>
      </c>
      <c r="F721" s="770" t="s">
        <v>523</v>
      </c>
      <c r="G721" s="770" t="s">
        <v>103</v>
      </c>
      <c r="H721" s="770">
        <v>2019.0</v>
      </c>
      <c r="I721" s="771">
        <v>0.0</v>
      </c>
      <c r="J721" s="771">
        <v>0.0</v>
      </c>
      <c r="K721" s="772">
        <v>0.0</v>
      </c>
      <c r="M721" s="769" t="s">
        <v>493</v>
      </c>
      <c r="N721" s="770" t="s">
        <v>11</v>
      </c>
      <c r="O721" s="770" t="s">
        <v>494</v>
      </c>
      <c r="P721" s="770" t="s">
        <v>505</v>
      </c>
      <c r="Q721" s="770" t="s">
        <v>523</v>
      </c>
      <c r="R721" s="770" t="s">
        <v>497</v>
      </c>
      <c r="S721" s="770">
        <v>2019.0</v>
      </c>
      <c r="T721" s="771">
        <v>0.0</v>
      </c>
      <c r="U721" s="771">
        <v>0.0</v>
      </c>
      <c r="V721" s="772">
        <v>0.0</v>
      </c>
      <c r="X721" s="769" t="s">
        <v>519</v>
      </c>
      <c r="Y721" s="770" t="s">
        <v>494</v>
      </c>
      <c r="Z721" s="770" t="s">
        <v>507</v>
      </c>
      <c r="AA721" s="770" t="s">
        <v>42</v>
      </c>
      <c r="AB721" s="770" t="s">
        <v>493</v>
      </c>
      <c r="AC721" s="770" t="s">
        <v>103</v>
      </c>
      <c r="AD721" s="770" t="s">
        <v>501</v>
      </c>
      <c r="AE721" s="784" t="s">
        <v>502</v>
      </c>
      <c r="AF721" s="771">
        <v>8.99197252</v>
      </c>
      <c r="AG721" s="771">
        <v>4.380113231</v>
      </c>
      <c r="AH721" s="771">
        <v>15.9558307</v>
      </c>
      <c r="AI721" s="772" t="s">
        <v>233</v>
      </c>
      <c r="AK721" s="769" t="s">
        <v>519</v>
      </c>
      <c r="AL721" s="770" t="s">
        <v>494</v>
      </c>
      <c r="AM721" s="770" t="s">
        <v>507</v>
      </c>
      <c r="AN721" s="770" t="s">
        <v>42</v>
      </c>
      <c r="AO721" s="770" t="s">
        <v>493</v>
      </c>
      <c r="AP721" s="770" t="s">
        <v>504</v>
      </c>
      <c r="AQ721" s="770" t="s">
        <v>501</v>
      </c>
      <c r="AR721" s="1010" t="s">
        <v>502</v>
      </c>
      <c r="AS721" s="771">
        <v>11.62687658</v>
      </c>
      <c r="AT721" s="771">
        <v>5.663611162</v>
      </c>
      <c r="AU721" s="771">
        <v>20.63134355</v>
      </c>
      <c r="AV721" s="989" t="s">
        <v>233</v>
      </c>
      <c r="AW721" s="714"/>
    </row>
    <row r="722">
      <c r="A722" s="761"/>
      <c r="B722" s="769" t="s">
        <v>493</v>
      </c>
      <c r="C722" s="770" t="s">
        <v>11</v>
      </c>
      <c r="D722" s="770" t="s">
        <v>494</v>
      </c>
      <c r="E722" s="770" t="s">
        <v>508</v>
      </c>
      <c r="F722" s="770" t="s">
        <v>523</v>
      </c>
      <c r="G722" s="770" t="s">
        <v>103</v>
      </c>
      <c r="H722" s="770">
        <v>2019.0</v>
      </c>
      <c r="I722" s="771">
        <v>1197.536301</v>
      </c>
      <c r="J722" s="771">
        <v>2034.628619</v>
      </c>
      <c r="K722" s="772">
        <v>611.4784715</v>
      </c>
      <c r="M722" s="769" t="s">
        <v>493</v>
      </c>
      <c r="N722" s="770" t="s">
        <v>11</v>
      </c>
      <c r="O722" s="770" t="s">
        <v>494</v>
      </c>
      <c r="P722" s="770" t="s">
        <v>508</v>
      </c>
      <c r="Q722" s="770" t="s">
        <v>523</v>
      </c>
      <c r="R722" s="770" t="s">
        <v>497</v>
      </c>
      <c r="S722" s="770">
        <v>2019.0</v>
      </c>
      <c r="T722" s="771">
        <v>158.2658304</v>
      </c>
      <c r="U722" s="771">
        <v>268.8955547</v>
      </c>
      <c r="V722" s="772">
        <v>80.81270518</v>
      </c>
      <c r="X722" s="769" t="s">
        <v>519</v>
      </c>
      <c r="Y722" s="770" t="s">
        <v>494</v>
      </c>
      <c r="Z722" s="770" t="s">
        <v>509</v>
      </c>
      <c r="AA722" s="770" t="s">
        <v>42</v>
      </c>
      <c r="AB722" s="770" t="s">
        <v>493</v>
      </c>
      <c r="AC722" s="770" t="s">
        <v>103</v>
      </c>
      <c r="AD722" s="770" t="s">
        <v>501</v>
      </c>
      <c r="AE722" s="784" t="s">
        <v>502</v>
      </c>
      <c r="AF722" s="771">
        <v>144.3570176</v>
      </c>
      <c r="AG722" s="771">
        <v>87.72277129</v>
      </c>
      <c r="AH722" s="771">
        <v>221.8795527</v>
      </c>
      <c r="AI722" s="772" t="s">
        <v>233</v>
      </c>
      <c r="AK722" s="769" t="s">
        <v>519</v>
      </c>
      <c r="AL722" s="770" t="s">
        <v>494</v>
      </c>
      <c r="AM722" s="770" t="s">
        <v>509</v>
      </c>
      <c r="AN722" s="770" t="s">
        <v>42</v>
      </c>
      <c r="AO722" s="770" t="s">
        <v>493</v>
      </c>
      <c r="AP722" s="770" t="s">
        <v>504</v>
      </c>
      <c r="AQ722" s="770" t="s">
        <v>501</v>
      </c>
      <c r="AR722" s="1010" t="s">
        <v>502</v>
      </c>
      <c r="AS722" s="771">
        <v>3006.788707</v>
      </c>
      <c r="AT722" s="771">
        <v>1827.163254</v>
      </c>
      <c r="AU722" s="771">
        <v>4621.492909</v>
      </c>
      <c r="AV722" s="989" t="s">
        <v>233</v>
      </c>
      <c r="AW722" s="714"/>
    </row>
    <row r="723">
      <c r="A723" s="761"/>
      <c r="B723" s="769" t="s">
        <v>493</v>
      </c>
      <c r="C723" s="770" t="s">
        <v>11</v>
      </c>
      <c r="D723" s="770" t="s">
        <v>494</v>
      </c>
      <c r="E723" s="770" t="s">
        <v>512</v>
      </c>
      <c r="F723" s="770" t="s">
        <v>523</v>
      </c>
      <c r="G723" s="770" t="s">
        <v>103</v>
      </c>
      <c r="H723" s="770">
        <v>2019.0</v>
      </c>
      <c r="I723" s="771">
        <v>0.0</v>
      </c>
      <c r="J723" s="771">
        <v>0.0</v>
      </c>
      <c r="K723" s="772">
        <v>0.0</v>
      </c>
      <c r="M723" s="769" t="s">
        <v>493</v>
      </c>
      <c r="N723" s="770" t="s">
        <v>11</v>
      </c>
      <c r="O723" s="770" t="s">
        <v>494</v>
      </c>
      <c r="P723" s="770" t="s">
        <v>512</v>
      </c>
      <c r="Q723" s="770" t="s">
        <v>523</v>
      </c>
      <c r="R723" s="770" t="s">
        <v>497</v>
      </c>
      <c r="S723" s="770">
        <v>2019.0</v>
      </c>
      <c r="T723" s="771">
        <v>0.0</v>
      </c>
      <c r="U723" s="771">
        <v>0.0</v>
      </c>
      <c r="V723" s="772">
        <v>0.0</v>
      </c>
      <c r="X723" s="769" t="s">
        <v>519</v>
      </c>
      <c r="Y723" s="770" t="s">
        <v>494</v>
      </c>
      <c r="Z723" s="770" t="s">
        <v>513</v>
      </c>
      <c r="AA723" s="770" t="s">
        <v>42</v>
      </c>
      <c r="AB723" s="770" t="s">
        <v>493</v>
      </c>
      <c r="AC723" s="770" t="s">
        <v>103</v>
      </c>
      <c r="AD723" s="770" t="s">
        <v>501</v>
      </c>
      <c r="AE723" s="784" t="s">
        <v>502</v>
      </c>
      <c r="AF723" s="771">
        <v>1884.805775</v>
      </c>
      <c r="AG723" s="771">
        <v>1395.689839</v>
      </c>
      <c r="AH723" s="771">
        <v>2550.308958</v>
      </c>
      <c r="AI723" s="772" t="s">
        <v>233</v>
      </c>
      <c r="AK723" s="769" t="s">
        <v>519</v>
      </c>
      <c r="AL723" s="770" t="s">
        <v>494</v>
      </c>
      <c r="AM723" s="770" t="s">
        <v>513</v>
      </c>
      <c r="AN723" s="770" t="s">
        <v>42</v>
      </c>
      <c r="AO723" s="770" t="s">
        <v>493</v>
      </c>
      <c r="AP723" s="770" t="s">
        <v>504</v>
      </c>
      <c r="AQ723" s="770" t="s">
        <v>501</v>
      </c>
      <c r="AR723" s="784" t="s">
        <v>502</v>
      </c>
      <c r="AS723" s="771">
        <v>438.6252261</v>
      </c>
      <c r="AT723" s="771">
        <v>324.7999233</v>
      </c>
      <c r="AU723" s="771">
        <v>593.498735</v>
      </c>
      <c r="AV723" s="989" t="s">
        <v>233</v>
      </c>
      <c r="AW723" s="714"/>
    </row>
    <row r="724">
      <c r="A724" s="761"/>
      <c r="B724" s="769" t="s">
        <v>493</v>
      </c>
      <c r="C724" s="770" t="s">
        <v>632</v>
      </c>
      <c r="D724" s="770" t="s">
        <v>494</v>
      </c>
      <c r="E724" s="770" t="s">
        <v>495</v>
      </c>
      <c r="F724" s="770" t="s">
        <v>496</v>
      </c>
      <c r="G724" s="770" t="s">
        <v>103</v>
      </c>
      <c r="H724" s="770">
        <v>2019.0</v>
      </c>
      <c r="I724" s="771">
        <v>31820.38706</v>
      </c>
      <c r="J724" s="771">
        <v>40774.67217</v>
      </c>
      <c r="K724" s="772">
        <v>24925.15058</v>
      </c>
      <c r="M724" s="769" t="s">
        <v>493</v>
      </c>
      <c r="N724" s="770" t="s">
        <v>632</v>
      </c>
      <c r="O724" s="770" t="s">
        <v>494</v>
      </c>
      <c r="P724" s="770" t="s">
        <v>495</v>
      </c>
      <c r="Q724" s="770" t="s">
        <v>496</v>
      </c>
      <c r="R724" s="770" t="s">
        <v>497</v>
      </c>
      <c r="S724" s="770">
        <v>2019.0</v>
      </c>
      <c r="T724" s="771">
        <v>1230.481597</v>
      </c>
      <c r="U724" s="771">
        <v>1576.740208</v>
      </c>
      <c r="V724" s="772">
        <v>963.8455693</v>
      </c>
      <c r="X724" s="769" t="s">
        <v>521</v>
      </c>
      <c r="Y724" s="770" t="s">
        <v>494</v>
      </c>
      <c r="Z724" s="770" t="s">
        <v>499</v>
      </c>
      <c r="AA724" s="770" t="s">
        <v>42</v>
      </c>
      <c r="AB724" s="770" t="s">
        <v>493</v>
      </c>
      <c r="AC724" s="770" t="s">
        <v>103</v>
      </c>
      <c r="AD724" s="770" t="s">
        <v>501</v>
      </c>
      <c r="AE724" s="784" t="s">
        <v>502</v>
      </c>
      <c r="AF724" s="771">
        <v>0.0</v>
      </c>
      <c r="AG724" s="771">
        <v>0.0</v>
      </c>
      <c r="AH724" s="771">
        <v>0.0</v>
      </c>
      <c r="AI724" s="772" t="s">
        <v>233</v>
      </c>
      <c r="AK724" s="769" t="s">
        <v>521</v>
      </c>
      <c r="AL724" s="770" t="s">
        <v>494</v>
      </c>
      <c r="AM724" s="770" t="s">
        <v>499</v>
      </c>
      <c r="AN724" s="770" t="s">
        <v>42</v>
      </c>
      <c r="AO724" s="770" t="s">
        <v>493</v>
      </c>
      <c r="AP724" s="770" t="s">
        <v>504</v>
      </c>
      <c r="AQ724" s="770" t="s">
        <v>501</v>
      </c>
      <c r="AR724" s="784" t="s">
        <v>502</v>
      </c>
      <c r="AS724" s="771">
        <v>0.0</v>
      </c>
      <c r="AT724" s="771">
        <v>0.0</v>
      </c>
      <c r="AU724" s="771">
        <v>0.0</v>
      </c>
      <c r="AV724" s="989" t="s">
        <v>233</v>
      </c>
      <c r="AW724" s="714"/>
    </row>
    <row r="725">
      <c r="A725" s="761"/>
      <c r="B725" s="769" t="s">
        <v>493</v>
      </c>
      <c r="C725" s="770" t="s">
        <v>632</v>
      </c>
      <c r="D725" s="770" t="s">
        <v>494</v>
      </c>
      <c r="E725" s="770" t="s">
        <v>505</v>
      </c>
      <c r="F725" s="770" t="s">
        <v>496</v>
      </c>
      <c r="G725" s="770" t="s">
        <v>103</v>
      </c>
      <c r="H725" s="770">
        <v>2019.0</v>
      </c>
      <c r="I725" s="771">
        <v>11109.00054</v>
      </c>
      <c r="J725" s="771">
        <v>14324.64263</v>
      </c>
      <c r="K725" s="772">
        <v>8662.23761</v>
      </c>
      <c r="M725" s="769" t="s">
        <v>493</v>
      </c>
      <c r="N725" s="770" t="s">
        <v>632</v>
      </c>
      <c r="O725" s="770" t="s">
        <v>494</v>
      </c>
      <c r="P725" s="770" t="s">
        <v>505</v>
      </c>
      <c r="Q725" s="770" t="s">
        <v>496</v>
      </c>
      <c r="R725" s="770" t="s">
        <v>497</v>
      </c>
      <c r="S725" s="770">
        <v>2019.0</v>
      </c>
      <c r="T725" s="771">
        <v>106507.7279</v>
      </c>
      <c r="U725" s="771">
        <v>137337.7501</v>
      </c>
      <c r="V725" s="772">
        <v>83049.34754</v>
      </c>
      <c r="X725" s="769" t="s">
        <v>521</v>
      </c>
      <c r="Y725" s="770" t="s">
        <v>494</v>
      </c>
      <c r="Z725" s="770" t="s">
        <v>507</v>
      </c>
      <c r="AA725" s="770" t="s">
        <v>42</v>
      </c>
      <c r="AB725" s="770" t="s">
        <v>493</v>
      </c>
      <c r="AC725" s="770" t="s">
        <v>103</v>
      </c>
      <c r="AD725" s="770" t="s">
        <v>501</v>
      </c>
      <c r="AE725" s="784" t="s">
        <v>502</v>
      </c>
      <c r="AF725" s="771">
        <v>2.107528809</v>
      </c>
      <c r="AG725" s="771">
        <v>0.5361529346</v>
      </c>
      <c r="AH725" s="771">
        <v>5.106932869</v>
      </c>
      <c r="AI725" s="772" t="s">
        <v>233</v>
      </c>
      <c r="AK725" s="769" t="s">
        <v>521</v>
      </c>
      <c r="AL725" s="770" t="s">
        <v>494</v>
      </c>
      <c r="AM725" s="770" t="s">
        <v>507</v>
      </c>
      <c r="AN725" s="770" t="s">
        <v>42</v>
      </c>
      <c r="AO725" s="770" t="s">
        <v>493</v>
      </c>
      <c r="AP725" s="770" t="s">
        <v>504</v>
      </c>
      <c r="AQ725" s="770" t="s">
        <v>501</v>
      </c>
      <c r="AR725" s="784" t="s">
        <v>502</v>
      </c>
      <c r="AS725" s="771">
        <v>2.725094777</v>
      </c>
      <c r="AT725" s="771">
        <v>0.6932610152</v>
      </c>
      <c r="AU725" s="771">
        <v>6.603409656</v>
      </c>
      <c r="AV725" s="989" t="s">
        <v>233</v>
      </c>
      <c r="AW725" s="714"/>
    </row>
    <row r="726">
      <c r="A726" s="761"/>
      <c r="B726" s="769" t="s">
        <v>493</v>
      </c>
      <c r="C726" s="770" t="s">
        <v>632</v>
      </c>
      <c r="D726" s="770" t="s">
        <v>494</v>
      </c>
      <c r="E726" s="770" t="s">
        <v>508</v>
      </c>
      <c r="F726" s="770" t="s">
        <v>496</v>
      </c>
      <c r="G726" s="770" t="s">
        <v>103</v>
      </c>
      <c r="H726" s="770">
        <v>2019.0</v>
      </c>
      <c r="I726" s="771">
        <v>8590.907918</v>
      </c>
      <c r="J726" s="771">
        <v>11027.91523</v>
      </c>
      <c r="K726" s="772">
        <v>6715.517789</v>
      </c>
      <c r="M726" s="769" t="s">
        <v>493</v>
      </c>
      <c r="N726" s="770" t="s">
        <v>632</v>
      </c>
      <c r="O726" s="770" t="s">
        <v>494</v>
      </c>
      <c r="P726" s="770" t="s">
        <v>508</v>
      </c>
      <c r="Q726" s="770" t="s">
        <v>496</v>
      </c>
      <c r="R726" s="770" t="s">
        <v>497</v>
      </c>
      <c r="S726" s="770">
        <v>2019.0</v>
      </c>
      <c r="T726" s="771">
        <v>1778.806661</v>
      </c>
      <c r="U726" s="771">
        <v>2283.405812</v>
      </c>
      <c r="V726" s="772">
        <v>1390.494217</v>
      </c>
      <c r="X726" s="769" t="s">
        <v>521</v>
      </c>
      <c r="Y726" s="770" t="s">
        <v>494</v>
      </c>
      <c r="Z726" s="770" t="s">
        <v>509</v>
      </c>
      <c r="AA726" s="770" t="s">
        <v>42</v>
      </c>
      <c r="AB726" s="770" t="s">
        <v>493</v>
      </c>
      <c r="AC726" s="770" t="s">
        <v>103</v>
      </c>
      <c r="AD726" s="770" t="s">
        <v>501</v>
      </c>
      <c r="AE726" s="784" t="s">
        <v>502</v>
      </c>
      <c r="AF726" s="771">
        <v>0.0</v>
      </c>
      <c r="AG726" s="771">
        <v>0.0</v>
      </c>
      <c r="AH726" s="771">
        <v>0.0</v>
      </c>
      <c r="AI726" s="772" t="s">
        <v>233</v>
      </c>
      <c r="AK726" s="769" t="s">
        <v>521</v>
      </c>
      <c r="AL726" s="770" t="s">
        <v>494</v>
      </c>
      <c r="AM726" s="770" t="s">
        <v>509</v>
      </c>
      <c r="AN726" s="770" t="s">
        <v>42</v>
      </c>
      <c r="AO726" s="770" t="s">
        <v>493</v>
      </c>
      <c r="AP726" s="770" t="s">
        <v>504</v>
      </c>
      <c r="AQ726" s="770" t="s">
        <v>501</v>
      </c>
      <c r="AR726" s="784" t="s">
        <v>502</v>
      </c>
      <c r="AS726" s="771">
        <v>0.0</v>
      </c>
      <c r="AT726" s="771">
        <v>0.0</v>
      </c>
      <c r="AU726" s="771">
        <v>0.0</v>
      </c>
      <c r="AV726" s="989" t="s">
        <v>233</v>
      </c>
      <c r="AW726" s="714"/>
    </row>
    <row r="727">
      <c r="A727" s="761"/>
      <c r="B727" s="769" t="s">
        <v>493</v>
      </c>
      <c r="C727" s="770" t="s">
        <v>632</v>
      </c>
      <c r="D727" s="770" t="s">
        <v>494</v>
      </c>
      <c r="E727" s="770" t="s">
        <v>512</v>
      </c>
      <c r="F727" s="770" t="s">
        <v>496</v>
      </c>
      <c r="G727" s="770" t="s">
        <v>103</v>
      </c>
      <c r="H727" s="770">
        <v>2019.0</v>
      </c>
      <c r="I727" s="771">
        <v>2545.070735</v>
      </c>
      <c r="J727" s="771">
        <v>3284.202645</v>
      </c>
      <c r="K727" s="772">
        <v>1985.133226</v>
      </c>
      <c r="M727" s="769" t="s">
        <v>493</v>
      </c>
      <c r="N727" s="770" t="s">
        <v>632</v>
      </c>
      <c r="O727" s="770" t="s">
        <v>494</v>
      </c>
      <c r="P727" s="770" t="s">
        <v>512</v>
      </c>
      <c r="Q727" s="770" t="s">
        <v>496</v>
      </c>
      <c r="R727" s="770" t="s">
        <v>497</v>
      </c>
      <c r="S727" s="770">
        <v>2019.0</v>
      </c>
      <c r="T727" s="771">
        <v>8247.07012</v>
      </c>
      <c r="U727" s="771">
        <v>10642.15981</v>
      </c>
      <c r="V727" s="772">
        <v>6432.643575</v>
      </c>
      <c r="X727" s="769" t="s">
        <v>521</v>
      </c>
      <c r="Y727" s="770" t="s">
        <v>494</v>
      </c>
      <c r="Z727" s="770" t="s">
        <v>513</v>
      </c>
      <c r="AA727" s="770" t="s">
        <v>42</v>
      </c>
      <c r="AB727" s="770" t="s">
        <v>493</v>
      </c>
      <c r="AC727" s="770" t="s">
        <v>103</v>
      </c>
      <c r="AD727" s="770" t="s">
        <v>501</v>
      </c>
      <c r="AE727" s="784" t="s">
        <v>502</v>
      </c>
      <c r="AF727" s="771">
        <v>9.668580475</v>
      </c>
      <c r="AG727" s="771">
        <v>2.252412729</v>
      </c>
      <c r="AH727" s="771">
        <v>26.10865156</v>
      </c>
      <c r="AI727" s="772" t="s">
        <v>233</v>
      </c>
      <c r="AK727" s="769" t="s">
        <v>521</v>
      </c>
      <c r="AL727" s="770" t="s">
        <v>494</v>
      </c>
      <c r="AM727" s="770" t="s">
        <v>513</v>
      </c>
      <c r="AN727" s="770" t="s">
        <v>42</v>
      </c>
      <c r="AO727" s="770" t="s">
        <v>493</v>
      </c>
      <c r="AP727" s="770" t="s">
        <v>504</v>
      </c>
      <c r="AQ727" s="770" t="s">
        <v>501</v>
      </c>
      <c r="AR727" s="784" t="s">
        <v>502</v>
      </c>
      <c r="AS727" s="771">
        <v>2.2500373</v>
      </c>
      <c r="AT727" s="771">
        <v>0.5241733953</v>
      </c>
      <c r="AU727" s="771">
        <v>6.075911558</v>
      </c>
      <c r="AV727" s="989" t="s">
        <v>233</v>
      </c>
      <c r="AW727" s="714"/>
    </row>
    <row r="728">
      <c r="A728" s="761"/>
      <c r="B728" s="769" t="s">
        <v>493</v>
      </c>
      <c r="C728" s="770" t="s">
        <v>632</v>
      </c>
      <c r="D728" s="770" t="s">
        <v>494</v>
      </c>
      <c r="E728" s="770" t="s">
        <v>495</v>
      </c>
      <c r="F728" s="770" t="s">
        <v>514</v>
      </c>
      <c r="G728" s="770" t="s">
        <v>103</v>
      </c>
      <c r="H728" s="770">
        <v>2019.0</v>
      </c>
      <c r="I728" s="771">
        <v>27220.14121</v>
      </c>
      <c r="J728" s="771">
        <v>34829.67411</v>
      </c>
      <c r="K728" s="772">
        <v>21167.1468</v>
      </c>
      <c r="M728" s="769" t="s">
        <v>493</v>
      </c>
      <c r="N728" s="770" t="s">
        <v>632</v>
      </c>
      <c r="O728" s="770" t="s">
        <v>494</v>
      </c>
      <c r="P728" s="770" t="s">
        <v>495</v>
      </c>
      <c r="Q728" s="770" t="s">
        <v>514</v>
      </c>
      <c r="R728" s="770" t="s">
        <v>497</v>
      </c>
      <c r="S728" s="770">
        <v>2019.0</v>
      </c>
      <c r="T728" s="771">
        <v>1052.591936</v>
      </c>
      <c r="U728" s="771">
        <v>1346.849519</v>
      </c>
      <c r="V728" s="772">
        <v>818.5250714</v>
      </c>
      <c r="X728" s="769" t="s">
        <v>523</v>
      </c>
      <c r="Y728" s="770" t="s">
        <v>494</v>
      </c>
      <c r="Z728" s="770" t="s">
        <v>507</v>
      </c>
      <c r="AA728" s="770" t="s">
        <v>42</v>
      </c>
      <c r="AB728" s="770" t="s">
        <v>493</v>
      </c>
      <c r="AC728" s="770" t="s">
        <v>103</v>
      </c>
      <c r="AD728" s="770" t="s">
        <v>501</v>
      </c>
      <c r="AE728" s="784" t="s">
        <v>502</v>
      </c>
      <c r="AF728" s="771">
        <v>16.93959217</v>
      </c>
      <c r="AG728" s="771">
        <v>6.680542943</v>
      </c>
      <c r="AH728" s="771">
        <v>32.05230022</v>
      </c>
      <c r="AI728" s="772" t="s">
        <v>233</v>
      </c>
      <c r="AK728" s="769" t="s">
        <v>523</v>
      </c>
      <c r="AL728" s="770" t="s">
        <v>494</v>
      </c>
      <c r="AM728" s="770" t="s">
        <v>507</v>
      </c>
      <c r="AN728" s="770" t="s">
        <v>42</v>
      </c>
      <c r="AO728" s="770" t="s">
        <v>493</v>
      </c>
      <c r="AP728" s="770" t="s">
        <v>504</v>
      </c>
      <c r="AQ728" s="770" t="s">
        <v>501</v>
      </c>
      <c r="AR728" s="784" t="s">
        <v>502</v>
      </c>
      <c r="AS728" s="771">
        <v>21.90337515</v>
      </c>
      <c r="AT728" s="771">
        <v>8.638132302</v>
      </c>
      <c r="AU728" s="771">
        <v>41.4445371</v>
      </c>
      <c r="AV728" s="989" t="s">
        <v>233</v>
      </c>
      <c r="AW728" s="714"/>
    </row>
    <row r="729">
      <c r="A729" s="761"/>
      <c r="B729" s="769" t="s">
        <v>493</v>
      </c>
      <c r="C729" s="770" t="s">
        <v>632</v>
      </c>
      <c r="D729" s="770" t="s">
        <v>494</v>
      </c>
      <c r="E729" s="770" t="s">
        <v>505</v>
      </c>
      <c r="F729" s="770" t="s">
        <v>514</v>
      </c>
      <c r="G729" s="770" t="s">
        <v>103</v>
      </c>
      <c r="H729" s="770">
        <v>2019.0</v>
      </c>
      <c r="I729" s="771">
        <v>10205.22645</v>
      </c>
      <c r="J729" s="771">
        <v>13220.73627</v>
      </c>
      <c r="K729" s="772">
        <v>7883.530144</v>
      </c>
      <c r="M729" s="769" t="s">
        <v>493</v>
      </c>
      <c r="N729" s="770" t="s">
        <v>632</v>
      </c>
      <c r="O729" s="770" t="s">
        <v>494</v>
      </c>
      <c r="P729" s="770" t="s">
        <v>505</v>
      </c>
      <c r="Q729" s="770" t="s">
        <v>514</v>
      </c>
      <c r="R729" s="770" t="s">
        <v>497</v>
      </c>
      <c r="S729" s="770">
        <v>2019.0</v>
      </c>
      <c r="T729" s="771">
        <v>97842.77877</v>
      </c>
      <c r="U729" s="771">
        <v>126754.0294</v>
      </c>
      <c r="V729" s="772">
        <v>75583.47672</v>
      </c>
      <c r="X729" s="769" t="s">
        <v>523</v>
      </c>
      <c r="Y729" s="770" t="s">
        <v>494</v>
      </c>
      <c r="Z729" s="770" t="s">
        <v>513</v>
      </c>
      <c r="AA729" s="770" t="s">
        <v>42</v>
      </c>
      <c r="AB729" s="770" t="s">
        <v>493</v>
      </c>
      <c r="AC729" s="770" t="s">
        <v>103</v>
      </c>
      <c r="AD729" s="770" t="s">
        <v>501</v>
      </c>
      <c r="AE729" s="784" t="s">
        <v>502</v>
      </c>
      <c r="AF729" s="771">
        <v>27.24434138</v>
      </c>
      <c r="AG729" s="771">
        <v>11.17353854</v>
      </c>
      <c r="AH729" s="771">
        <v>50.75672815</v>
      </c>
      <c r="AI729" s="772" t="s">
        <v>233</v>
      </c>
      <c r="AK729" s="769" t="s">
        <v>523</v>
      </c>
      <c r="AL729" s="770" t="s">
        <v>494</v>
      </c>
      <c r="AM729" s="770" t="s">
        <v>513</v>
      </c>
      <c r="AN729" s="770" t="s">
        <v>42</v>
      </c>
      <c r="AO729" s="770" t="s">
        <v>493</v>
      </c>
      <c r="AP729" s="770" t="s">
        <v>504</v>
      </c>
      <c r="AQ729" s="770" t="s">
        <v>501</v>
      </c>
      <c r="AR729" s="784" t="s">
        <v>502</v>
      </c>
      <c r="AS729" s="771">
        <v>6.340205211</v>
      </c>
      <c r="AT729" s="771">
        <v>2.600265731</v>
      </c>
      <c r="AU729" s="771">
        <v>11.81192336</v>
      </c>
      <c r="AV729" s="989" t="s">
        <v>233</v>
      </c>
      <c r="AW729" s="714"/>
    </row>
    <row r="730">
      <c r="A730" s="761"/>
      <c r="B730" s="769" t="s">
        <v>493</v>
      </c>
      <c r="C730" s="770" t="s">
        <v>632</v>
      </c>
      <c r="D730" s="770" t="s">
        <v>494</v>
      </c>
      <c r="E730" s="770" t="s">
        <v>508</v>
      </c>
      <c r="F730" s="770" t="s">
        <v>514</v>
      </c>
      <c r="G730" s="770" t="s">
        <v>103</v>
      </c>
      <c r="H730" s="770">
        <v>2019.0</v>
      </c>
      <c r="I730" s="771">
        <v>7102.352323</v>
      </c>
      <c r="J730" s="771">
        <v>9134.412035</v>
      </c>
      <c r="K730" s="772">
        <v>5529.498547</v>
      </c>
      <c r="M730" s="769" t="s">
        <v>493</v>
      </c>
      <c r="N730" s="770" t="s">
        <v>632</v>
      </c>
      <c r="O730" s="770" t="s">
        <v>494</v>
      </c>
      <c r="P730" s="770" t="s">
        <v>508</v>
      </c>
      <c r="Q730" s="770" t="s">
        <v>514</v>
      </c>
      <c r="R730" s="770" t="s">
        <v>497</v>
      </c>
      <c r="S730" s="770">
        <v>2019.0</v>
      </c>
      <c r="T730" s="771">
        <v>1470.590972</v>
      </c>
      <c r="U730" s="771">
        <v>1891.342932</v>
      </c>
      <c r="V730" s="772">
        <v>1144.920763</v>
      </c>
      <c r="X730" s="769" t="s">
        <v>496</v>
      </c>
      <c r="Y730" s="770" t="s">
        <v>494</v>
      </c>
      <c r="Z730" s="770" t="s">
        <v>499</v>
      </c>
      <c r="AA730" s="770" t="s">
        <v>633</v>
      </c>
      <c r="AB730" s="770" t="s">
        <v>493</v>
      </c>
      <c r="AC730" s="770" t="s">
        <v>103</v>
      </c>
      <c r="AD730" s="770" t="s">
        <v>501</v>
      </c>
      <c r="AE730" s="784" t="s">
        <v>502</v>
      </c>
      <c r="AF730" s="771">
        <v>12292.76889</v>
      </c>
      <c r="AG730" s="771">
        <v>9854.887378</v>
      </c>
      <c r="AH730" s="771">
        <v>15529.58211</v>
      </c>
      <c r="AI730" s="772" t="s">
        <v>233</v>
      </c>
      <c r="AK730" s="769" t="s">
        <v>496</v>
      </c>
      <c r="AL730" s="770" t="s">
        <v>494</v>
      </c>
      <c r="AM730" s="770" t="s">
        <v>499</v>
      </c>
      <c r="AN730" s="770" t="s">
        <v>633</v>
      </c>
      <c r="AO730" s="770" t="s">
        <v>493</v>
      </c>
      <c r="AP730" s="770" t="s">
        <v>504</v>
      </c>
      <c r="AQ730" s="770" t="s">
        <v>501</v>
      </c>
      <c r="AR730" s="1010" t="s">
        <v>502</v>
      </c>
      <c r="AS730" s="771">
        <v>195034.7615</v>
      </c>
      <c r="AT730" s="771">
        <v>156355.7915</v>
      </c>
      <c r="AU730" s="771">
        <v>246389.4319</v>
      </c>
      <c r="AV730" s="989" t="s">
        <v>233</v>
      </c>
      <c r="AW730" s="714"/>
    </row>
    <row r="731">
      <c r="A731" s="761"/>
      <c r="B731" s="769" t="s">
        <v>493</v>
      </c>
      <c r="C731" s="770" t="s">
        <v>632</v>
      </c>
      <c r="D731" s="770" t="s">
        <v>494</v>
      </c>
      <c r="E731" s="770" t="s">
        <v>512</v>
      </c>
      <c r="F731" s="770" t="s">
        <v>514</v>
      </c>
      <c r="G731" s="770" t="s">
        <v>103</v>
      </c>
      <c r="H731" s="770">
        <v>2019.0</v>
      </c>
      <c r="I731" s="771">
        <v>2256.424965</v>
      </c>
      <c r="J731" s="771">
        <v>2922.932241</v>
      </c>
      <c r="K731" s="772">
        <v>1785.357101</v>
      </c>
      <c r="M731" s="769" t="s">
        <v>493</v>
      </c>
      <c r="N731" s="770" t="s">
        <v>632</v>
      </c>
      <c r="O731" s="770" t="s">
        <v>494</v>
      </c>
      <c r="P731" s="770" t="s">
        <v>512</v>
      </c>
      <c r="Q731" s="770" t="s">
        <v>514</v>
      </c>
      <c r="R731" s="770" t="s">
        <v>497</v>
      </c>
      <c r="S731" s="770">
        <v>2019.0</v>
      </c>
      <c r="T731" s="771">
        <v>7311.739768</v>
      </c>
      <c r="U731" s="771">
        <v>9471.495946</v>
      </c>
      <c r="V731" s="772">
        <v>5785.287223</v>
      </c>
      <c r="X731" s="769" t="s">
        <v>496</v>
      </c>
      <c r="Y731" s="770" t="s">
        <v>494</v>
      </c>
      <c r="Z731" s="770" t="s">
        <v>507</v>
      </c>
      <c r="AA731" s="770" t="s">
        <v>633</v>
      </c>
      <c r="AB731" s="770" t="s">
        <v>493</v>
      </c>
      <c r="AC731" s="770" t="s">
        <v>103</v>
      </c>
      <c r="AD731" s="770" t="s">
        <v>501</v>
      </c>
      <c r="AE731" s="784" t="s">
        <v>502</v>
      </c>
      <c r="AF731" s="771">
        <v>14193.58061</v>
      </c>
      <c r="AG731" s="771">
        <v>11407.31421</v>
      </c>
      <c r="AH731" s="771">
        <v>17883.26347</v>
      </c>
      <c r="AI731" s="772" t="s">
        <v>233</v>
      </c>
      <c r="AK731" s="769" t="s">
        <v>496</v>
      </c>
      <c r="AL731" s="770" t="s">
        <v>494</v>
      </c>
      <c r="AM731" s="770" t="s">
        <v>507</v>
      </c>
      <c r="AN731" s="770" t="s">
        <v>633</v>
      </c>
      <c r="AO731" s="770" t="s">
        <v>493</v>
      </c>
      <c r="AP731" s="770" t="s">
        <v>504</v>
      </c>
      <c r="AQ731" s="770" t="s">
        <v>501</v>
      </c>
      <c r="AR731" s="1010" t="s">
        <v>502</v>
      </c>
      <c r="AS731" s="771">
        <v>5049.393638</v>
      </c>
      <c r="AT731" s="771">
        <v>4058.173999</v>
      </c>
      <c r="AU731" s="771">
        <v>6362.005421</v>
      </c>
      <c r="AV731" s="989" t="s">
        <v>233</v>
      </c>
      <c r="AW731" s="714"/>
    </row>
    <row r="732">
      <c r="A732" s="761"/>
      <c r="B732" s="769" t="s">
        <v>493</v>
      </c>
      <c r="C732" s="770" t="s">
        <v>632</v>
      </c>
      <c r="D732" s="770" t="s">
        <v>494</v>
      </c>
      <c r="E732" s="770" t="s">
        <v>495</v>
      </c>
      <c r="F732" s="770" t="s">
        <v>518</v>
      </c>
      <c r="G732" s="770" t="s">
        <v>103</v>
      </c>
      <c r="H732" s="770">
        <v>2019.0</v>
      </c>
      <c r="I732" s="771">
        <v>2679.079451</v>
      </c>
      <c r="J732" s="771">
        <v>4238.339596</v>
      </c>
      <c r="K732" s="772">
        <v>1557.952347</v>
      </c>
      <c r="M732" s="769" t="s">
        <v>493</v>
      </c>
      <c r="N732" s="770" t="s">
        <v>632</v>
      </c>
      <c r="O732" s="770" t="s">
        <v>494</v>
      </c>
      <c r="P732" s="770" t="s">
        <v>495</v>
      </c>
      <c r="Q732" s="770" t="s">
        <v>518</v>
      </c>
      <c r="R732" s="770" t="s">
        <v>497</v>
      </c>
      <c r="S732" s="770">
        <v>2019.0</v>
      </c>
      <c r="T732" s="771">
        <v>103.5989271</v>
      </c>
      <c r="U732" s="771">
        <v>163.8948911</v>
      </c>
      <c r="V732" s="772">
        <v>60.24539197</v>
      </c>
      <c r="X732" s="769" t="s">
        <v>496</v>
      </c>
      <c r="Y732" s="770" t="s">
        <v>494</v>
      </c>
      <c r="Z732" s="770" t="s">
        <v>509</v>
      </c>
      <c r="AA732" s="770" t="s">
        <v>633</v>
      </c>
      <c r="AB732" s="770" t="s">
        <v>493</v>
      </c>
      <c r="AC732" s="770" t="s">
        <v>103</v>
      </c>
      <c r="AD732" s="770" t="s">
        <v>501</v>
      </c>
      <c r="AE732" s="784" t="s">
        <v>502</v>
      </c>
      <c r="AF732" s="771">
        <v>3782.587311</v>
      </c>
      <c r="AG732" s="771">
        <v>3028.783655</v>
      </c>
      <c r="AH732" s="771">
        <v>4757.091753</v>
      </c>
      <c r="AI732" s="772" t="s">
        <v>233</v>
      </c>
      <c r="AK732" s="769" t="s">
        <v>496</v>
      </c>
      <c r="AL732" s="770" t="s">
        <v>494</v>
      </c>
      <c r="AM732" s="770" t="s">
        <v>509</v>
      </c>
      <c r="AN732" s="770" t="s">
        <v>633</v>
      </c>
      <c r="AO732" s="770" t="s">
        <v>493</v>
      </c>
      <c r="AP732" s="770" t="s">
        <v>504</v>
      </c>
      <c r="AQ732" s="770" t="s">
        <v>501</v>
      </c>
      <c r="AR732" s="1010" t="s">
        <v>502</v>
      </c>
      <c r="AS732" s="771">
        <v>20530.87706</v>
      </c>
      <c r="AT732" s="771">
        <v>16439.43147</v>
      </c>
      <c r="AU732" s="771">
        <v>25820.22778</v>
      </c>
      <c r="AV732" s="989" t="s">
        <v>233</v>
      </c>
      <c r="AW732" s="714"/>
    </row>
    <row r="733">
      <c r="A733" s="761"/>
      <c r="B733" s="769" t="s">
        <v>493</v>
      </c>
      <c r="C733" s="770" t="s">
        <v>632</v>
      </c>
      <c r="D733" s="770" t="s">
        <v>494</v>
      </c>
      <c r="E733" s="770" t="s">
        <v>505</v>
      </c>
      <c r="F733" s="770" t="s">
        <v>518</v>
      </c>
      <c r="G733" s="770" t="s">
        <v>103</v>
      </c>
      <c r="H733" s="770">
        <v>2019.0</v>
      </c>
      <c r="I733" s="771">
        <v>69.87584405</v>
      </c>
      <c r="J733" s="771">
        <v>121.5446725</v>
      </c>
      <c r="K733" s="772">
        <v>35.65575758</v>
      </c>
      <c r="M733" s="769" t="s">
        <v>493</v>
      </c>
      <c r="N733" s="770" t="s">
        <v>632</v>
      </c>
      <c r="O733" s="770" t="s">
        <v>494</v>
      </c>
      <c r="P733" s="770" t="s">
        <v>505</v>
      </c>
      <c r="Q733" s="770" t="s">
        <v>518</v>
      </c>
      <c r="R733" s="770" t="s">
        <v>497</v>
      </c>
      <c r="S733" s="770">
        <v>2019.0</v>
      </c>
      <c r="T733" s="771">
        <v>669.9358201</v>
      </c>
      <c r="U733" s="771">
        <v>1165.311574</v>
      </c>
      <c r="V733" s="772">
        <v>341.8501704</v>
      </c>
      <c r="X733" s="769" t="s">
        <v>496</v>
      </c>
      <c r="Y733" s="770" t="s">
        <v>494</v>
      </c>
      <c r="Z733" s="770" t="s">
        <v>513</v>
      </c>
      <c r="AA733" s="770" t="s">
        <v>633</v>
      </c>
      <c r="AB733" s="770" t="s">
        <v>493</v>
      </c>
      <c r="AC733" s="770" t="s">
        <v>103</v>
      </c>
      <c r="AD733" s="770" t="s">
        <v>501</v>
      </c>
      <c r="AE733" s="784" t="s">
        <v>502</v>
      </c>
      <c r="AF733" s="771">
        <v>53849.62524</v>
      </c>
      <c r="AG733" s="771">
        <v>43426.70099</v>
      </c>
      <c r="AH733" s="771">
        <v>67331.82872</v>
      </c>
      <c r="AI733" s="772" t="s">
        <v>233</v>
      </c>
      <c r="AK733" s="769" t="s">
        <v>496</v>
      </c>
      <c r="AL733" s="770" t="s">
        <v>494</v>
      </c>
      <c r="AM733" s="770" t="s">
        <v>513</v>
      </c>
      <c r="AN733" s="770" t="s">
        <v>633</v>
      </c>
      <c r="AO733" s="770" t="s">
        <v>493</v>
      </c>
      <c r="AP733" s="770" t="s">
        <v>504</v>
      </c>
      <c r="AQ733" s="770" t="s">
        <v>501</v>
      </c>
      <c r="AR733" s="1010" t="s">
        <v>502</v>
      </c>
      <c r="AS733" s="771">
        <v>3952.769459</v>
      </c>
      <c r="AT733" s="771">
        <v>3187.686759</v>
      </c>
      <c r="AU733" s="771">
        <v>4942.415012</v>
      </c>
      <c r="AV733" s="989" t="s">
        <v>233</v>
      </c>
      <c r="AW733" s="714"/>
    </row>
    <row r="734">
      <c r="A734" s="761"/>
      <c r="B734" s="769" t="s">
        <v>493</v>
      </c>
      <c r="C734" s="770" t="s">
        <v>632</v>
      </c>
      <c r="D734" s="770" t="s">
        <v>494</v>
      </c>
      <c r="E734" s="770" t="s">
        <v>508</v>
      </c>
      <c r="F734" s="770" t="s">
        <v>518</v>
      </c>
      <c r="G734" s="770" t="s">
        <v>103</v>
      </c>
      <c r="H734" s="770">
        <v>2019.0</v>
      </c>
      <c r="I734" s="771">
        <v>1253.612785</v>
      </c>
      <c r="J734" s="771">
        <v>2189.568883</v>
      </c>
      <c r="K734" s="772">
        <v>621.6546859</v>
      </c>
      <c r="M734" s="769" t="s">
        <v>493</v>
      </c>
      <c r="N734" s="770" t="s">
        <v>632</v>
      </c>
      <c r="O734" s="770" t="s">
        <v>494</v>
      </c>
      <c r="P734" s="770" t="s">
        <v>508</v>
      </c>
      <c r="Q734" s="770" t="s">
        <v>518</v>
      </c>
      <c r="R734" s="770" t="s">
        <v>497</v>
      </c>
      <c r="S734" s="770">
        <v>2019.0</v>
      </c>
      <c r="T734" s="771">
        <v>259.5691623</v>
      </c>
      <c r="U734" s="771">
        <v>453.3653197</v>
      </c>
      <c r="V734" s="772">
        <v>128.7178849</v>
      </c>
      <c r="X734" s="769" t="s">
        <v>514</v>
      </c>
      <c r="Y734" s="770" t="s">
        <v>494</v>
      </c>
      <c r="Z734" s="770" t="s">
        <v>499</v>
      </c>
      <c r="AA734" s="770" t="s">
        <v>633</v>
      </c>
      <c r="AB734" s="770" t="s">
        <v>493</v>
      </c>
      <c r="AC734" s="770" t="s">
        <v>103</v>
      </c>
      <c r="AD734" s="770" t="s">
        <v>501</v>
      </c>
      <c r="AE734" s="784" t="s">
        <v>502</v>
      </c>
      <c r="AF734" s="771">
        <v>11417.1731</v>
      </c>
      <c r="AG734" s="771">
        <v>9003.2426</v>
      </c>
      <c r="AH734" s="771">
        <v>14298.6525</v>
      </c>
      <c r="AI734" s="772" t="s">
        <v>233</v>
      </c>
      <c r="AK734" s="769" t="s">
        <v>514</v>
      </c>
      <c r="AL734" s="770" t="s">
        <v>494</v>
      </c>
      <c r="AM734" s="770" t="s">
        <v>499</v>
      </c>
      <c r="AN734" s="770" t="s">
        <v>633</v>
      </c>
      <c r="AO734" s="770" t="s">
        <v>493</v>
      </c>
      <c r="AP734" s="770" t="s">
        <v>504</v>
      </c>
      <c r="AQ734" s="770" t="s">
        <v>501</v>
      </c>
      <c r="AR734" s="1010" t="s">
        <v>502</v>
      </c>
      <c r="AS734" s="771">
        <v>181142.7233</v>
      </c>
      <c r="AT734" s="771">
        <v>142843.7555</v>
      </c>
      <c r="AU734" s="771">
        <v>226859.7341</v>
      </c>
      <c r="AV734" s="989" t="s">
        <v>233</v>
      </c>
      <c r="AW734" s="714"/>
    </row>
    <row r="735">
      <c r="A735" s="761"/>
      <c r="B735" s="769" t="s">
        <v>493</v>
      </c>
      <c r="C735" s="770" t="s">
        <v>632</v>
      </c>
      <c r="D735" s="770" t="s">
        <v>494</v>
      </c>
      <c r="E735" s="770" t="s">
        <v>512</v>
      </c>
      <c r="F735" s="770" t="s">
        <v>518</v>
      </c>
      <c r="G735" s="770" t="s">
        <v>103</v>
      </c>
      <c r="H735" s="770">
        <v>2019.0</v>
      </c>
      <c r="I735" s="771">
        <v>126.5094824</v>
      </c>
      <c r="J735" s="771">
        <v>242.9388317</v>
      </c>
      <c r="K735" s="772">
        <v>55.80819983</v>
      </c>
      <c r="M735" s="769" t="s">
        <v>493</v>
      </c>
      <c r="N735" s="770" t="s">
        <v>632</v>
      </c>
      <c r="O735" s="770" t="s">
        <v>494</v>
      </c>
      <c r="P735" s="770" t="s">
        <v>512</v>
      </c>
      <c r="Q735" s="770" t="s">
        <v>518</v>
      </c>
      <c r="R735" s="770" t="s">
        <v>497</v>
      </c>
      <c r="S735" s="770">
        <v>2019.0</v>
      </c>
      <c r="T735" s="771">
        <v>409.9424657</v>
      </c>
      <c r="U735" s="771">
        <v>787.2211771</v>
      </c>
      <c r="V735" s="772">
        <v>180.8413931</v>
      </c>
      <c r="X735" s="769" t="s">
        <v>514</v>
      </c>
      <c r="Y735" s="770" t="s">
        <v>494</v>
      </c>
      <c r="Z735" s="770" t="s">
        <v>507</v>
      </c>
      <c r="AA735" s="770" t="s">
        <v>633</v>
      </c>
      <c r="AB735" s="770" t="s">
        <v>493</v>
      </c>
      <c r="AC735" s="770" t="s">
        <v>103</v>
      </c>
      <c r="AD735" s="770" t="s">
        <v>501</v>
      </c>
      <c r="AE735" s="784" t="s">
        <v>502</v>
      </c>
      <c r="AF735" s="771">
        <v>12232.47873</v>
      </c>
      <c r="AG735" s="771">
        <v>9535.983075</v>
      </c>
      <c r="AH735" s="771">
        <v>15514.29261</v>
      </c>
      <c r="AI735" s="772" t="s">
        <v>233</v>
      </c>
      <c r="AK735" s="769" t="s">
        <v>514</v>
      </c>
      <c r="AL735" s="770" t="s">
        <v>494</v>
      </c>
      <c r="AM735" s="770" t="s">
        <v>507</v>
      </c>
      <c r="AN735" s="770" t="s">
        <v>633</v>
      </c>
      <c r="AO735" s="770" t="s">
        <v>493</v>
      </c>
      <c r="AP735" s="770" t="s">
        <v>504</v>
      </c>
      <c r="AQ735" s="770" t="s">
        <v>501</v>
      </c>
      <c r="AR735" s="1010" t="s">
        <v>502</v>
      </c>
      <c r="AS735" s="771">
        <v>4351.727869</v>
      </c>
      <c r="AT735" s="771">
        <v>3392.444345</v>
      </c>
      <c r="AU735" s="771">
        <v>5519.239476</v>
      </c>
      <c r="AV735" s="989" t="s">
        <v>233</v>
      </c>
      <c r="AW735" s="714"/>
    </row>
    <row r="736">
      <c r="A736" s="761"/>
      <c r="B736" s="769" t="s">
        <v>493</v>
      </c>
      <c r="C736" s="770" t="s">
        <v>632</v>
      </c>
      <c r="D736" s="770" t="s">
        <v>494</v>
      </c>
      <c r="E736" s="770" t="s">
        <v>495</v>
      </c>
      <c r="F736" s="770" t="s">
        <v>519</v>
      </c>
      <c r="G736" s="770" t="s">
        <v>103</v>
      </c>
      <c r="H736" s="770">
        <v>2019.0</v>
      </c>
      <c r="I736" s="771">
        <v>10220.41777</v>
      </c>
      <c r="J736" s="771">
        <v>13405.30074</v>
      </c>
      <c r="K736" s="772">
        <v>7811.993844</v>
      </c>
      <c r="M736" s="769" t="s">
        <v>493</v>
      </c>
      <c r="N736" s="770" t="s">
        <v>632</v>
      </c>
      <c r="O736" s="770" t="s">
        <v>494</v>
      </c>
      <c r="P736" s="770" t="s">
        <v>495</v>
      </c>
      <c r="Q736" s="770" t="s">
        <v>519</v>
      </c>
      <c r="R736" s="770" t="s">
        <v>497</v>
      </c>
      <c r="S736" s="770">
        <v>2019.0</v>
      </c>
      <c r="T736" s="771">
        <v>395.2194531</v>
      </c>
      <c r="U736" s="771">
        <v>518.3775995</v>
      </c>
      <c r="V736" s="772">
        <v>302.0866666</v>
      </c>
      <c r="X736" s="769" t="s">
        <v>514</v>
      </c>
      <c r="Y736" s="770" t="s">
        <v>494</v>
      </c>
      <c r="Z736" s="770" t="s">
        <v>509</v>
      </c>
      <c r="AA736" s="770" t="s">
        <v>633</v>
      </c>
      <c r="AB736" s="770" t="s">
        <v>493</v>
      </c>
      <c r="AC736" s="770" t="s">
        <v>103</v>
      </c>
      <c r="AD736" s="770" t="s">
        <v>501</v>
      </c>
      <c r="AE736" s="784" t="s">
        <v>502</v>
      </c>
      <c r="AF736" s="771">
        <v>3361.557426</v>
      </c>
      <c r="AG736" s="771">
        <v>2650.28143</v>
      </c>
      <c r="AH736" s="771">
        <v>4258.04246</v>
      </c>
      <c r="AI736" s="772" t="s">
        <v>233</v>
      </c>
      <c r="AK736" s="769" t="s">
        <v>514</v>
      </c>
      <c r="AL736" s="770" t="s">
        <v>494</v>
      </c>
      <c r="AM736" s="770" t="s">
        <v>509</v>
      </c>
      <c r="AN736" s="770" t="s">
        <v>633</v>
      </c>
      <c r="AO736" s="770" t="s">
        <v>493</v>
      </c>
      <c r="AP736" s="770" t="s">
        <v>504</v>
      </c>
      <c r="AQ736" s="770" t="s">
        <v>501</v>
      </c>
      <c r="AR736" s="1010" t="s">
        <v>502</v>
      </c>
      <c r="AS736" s="771">
        <v>18245.63892</v>
      </c>
      <c r="AT736" s="771">
        <v>14385.02214</v>
      </c>
      <c r="AU736" s="771">
        <v>23111.52106</v>
      </c>
      <c r="AV736" s="989" t="s">
        <v>233</v>
      </c>
      <c r="AW736" s="714"/>
    </row>
    <row r="737">
      <c r="A737" s="761"/>
      <c r="B737" s="769" t="s">
        <v>493</v>
      </c>
      <c r="C737" s="770" t="s">
        <v>632</v>
      </c>
      <c r="D737" s="770" t="s">
        <v>494</v>
      </c>
      <c r="E737" s="770" t="s">
        <v>505</v>
      </c>
      <c r="F737" s="770" t="s">
        <v>519</v>
      </c>
      <c r="G737" s="770" t="s">
        <v>103</v>
      </c>
      <c r="H737" s="770">
        <v>2019.0</v>
      </c>
      <c r="I737" s="771">
        <v>8616.848205</v>
      </c>
      <c r="J737" s="771">
        <v>11361.67195</v>
      </c>
      <c r="K737" s="772">
        <v>6609.244487</v>
      </c>
      <c r="M737" s="769" t="s">
        <v>493</v>
      </c>
      <c r="N737" s="770" t="s">
        <v>632</v>
      </c>
      <c r="O737" s="770" t="s">
        <v>494</v>
      </c>
      <c r="P737" s="770" t="s">
        <v>505</v>
      </c>
      <c r="Q737" s="770" t="s">
        <v>519</v>
      </c>
      <c r="R737" s="770" t="s">
        <v>497</v>
      </c>
      <c r="S737" s="770">
        <v>2019.0</v>
      </c>
      <c r="T737" s="771">
        <v>82614.17586</v>
      </c>
      <c r="U737" s="771">
        <v>108930.2193</v>
      </c>
      <c r="V737" s="772">
        <v>63366.24173</v>
      </c>
      <c r="X737" s="769" t="s">
        <v>514</v>
      </c>
      <c r="Y737" s="770" t="s">
        <v>494</v>
      </c>
      <c r="Z737" s="770" t="s">
        <v>513</v>
      </c>
      <c r="AA737" s="770" t="s">
        <v>633</v>
      </c>
      <c r="AB737" s="770" t="s">
        <v>493</v>
      </c>
      <c r="AC737" s="770" t="s">
        <v>103</v>
      </c>
      <c r="AD737" s="770" t="s">
        <v>501</v>
      </c>
      <c r="AE737" s="784" t="s">
        <v>502</v>
      </c>
      <c r="AF737" s="771">
        <v>47109.96135</v>
      </c>
      <c r="AG737" s="771">
        <v>36690.64176</v>
      </c>
      <c r="AH737" s="771">
        <v>59066.5129</v>
      </c>
      <c r="AI737" s="772" t="s">
        <v>233</v>
      </c>
      <c r="AK737" s="769" t="s">
        <v>514</v>
      </c>
      <c r="AL737" s="770" t="s">
        <v>494</v>
      </c>
      <c r="AM737" s="770" t="s">
        <v>513</v>
      </c>
      <c r="AN737" s="770" t="s">
        <v>633</v>
      </c>
      <c r="AO737" s="770" t="s">
        <v>493</v>
      </c>
      <c r="AP737" s="770" t="s">
        <v>504</v>
      </c>
      <c r="AQ737" s="770" t="s">
        <v>501</v>
      </c>
      <c r="AR737" s="1010" t="s">
        <v>502</v>
      </c>
      <c r="AS737" s="771">
        <v>3458.052226</v>
      </c>
      <c r="AT737" s="771">
        <v>2693.234122</v>
      </c>
      <c r="AU737" s="771">
        <v>4335.709063</v>
      </c>
      <c r="AV737" s="989" t="s">
        <v>233</v>
      </c>
      <c r="AW737" s="714"/>
    </row>
    <row r="738">
      <c r="A738" s="761"/>
      <c r="B738" s="769" t="s">
        <v>493</v>
      </c>
      <c r="C738" s="770" t="s">
        <v>632</v>
      </c>
      <c r="D738" s="770" t="s">
        <v>494</v>
      </c>
      <c r="E738" s="770" t="s">
        <v>508</v>
      </c>
      <c r="F738" s="770" t="s">
        <v>519</v>
      </c>
      <c r="G738" s="770" t="s">
        <v>103</v>
      </c>
      <c r="H738" s="770">
        <v>2019.0</v>
      </c>
      <c r="I738" s="771">
        <v>344.7800655</v>
      </c>
      <c r="J738" s="771">
        <v>586.2077415</v>
      </c>
      <c r="K738" s="772">
        <v>185.8657454</v>
      </c>
      <c r="M738" s="769" t="s">
        <v>493</v>
      </c>
      <c r="N738" s="770" t="s">
        <v>632</v>
      </c>
      <c r="O738" s="770" t="s">
        <v>494</v>
      </c>
      <c r="P738" s="770" t="s">
        <v>508</v>
      </c>
      <c r="Q738" s="770" t="s">
        <v>519</v>
      </c>
      <c r="R738" s="770" t="s">
        <v>497</v>
      </c>
      <c r="S738" s="770">
        <v>2019.0</v>
      </c>
      <c r="T738" s="771">
        <v>71.38908752</v>
      </c>
      <c r="U738" s="771">
        <v>121.3783508</v>
      </c>
      <c r="V738" s="772">
        <v>38.48478288</v>
      </c>
      <c r="X738" s="769" t="s">
        <v>518</v>
      </c>
      <c r="Y738" s="770" t="s">
        <v>494</v>
      </c>
      <c r="Z738" s="770" t="s">
        <v>499</v>
      </c>
      <c r="AA738" s="770" t="s">
        <v>633</v>
      </c>
      <c r="AB738" s="770" t="s">
        <v>493</v>
      </c>
      <c r="AC738" s="770" t="s">
        <v>103</v>
      </c>
      <c r="AD738" s="770" t="s">
        <v>501</v>
      </c>
      <c r="AE738" s="784" t="s">
        <v>502</v>
      </c>
      <c r="AF738" s="771">
        <v>141.2841795</v>
      </c>
      <c r="AG738" s="771">
        <v>59.54325114</v>
      </c>
      <c r="AH738" s="771">
        <v>279.6915203</v>
      </c>
      <c r="AI738" s="772" t="s">
        <v>233</v>
      </c>
      <c r="AK738" s="769" t="s">
        <v>518</v>
      </c>
      <c r="AL738" s="770" t="s">
        <v>494</v>
      </c>
      <c r="AM738" s="770" t="s">
        <v>499</v>
      </c>
      <c r="AN738" s="770" t="s">
        <v>633</v>
      </c>
      <c r="AO738" s="770" t="s">
        <v>493</v>
      </c>
      <c r="AP738" s="770" t="s">
        <v>504</v>
      </c>
      <c r="AQ738" s="770" t="s">
        <v>501</v>
      </c>
      <c r="AR738" s="1010" t="s">
        <v>502</v>
      </c>
      <c r="AS738" s="771">
        <v>2241.588246</v>
      </c>
      <c r="AT738" s="771">
        <v>944.7020351</v>
      </c>
      <c r="AU738" s="771">
        <v>4437.533111</v>
      </c>
      <c r="AV738" s="989" t="s">
        <v>233</v>
      </c>
      <c r="AW738" s="714"/>
    </row>
    <row r="739">
      <c r="A739" s="761"/>
      <c r="B739" s="769" t="s">
        <v>493</v>
      </c>
      <c r="C739" s="770" t="s">
        <v>632</v>
      </c>
      <c r="D739" s="770" t="s">
        <v>494</v>
      </c>
      <c r="E739" s="770" t="s">
        <v>512</v>
      </c>
      <c r="F739" s="770" t="s">
        <v>519</v>
      </c>
      <c r="G739" s="770" t="s">
        <v>103</v>
      </c>
      <c r="H739" s="770">
        <v>2019.0</v>
      </c>
      <c r="I739" s="771">
        <v>1220.900319</v>
      </c>
      <c r="J739" s="771">
        <v>1689.955375</v>
      </c>
      <c r="K739" s="772">
        <v>889.3605708</v>
      </c>
      <c r="M739" s="769" t="s">
        <v>493</v>
      </c>
      <c r="N739" s="770" t="s">
        <v>632</v>
      </c>
      <c r="O739" s="770" t="s">
        <v>494</v>
      </c>
      <c r="P739" s="770" t="s">
        <v>512</v>
      </c>
      <c r="Q739" s="770" t="s">
        <v>519</v>
      </c>
      <c r="R739" s="770" t="s">
        <v>497</v>
      </c>
      <c r="S739" s="770">
        <v>2019.0</v>
      </c>
      <c r="T739" s="771">
        <v>3956.216383</v>
      </c>
      <c r="U739" s="771">
        <v>5476.14661</v>
      </c>
      <c r="V739" s="772">
        <v>2881.892</v>
      </c>
      <c r="X739" s="769" t="s">
        <v>518</v>
      </c>
      <c r="Y739" s="770" t="s">
        <v>494</v>
      </c>
      <c r="Z739" s="770" t="s">
        <v>507</v>
      </c>
      <c r="AA739" s="770" t="s">
        <v>633</v>
      </c>
      <c r="AB739" s="770" t="s">
        <v>493</v>
      </c>
      <c r="AC739" s="770" t="s">
        <v>103</v>
      </c>
      <c r="AD739" s="770" t="s">
        <v>501</v>
      </c>
      <c r="AE739" s="784" t="s">
        <v>502</v>
      </c>
      <c r="AF739" s="771">
        <v>5011.235413</v>
      </c>
      <c r="AG739" s="771">
        <v>2955.04479</v>
      </c>
      <c r="AH739" s="771">
        <v>7612.714919</v>
      </c>
      <c r="AI739" s="772" t="s">
        <v>233</v>
      </c>
      <c r="AK739" s="769" t="s">
        <v>518</v>
      </c>
      <c r="AL739" s="770" t="s">
        <v>494</v>
      </c>
      <c r="AM739" s="770" t="s">
        <v>507</v>
      </c>
      <c r="AN739" s="770" t="s">
        <v>633</v>
      </c>
      <c r="AO739" s="770" t="s">
        <v>493</v>
      </c>
      <c r="AP739" s="770" t="s">
        <v>504</v>
      </c>
      <c r="AQ739" s="770" t="s">
        <v>501</v>
      </c>
      <c r="AR739" s="1010" t="s">
        <v>502</v>
      </c>
      <c r="AS739" s="771">
        <v>1782.75665</v>
      </c>
      <c r="AT739" s="771">
        <v>1051.262875</v>
      </c>
      <c r="AU739" s="771">
        <v>2708.237994</v>
      </c>
      <c r="AV739" s="989" t="s">
        <v>233</v>
      </c>
      <c r="AW739" s="714"/>
    </row>
    <row r="740">
      <c r="A740" s="761"/>
      <c r="B740" s="769" t="s">
        <v>493</v>
      </c>
      <c r="C740" s="770" t="s">
        <v>632</v>
      </c>
      <c r="D740" s="770" t="s">
        <v>494</v>
      </c>
      <c r="E740" s="770" t="s">
        <v>495</v>
      </c>
      <c r="F740" s="770" t="s">
        <v>521</v>
      </c>
      <c r="G740" s="770" t="s">
        <v>103</v>
      </c>
      <c r="H740" s="770">
        <v>2019.0</v>
      </c>
      <c r="I740" s="771">
        <v>183.2904865</v>
      </c>
      <c r="J740" s="771">
        <v>463.9285504</v>
      </c>
      <c r="K740" s="772">
        <v>51.91085286</v>
      </c>
      <c r="M740" s="769" t="s">
        <v>493</v>
      </c>
      <c r="N740" s="770" t="s">
        <v>632</v>
      </c>
      <c r="O740" s="770" t="s">
        <v>494</v>
      </c>
      <c r="P740" s="770" t="s">
        <v>495</v>
      </c>
      <c r="Q740" s="770" t="s">
        <v>521</v>
      </c>
      <c r="R740" s="770" t="s">
        <v>497</v>
      </c>
      <c r="S740" s="770">
        <v>2019.0</v>
      </c>
      <c r="T740" s="771">
        <v>7.08776955</v>
      </c>
      <c r="U740" s="771">
        <v>17.93993085</v>
      </c>
      <c r="V740" s="772">
        <v>2.007371846</v>
      </c>
      <c r="X740" s="769" t="s">
        <v>518</v>
      </c>
      <c r="Y740" s="770" t="s">
        <v>494</v>
      </c>
      <c r="Z740" s="770" t="s">
        <v>509</v>
      </c>
      <c r="AA740" s="770" t="s">
        <v>633</v>
      </c>
      <c r="AB740" s="770" t="s">
        <v>493</v>
      </c>
      <c r="AC740" s="770" t="s">
        <v>103</v>
      </c>
      <c r="AD740" s="770" t="s">
        <v>501</v>
      </c>
      <c r="AE740" s="784" t="s">
        <v>502</v>
      </c>
      <c r="AF740" s="771">
        <v>391.4521998</v>
      </c>
      <c r="AG740" s="771">
        <v>211.3522031</v>
      </c>
      <c r="AH740" s="771">
        <v>679.3312157</v>
      </c>
      <c r="AI740" s="772" t="s">
        <v>233</v>
      </c>
      <c r="AK740" s="769" t="s">
        <v>518</v>
      </c>
      <c r="AL740" s="770" t="s">
        <v>494</v>
      </c>
      <c r="AM740" s="770" t="s">
        <v>509</v>
      </c>
      <c r="AN740" s="770" t="s">
        <v>633</v>
      </c>
      <c r="AO740" s="770" t="s">
        <v>493</v>
      </c>
      <c r="AP740" s="770" t="s">
        <v>504</v>
      </c>
      <c r="AQ740" s="770" t="s">
        <v>501</v>
      </c>
      <c r="AR740" s="1010" t="s">
        <v>502</v>
      </c>
      <c r="AS740" s="771">
        <v>2124.698343</v>
      </c>
      <c r="AT740" s="771">
        <v>1147.1635</v>
      </c>
      <c r="AU740" s="771">
        <v>3687.229012</v>
      </c>
      <c r="AV740" s="989" t="s">
        <v>233</v>
      </c>
      <c r="AW740" s="714"/>
    </row>
    <row r="741">
      <c r="A741" s="761"/>
      <c r="B741" s="769" t="s">
        <v>493</v>
      </c>
      <c r="C741" s="770" t="s">
        <v>632</v>
      </c>
      <c r="D741" s="770" t="s">
        <v>494</v>
      </c>
      <c r="E741" s="770" t="s">
        <v>505</v>
      </c>
      <c r="F741" s="770" t="s">
        <v>521</v>
      </c>
      <c r="G741" s="770" t="s">
        <v>103</v>
      </c>
      <c r="H741" s="770">
        <v>2019.0</v>
      </c>
      <c r="I741" s="771">
        <v>0.0</v>
      </c>
      <c r="J741" s="771">
        <v>0.0</v>
      </c>
      <c r="K741" s="772">
        <v>0.0</v>
      </c>
      <c r="M741" s="769" t="s">
        <v>493</v>
      </c>
      <c r="N741" s="770" t="s">
        <v>632</v>
      </c>
      <c r="O741" s="770" t="s">
        <v>494</v>
      </c>
      <c r="P741" s="770" t="s">
        <v>505</v>
      </c>
      <c r="Q741" s="770" t="s">
        <v>521</v>
      </c>
      <c r="R741" s="770" t="s">
        <v>497</v>
      </c>
      <c r="S741" s="770">
        <v>2019.0</v>
      </c>
      <c r="T741" s="771">
        <v>0.0</v>
      </c>
      <c r="U741" s="771">
        <v>0.0</v>
      </c>
      <c r="V741" s="772">
        <v>0.0</v>
      </c>
      <c r="X741" s="769" t="s">
        <v>518</v>
      </c>
      <c r="Y741" s="770" t="s">
        <v>494</v>
      </c>
      <c r="Z741" s="770" t="s">
        <v>513</v>
      </c>
      <c r="AA741" s="770" t="s">
        <v>633</v>
      </c>
      <c r="AB741" s="770" t="s">
        <v>493</v>
      </c>
      <c r="AC741" s="770" t="s">
        <v>103</v>
      </c>
      <c r="AD741" s="770" t="s">
        <v>501</v>
      </c>
      <c r="AE741" s="784" t="s">
        <v>502</v>
      </c>
      <c r="AF741" s="771">
        <v>11416.75972</v>
      </c>
      <c r="AG741" s="771">
        <v>7328.543714</v>
      </c>
      <c r="AH741" s="771">
        <v>16301.51621</v>
      </c>
      <c r="AI741" s="772" t="s">
        <v>233</v>
      </c>
      <c r="AK741" s="769" t="s">
        <v>518</v>
      </c>
      <c r="AL741" s="770" t="s">
        <v>494</v>
      </c>
      <c r="AM741" s="770" t="s">
        <v>513</v>
      </c>
      <c r="AN741" s="770" t="s">
        <v>633</v>
      </c>
      <c r="AO741" s="770" t="s">
        <v>493</v>
      </c>
      <c r="AP741" s="770" t="s">
        <v>504</v>
      </c>
      <c r="AQ741" s="770" t="s">
        <v>501</v>
      </c>
      <c r="AR741" s="1010" t="s">
        <v>502</v>
      </c>
      <c r="AS741" s="771">
        <v>838.0340428</v>
      </c>
      <c r="AT741" s="771">
        <v>537.9432752</v>
      </c>
      <c r="AU741" s="771">
        <v>1196.593943</v>
      </c>
      <c r="AV741" s="989" t="s">
        <v>233</v>
      </c>
      <c r="AW741" s="714"/>
    </row>
    <row r="742">
      <c r="A742" s="761"/>
      <c r="B742" s="769" t="s">
        <v>493</v>
      </c>
      <c r="C742" s="770" t="s">
        <v>632</v>
      </c>
      <c r="D742" s="770" t="s">
        <v>494</v>
      </c>
      <c r="E742" s="770" t="s">
        <v>508</v>
      </c>
      <c r="F742" s="770" t="s">
        <v>521</v>
      </c>
      <c r="G742" s="770" t="s">
        <v>103</v>
      </c>
      <c r="H742" s="770">
        <v>2019.0</v>
      </c>
      <c r="I742" s="771">
        <v>47.77146793</v>
      </c>
      <c r="J742" s="771">
        <v>119.6449058</v>
      </c>
      <c r="K742" s="772">
        <v>13.65211589</v>
      </c>
      <c r="M742" s="769" t="s">
        <v>493</v>
      </c>
      <c r="N742" s="770" t="s">
        <v>632</v>
      </c>
      <c r="O742" s="770" t="s">
        <v>494</v>
      </c>
      <c r="P742" s="770" t="s">
        <v>508</v>
      </c>
      <c r="Q742" s="770" t="s">
        <v>521</v>
      </c>
      <c r="R742" s="770" t="s">
        <v>497</v>
      </c>
      <c r="S742" s="770">
        <v>2019.0</v>
      </c>
      <c r="T742" s="771">
        <v>9.891411498</v>
      </c>
      <c r="U742" s="771">
        <v>24.77330189</v>
      </c>
      <c r="V742" s="772">
        <v>2.826764634</v>
      </c>
      <c r="X742" s="769" t="s">
        <v>519</v>
      </c>
      <c r="Y742" s="770" t="s">
        <v>494</v>
      </c>
      <c r="Z742" s="770" t="s">
        <v>499</v>
      </c>
      <c r="AA742" s="770" t="s">
        <v>633</v>
      </c>
      <c r="AB742" s="770" t="s">
        <v>493</v>
      </c>
      <c r="AC742" s="770" t="s">
        <v>103</v>
      </c>
      <c r="AD742" s="770" t="s">
        <v>501</v>
      </c>
      <c r="AE742" s="784" t="s">
        <v>502</v>
      </c>
      <c r="AF742" s="771">
        <v>9492.849925</v>
      </c>
      <c r="AG742" s="771">
        <v>7437.602854</v>
      </c>
      <c r="AH742" s="771">
        <v>11934.49114</v>
      </c>
      <c r="AI742" s="772" t="s">
        <v>233</v>
      </c>
      <c r="AK742" s="769" t="s">
        <v>519</v>
      </c>
      <c r="AL742" s="770" t="s">
        <v>494</v>
      </c>
      <c r="AM742" s="770" t="s">
        <v>499</v>
      </c>
      <c r="AN742" s="770" t="s">
        <v>633</v>
      </c>
      <c r="AO742" s="770" t="s">
        <v>493</v>
      </c>
      <c r="AP742" s="770" t="s">
        <v>504</v>
      </c>
      <c r="AQ742" s="770" t="s">
        <v>501</v>
      </c>
      <c r="AR742" s="1010" t="s">
        <v>502</v>
      </c>
      <c r="AS742" s="771">
        <v>150611.7733</v>
      </c>
      <c r="AT742" s="771">
        <v>118003.6095</v>
      </c>
      <c r="AU742" s="771">
        <v>189350.3942</v>
      </c>
      <c r="AV742" s="989" t="s">
        <v>233</v>
      </c>
      <c r="AW742" s="714"/>
    </row>
    <row r="743">
      <c r="A743" s="761"/>
      <c r="B743" s="769" t="s">
        <v>493</v>
      </c>
      <c r="C743" s="770" t="s">
        <v>632</v>
      </c>
      <c r="D743" s="770" t="s">
        <v>494</v>
      </c>
      <c r="E743" s="770" t="s">
        <v>512</v>
      </c>
      <c r="F743" s="770" t="s">
        <v>521</v>
      </c>
      <c r="G743" s="770" t="s">
        <v>103</v>
      </c>
      <c r="H743" s="770">
        <v>2019.0</v>
      </c>
      <c r="I743" s="771">
        <v>0.0</v>
      </c>
      <c r="J743" s="771">
        <v>0.0</v>
      </c>
      <c r="K743" s="772">
        <v>0.0</v>
      </c>
      <c r="M743" s="769" t="s">
        <v>493</v>
      </c>
      <c r="N743" s="770" t="s">
        <v>632</v>
      </c>
      <c r="O743" s="770" t="s">
        <v>494</v>
      </c>
      <c r="P743" s="770" t="s">
        <v>512</v>
      </c>
      <c r="Q743" s="770" t="s">
        <v>521</v>
      </c>
      <c r="R743" s="770" t="s">
        <v>497</v>
      </c>
      <c r="S743" s="770">
        <v>2019.0</v>
      </c>
      <c r="T743" s="771">
        <v>0.0</v>
      </c>
      <c r="U743" s="771">
        <v>0.0</v>
      </c>
      <c r="V743" s="772">
        <v>0.0</v>
      </c>
      <c r="X743" s="769" t="s">
        <v>519</v>
      </c>
      <c r="Y743" s="770" t="s">
        <v>494</v>
      </c>
      <c r="Z743" s="770" t="s">
        <v>507</v>
      </c>
      <c r="AA743" s="770" t="s">
        <v>633</v>
      </c>
      <c r="AB743" s="770" t="s">
        <v>493</v>
      </c>
      <c r="AC743" s="770" t="s">
        <v>103</v>
      </c>
      <c r="AD743" s="770" t="s">
        <v>501</v>
      </c>
      <c r="AE743" s="784" t="s">
        <v>502</v>
      </c>
      <c r="AF743" s="771">
        <v>73.14405876</v>
      </c>
      <c r="AG743" s="771">
        <v>39.3984642</v>
      </c>
      <c r="AH743" s="771">
        <v>118.8824835</v>
      </c>
      <c r="AI743" s="772" t="s">
        <v>233</v>
      </c>
      <c r="AK743" s="769" t="s">
        <v>519</v>
      </c>
      <c r="AL743" s="770" t="s">
        <v>494</v>
      </c>
      <c r="AM743" s="770" t="s">
        <v>507</v>
      </c>
      <c r="AN743" s="770" t="s">
        <v>633</v>
      </c>
      <c r="AO743" s="770" t="s">
        <v>493</v>
      </c>
      <c r="AP743" s="770" t="s">
        <v>504</v>
      </c>
      <c r="AQ743" s="770" t="s">
        <v>501</v>
      </c>
      <c r="AR743" s="1010" t="s">
        <v>502</v>
      </c>
      <c r="AS743" s="771">
        <v>26.02113978</v>
      </c>
      <c r="AT743" s="771">
        <v>14.01607952</v>
      </c>
      <c r="AU743" s="771">
        <v>42.29267249</v>
      </c>
      <c r="AV743" s="989" t="s">
        <v>233</v>
      </c>
      <c r="AW743" s="714"/>
    </row>
    <row r="744">
      <c r="A744" s="761"/>
      <c r="B744" s="769" t="s">
        <v>493</v>
      </c>
      <c r="C744" s="770" t="s">
        <v>632</v>
      </c>
      <c r="D744" s="770" t="s">
        <v>494</v>
      </c>
      <c r="E744" s="770" t="s">
        <v>495</v>
      </c>
      <c r="F744" s="770" t="s">
        <v>523</v>
      </c>
      <c r="G744" s="770" t="s">
        <v>103</v>
      </c>
      <c r="H744" s="770">
        <v>2019.0</v>
      </c>
      <c r="I744" s="771">
        <v>1073.648077</v>
      </c>
      <c r="J744" s="771">
        <v>1647.828732</v>
      </c>
      <c r="K744" s="772">
        <v>633.463511</v>
      </c>
      <c r="M744" s="769" t="s">
        <v>493</v>
      </c>
      <c r="N744" s="770" t="s">
        <v>632</v>
      </c>
      <c r="O744" s="770" t="s">
        <v>494</v>
      </c>
      <c r="P744" s="770" t="s">
        <v>495</v>
      </c>
      <c r="Q744" s="770" t="s">
        <v>523</v>
      </c>
      <c r="R744" s="770" t="s">
        <v>497</v>
      </c>
      <c r="S744" s="770">
        <v>2019.0</v>
      </c>
      <c r="T744" s="771">
        <v>41.51754022</v>
      </c>
      <c r="U744" s="771">
        <v>63.72087571</v>
      </c>
      <c r="V744" s="772">
        <v>24.49577973</v>
      </c>
      <c r="X744" s="769" t="s">
        <v>519</v>
      </c>
      <c r="Y744" s="770" t="s">
        <v>494</v>
      </c>
      <c r="Z744" s="770" t="s">
        <v>509</v>
      </c>
      <c r="AA744" s="770" t="s">
        <v>633</v>
      </c>
      <c r="AB744" s="770" t="s">
        <v>493</v>
      </c>
      <c r="AC744" s="770" t="s">
        <v>103</v>
      </c>
      <c r="AD744" s="770" t="s">
        <v>501</v>
      </c>
      <c r="AE744" s="784" t="s">
        <v>502</v>
      </c>
      <c r="AF744" s="771">
        <v>1562.090176</v>
      </c>
      <c r="AG744" s="771">
        <v>1102.490787</v>
      </c>
      <c r="AH744" s="771">
        <v>2084.083465</v>
      </c>
      <c r="AI744" s="772" t="s">
        <v>233</v>
      </c>
      <c r="AK744" s="769" t="s">
        <v>519</v>
      </c>
      <c r="AL744" s="770" t="s">
        <v>494</v>
      </c>
      <c r="AM744" s="770" t="s">
        <v>509</v>
      </c>
      <c r="AN744" s="770" t="s">
        <v>633</v>
      </c>
      <c r="AO744" s="770" t="s">
        <v>493</v>
      </c>
      <c r="AP744" s="770" t="s">
        <v>504</v>
      </c>
      <c r="AQ744" s="770" t="s">
        <v>501</v>
      </c>
      <c r="AR744" s="1010" t="s">
        <v>502</v>
      </c>
      <c r="AS744" s="771">
        <v>8478.609674</v>
      </c>
      <c r="AT744" s="771">
        <v>5984.026528</v>
      </c>
      <c r="AU744" s="771">
        <v>11311.8503</v>
      </c>
      <c r="AV744" s="989" t="s">
        <v>233</v>
      </c>
      <c r="AW744" s="714"/>
    </row>
    <row r="745">
      <c r="A745" s="761"/>
      <c r="B745" s="769" t="s">
        <v>493</v>
      </c>
      <c r="C745" s="770" t="s">
        <v>632</v>
      </c>
      <c r="D745" s="770" t="s">
        <v>494</v>
      </c>
      <c r="E745" s="770" t="s">
        <v>505</v>
      </c>
      <c r="F745" s="770" t="s">
        <v>523</v>
      </c>
      <c r="G745" s="770" t="s">
        <v>103</v>
      </c>
      <c r="H745" s="770">
        <v>2019.0</v>
      </c>
      <c r="I745" s="771">
        <v>0.0</v>
      </c>
      <c r="J745" s="771">
        <v>0.0</v>
      </c>
      <c r="K745" s="772">
        <v>0.0</v>
      </c>
      <c r="M745" s="769" t="s">
        <v>493</v>
      </c>
      <c r="N745" s="770" t="s">
        <v>632</v>
      </c>
      <c r="O745" s="770" t="s">
        <v>494</v>
      </c>
      <c r="P745" s="770" t="s">
        <v>505</v>
      </c>
      <c r="Q745" s="770" t="s">
        <v>523</v>
      </c>
      <c r="R745" s="770" t="s">
        <v>497</v>
      </c>
      <c r="S745" s="770">
        <v>2019.0</v>
      </c>
      <c r="T745" s="771">
        <v>0.0</v>
      </c>
      <c r="U745" s="771">
        <v>0.0</v>
      </c>
      <c r="V745" s="772">
        <v>0.0</v>
      </c>
      <c r="X745" s="769" t="s">
        <v>519</v>
      </c>
      <c r="Y745" s="770" t="s">
        <v>494</v>
      </c>
      <c r="Z745" s="770" t="s">
        <v>513</v>
      </c>
      <c r="AA745" s="770" t="s">
        <v>633</v>
      </c>
      <c r="AB745" s="770" t="s">
        <v>493</v>
      </c>
      <c r="AC745" s="770" t="s">
        <v>103</v>
      </c>
      <c r="AD745" s="770" t="s">
        <v>501</v>
      </c>
      <c r="AE745" s="784" t="s">
        <v>502</v>
      </c>
      <c r="AF745" s="771">
        <v>11161.83233</v>
      </c>
      <c r="AG745" s="771">
        <v>8769.657623</v>
      </c>
      <c r="AH745" s="771">
        <v>14018.63246</v>
      </c>
      <c r="AI745" s="772" t="s">
        <v>233</v>
      </c>
      <c r="AK745" s="769" t="s">
        <v>519</v>
      </c>
      <c r="AL745" s="770" t="s">
        <v>494</v>
      </c>
      <c r="AM745" s="770" t="s">
        <v>513</v>
      </c>
      <c r="AN745" s="770" t="s">
        <v>633</v>
      </c>
      <c r="AO745" s="770" t="s">
        <v>493</v>
      </c>
      <c r="AP745" s="770" t="s">
        <v>504</v>
      </c>
      <c r="AQ745" s="770" t="s">
        <v>501</v>
      </c>
      <c r="AR745" s="1010" t="s">
        <v>502</v>
      </c>
      <c r="AS745" s="771">
        <v>819.3213928</v>
      </c>
      <c r="AT745" s="771">
        <v>643.7265749</v>
      </c>
      <c r="AU745" s="771">
        <v>1029.021502</v>
      </c>
      <c r="AV745" s="989" t="s">
        <v>233</v>
      </c>
      <c r="AW745" s="714"/>
    </row>
    <row r="746">
      <c r="A746" s="761"/>
      <c r="B746" s="769" t="s">
        <v>493</v>
      </c>
      <c r="C746" s="770" t="s">
        <v>632</v>
      </c>
      <c r="D746" s="770" t="s">
        <v>494</v>
      </c>
      <c r="E746" s="770" t="s">
        <v>508</v>
      </c>
      <c r="F746" s="770" t="s">
        <v>523</v>
      </c>
      <c r="G746" s="770" t="s">
        <v>103</v>
      </c>
      <c r="H746" s="770">
        <v>2019.0</v>
      </c>
      <c r="I746" s="771">
        <v>447.7506216</v>
      </c>
      <c r="J746" s="771">
        <v>764.9108284</v>
      </c>
      <c r="K746" s="772">
        <v>240.4427059</v>
      </c>
      <c r="M746" s="769" t="s">
        <v>493</v>
      </c>
      <c r="N746" s="770" t="s">
        <v>632</v>
      </c>
      <c r="O746" s="770" t="s">
        <v>494</v>
      </c>
      <c r="P746" s="770" t="s">
        <v>508</v>
      </c>
      <c r="Q746" s="770" t="s">
        <v>523</v>
      </c>
      <c r="R746" s="770" t="s">
        <v>497</v>
      </c>
      <c r="S746" s="770">
        <v>2019.0</v>
      </c>
      <c r="T746" s="771">
        <v>92.70985045</v>
      </c>
      <c r="U746" s="771">
        <v>158.3800559</v>
      </c>
      <c r="V746" s="772">
        <v>49.78531851</v>
      </c>
      <c r="X746" s="769" t="s">
        <v>521</v>
      </c>
      <c r="Y746" s="770" t="s">
        <v>494</v>
      </c>
      <c r="Z746" s="770" t="s">
        <v>499</v>
      </c>
      <c r="AA746" s="770" t="s">
        <v>633</v>
      </c>
      <c r="AB746" s="770" t="s">
        <v>493</v>
      </c>
      <c r="AC746" s="770" t="s">
        <v>103</v>
      </c>
      <c r="AD746" s="770" t="s">
        <v>501</v>
      </c>
      <c r="AE746" s="784" t="s">
        <v>502</v>
      </c>
      <c r="AF746" s="771">
        <v>0.0</v>
      </c>
      <c r="AG746" s="771">
        <v>0.0</v>
      </c>
      <c r="AH746" s="771">
        <v>0.0</v>
      </c>
      <c r="AI746" s="772" t="s">
        <v>233</v>
      </c>
      <c r="AK746" s="769" t="s">
        <v>521</v>
      </c>
      <c r="AL746" s="770" t="s">
        <v>494</v>
      </c>
      <c r="AM746" s="770" t="s">
        <v>499</v>
      </c>
      <c r="AN746" s="770" t="s">
        <v>633</v>
      </c>
      <c r="AO746" s="770" t="s">
        <v>493</v>
      </c>
      <c r="AP746" s="770" t="s">
        <v>504</v>
      </c>
      <c r="AQ746" s="770" t="s">
        <v>501</v>
      </c>
      <c r="AR746" s="1010" t="s">
        <v>502</v>
      </c>
      <c r="AS746" s="771">
        <v>0.0</v>
      </c>
      <c r="AT746" s="771">
        <v>0.0</v>
      </c>
      <c r="AU746" s="771">
        <v>0.0</v>
      </c>
      <c r="AV746" s="989" t="s">
        <v>233</v>
      </c>
      <c r="AW746" s="714"/>
    </row>
    <row r="747">
      <c r="A747" s="761"/>
      <c r="B747" s="769" t="s">
        <v>493</v>
      </c>
      <c r="C747" s="770" t="s">
        <v>632</v>
      </c>
      <c r="D747" s="770" t="s">
        <v>494</v>
      </c>
      <c r="E747" s="770" t="s">
        <v>512</v>
      </c>
      <c r="F747" s="770" t="s">
        <v>523</v>
      </c>
      <c r="G747" s="770" t="s">
        <v>103</v>
      </c>
      <c r="H747" s="770">
        <v>2019.0</v>
      </c>
      <c r="I747" s="771">
        <v>0.0</v>
      </c>
      <c r="J747" s="771">
        <v>0.0</v>
      </c>
      <c r="K747" s="772">
        <v>0.0</v>
      </c>
      <c r="M747" s="769" t="s">
        <v>493</v>
      </c>
      <c r="N747" s="770" t="s">
        <v>632</v>
      </c>
      <c r="O747" s="770" t="s">
        <v>494</v>
      </c>
      <c r="P747" s="770" t="s">
        <v>512</v>
      </c>
      <c r="Q747" s="770" t="s">
        <v>523</v>
      </c>
      <c r="R747" s="770" t="s">
        <v>497</v>
      </c>
      <c r="S747" s="770">
        <v>2019.0</v>
      </c>
      <c r="T747" s="771">
        <v>0.0</v>
      </c>
      <c r="U747" s="771">
        <v>0.0</v>
      </c>
      <c r="V747" s="772">
        <v>0.0</v>
      </c>
      <c r="X747" s="769" t="s">
        <v>521</v>
      </c>
      <c r="Y747" s="770" t="s">
        <v>494</v>
      </c>
      <c r="Z747" s="770" t="s">
        <v>507</v>
      </c>
      <c r="AA747" s="770" t="s">
        <v>633</v>
      </c>
      <c r="AB747" s="770" t="s">
        <v>493</v>
      </c>
      <c r="AC747" s="770" t="s">
        <v>103</v>
      </c>
      <c r="AD747" s="770" t="s">
        <v>501</v>
      </c>
      <c r="AE747" s="784" t="s">
        <v>502</v>
      </c>
      <c r="AF747" s="771">
        <v>100.4456821</v>
      </c>
      <c r="AG747" s="771">
        <v>29.04323456</v>
      </c>
      <c r="AH747" s="771">
        <v>243.828344</v>
      </c>
      <c r="AI747" s="772" t="s">
        <v>233</v>
      </c>
      <c r="AK747" s="769" t="s">
        <v>521</v>
      </c>
      <c r="AL747" s="770" t="s">
        <v>494</v>
      </c>
      <c r="AM747" s="770" t="s">
        <v>507</v>
      </c>
      <c r="AN747" s="770" t="s">
        <v>633</v>
      </c>
      <c r="AO747" s="770" t="s">
        <v>493</v>
      </c>
      <c r="AP747" s="770" t="s">
        <v>504</v>
      </c>
      <c r="AQ747" s="770" t="s">
        <v>501</v>
      </c>
      <c r="AR747" s="1010" t="s">
        <v>502</v>
      </c>
      <c r="AS747" s="771">
        <v>35.73374485</v>
      </c>
      <c r="AT747" s="771">
        <v>10.33218663</v>
      </c>
      <c r="AU747" s="771">
        <v>86.74240297</v>
      </c>
      <c r="AV747" s="989" t="s">
        <v>233</v>
      </c>
      <c r="AW747" s="714"/>
    </row>
    <row r="748">
      <c r="A748" s="761"/>
      <c r="B748" s="769" t="s">
        <v>493</v>
      </c>
      <c r="C748" s="770" t="s">
        <v>12</v>
      </c>
      <c r="D748" s="770" t="s">
        <v>494</v>
      </c>
      <c r="E748" s="770" t="s">
        <v>495</v>
      </c>
      <c r="F748" s="770" t="s">
        <v>496</v>
      </c>
      <c r="G748" s="770" t="s">
        <v>103</v>
      </c>
      <c r="H748" s="770">
        <v>2019.0</v>
      </c>
      <c r="I748" s="771">
        <v>109642.6225</v>
      </c>
      <c r="J748" s="771">
        <v>135257.4143</v>
      </c>
      <c r="K748" s="772">
        <v>89492.16314</v>
      </c>
      <c r="M748" s="769" t="s">
        <v>493</v>
      </c>
      <c r="N748" s="770" t="s">
        <v>12</v>
      </c>
      <c r="O748" s="770" t="s">
        <v>494</v>
      </c>
      <c r="P748" s="770" t="s">
        <v>495</v>
      </c>
      <c r="Q748" s="770" t="s">
        <v>496</v>
      </c>
      <c r="R748" s="770" t="s">
        <v>497</v>
      </c>
      <c r="S748" s="770">
        <v>2019.0</v>
      </c>
      <c r="T748" s="771">
        <v>2697.678735</v>
      </c>
      <c r="U748" s="771">
        <v>3327.912465</v>
      </c>
      <c r="V748" s="772">
        <v>2201.891015</v>
      </c>
      <c r="X748" s="769" t="s">
        <v>521</v>
      </c>
      <c r="Y748" s="770" t="s">
        <v>494</v>
      </c>
      <c r="Z748" s="770" t="s">
        <v>509</v>
      </c>
      <c r="AA748" s="770" t="s">
        <v>633</v>
      </c>
      <c r="AB748" s="770" t="s">
        <v>493</v>
      </c>
      <c r="AC748" s="770" t="s">
        <v>103</v>
      </c>
      <c r="AD748" s="770" t="s">
        <v>501</v>
      </c>
      <c r="AE748" s="784" t="s">
        <v>502</v>
      </c>
      <c r="AF748" s="771">
        <v>0.0</v>
      </c>
      <c r="AG748" s="771">
        <v>0.0</v>
      </c>
      <c r="AH748" s="771">
        <v>0.0</v>
      </c>
      <c r="AI748" s="772" t="s">
        <v>233</v>
      </c>
      <c r="AK748" s="769" t="s">
        <v>521</v>
      </c>
      <c r="AL748" s="770" t="s">
        <v>494</v>
      </c>
      <c r="AM748" s="770" t="s">
        <v>509</v>
      </c>
      <c r="AN748" s="770" t="s">
        <v>633</v>
      </c>
      <c r="AO748" s="770" t="s">
        <v>493</v>
      </c>
      <c r="AP748" s="770" t="s">
        <v>504</v>
      </c>
      <c r="AQ748" s="770" t="s">
        <v>501</v>
      </c>
      <c r="AR748" s="1010" t="s">
        <v>502</v>
      </c>
      <c r="AS748" s="771">
        <v>0.0</v>
      </c>
      <c r="AT748" s="771">
        <v>0.0</v>
      </c>
      <c r="AU748" s="771">
        <v>0.0</v>
      </c>
      <c r="AV748" s="989" t="s">
        <v>233</v>
      </c>
      <c r="AW748" s="714"/>
    </row>
    <row r="749">
      <c r="A749" s="761"/>
      <c r="B749" s="769" t="s">
        <v>493</v>
      </c>
      <c r="C749" s="770" t="s">
        <v>12</v>
      </c>
      <c r="D749" s="770" t="s">
        <v>494</v>
      </c>
      <c r="E749" s="770" t="s">
        <v>505</v>
      </c>
      <c r="F749" s="770" t="s">
        <v>496</v>
      </c>
      <c r="G749" s="770" t="s">
        <v>103</v>
      </c>
      <c r="H749" s="770">
        <v>2019.0</v>
      </c>
      <c r="I749" s="771">
        <v>31228.72021</v>
      </c>
      <c r="J749" s="771">
        <v>38807.37863</v>
      </c>
      <c r="K749" s="772">
        <v>25271.73456</v>
      </c>
      <c r="M749" s="769" t="s">
        <v>493</v>
      </c>
      <c r="N749" s="770" t="s">
        <v>12</v>
      </c>
      <c r="O749" s="770" t="s">
        <v>494</v>
      </c>
      <c r="P749" s="770" t="s">
        <v>505</v>
      </c>
      <c r="Q749" s="770" t="s">
        <v>496</v>
      </c>
      <c r="R749" s="770" t="s">
        <v>497</v>
      </c>
      <c r="S749" s="770">
        <v>2019.0</v>
      </c>
      <c r="T749" s="771">
        <v>170427.1453</v>
      </c>
      <c r="U749" s="771">
        <v>211786.8011</v>
      </c>
      <c r="V749" s="772">
        <v>137917.5819</v>
      </c>
      <c r="X749" s="769" t="s">
        <v>521</v>
      </c>
      <c r="Y749" s="770" t="s">
        <v>494</v>
      </c>
      <c r="Z749" s="770" t="s">
        <v>513</v>
      </c>
      <c r="AA749" s="770" t="s">
        <v>633</v>
      </c>
      <c r="AB749" s="770" t="s">
        <v>493</v>
      </c>
      <c r="AC749" s="770" t="s">
        <v>103</v>
      </c>
      <c r="AD749" s="770" t="s">
        <v>501</v>
      </c>
      <c r="AE749" s="784" t="s">
        <v>502</v>
      </c>
      <c r="AF749" s="771">
        <v>579.2007556</v>
      </c>
      <c r="AG749" s="771">
        <v>161.5593101</v>
      </c>
      <c r="AH749" s="771">
        <v>1420.467073</v>
      </c>
      <c r="AI749" s="772" t="s">
        <v>233</v>
      </c>
      <c r="AK749" s="769" t="s">
        <v>521</v>
      </c>
      <c r="AL749" s="770" t="s">
        <v>494</v>
      </c>
      <c r="AM749" s="770" t="s">
        <v>513</v>
      </c>
      <c r="AN749" s="770" t="s">
        <v>633</v>
      </c>
      <c r="AO749" s="770" t="s">
        <v>493</v>
      </c>
      <c r="AP749" s="770" t="s">
        <v>504</v>
      </c>
      <c r="AQ749" s="770" t="s">
        <v>501</v>
      </c>
      <c r="AR749" s="1010" t="s">
        <v>502</v>
      </c>
      <c r="AS749" s="771">
        <v>42.51556156</v>
      </c>
      <c r="AT749" s="771">
        <v>11.8590743</v>
      </c>
      <c r="AU749" s="771">
        <v>104.2677426</v>
      </c>
      <c r="AV749" s="989" t="s">
        <v>233</v>
      </c>
      <c r="AW749" s="714"/>
    </row>
    <row r="750">
      <c r="A750" s="761"/>
      <c r="B750" s="769" t="s">
        <v>493</v>
      </c>
      <c r="C750" s="770" t="s">
        <v>12</v>
      </c>
      <c r="D750" s="770" t="s">
        <v>494</v>
      </c>
      <c r="E750" s="770" t="s">
        <v>508</v>
      </c>
      <c r="F750" s="770" t="s">
        <v>496</v>
      </c>
      <c r="G750" s="770" t="s">
        <v>103</v>
      </c>
      <c r="H750" s="770">
        <v>2019.0</v>
      </c>
      <c r="I750" s="771">
        <v>28412.93493</v>
      </c>
      <c r="J750" s="771">
        <v>35107.20437</v>
      </c>
      <c r="K750" s="772">
        <v>23157.34836</v>
      </c>
      <c r="M750" s="769" t="s">
        <v>493</v>
      </c>
      <c r="N750" s="770" t="s">
        <v>12</v>
      </c>
      <c r="O750" s="770" t="s">
        <v>494</v>
      </c>
      <c r="P750" s="770" t="s">
        <v>508</v>
      </c>
      <c r="Q750" s="770" t="s">
        <v>496</v>
      </c>
      <c r="R750" s="770" t="s">
        <v>497</v>
      </c>
      <c r="S750" s="770">
        <v>2019.0</v>
      </c>
      <c r="T750" s="771">
        <v>3423.628139</v>
      </c>
      <c r="U750" s="771">
        <v>4230.256855</v>
      </c>
      <c r="V750" s="772">
        <v>2790.354099</v>
      </c>
      <c r="X750" s="769" t="s">
        <v>523</v>
      </c>
      <c r="Y750" s="770" t="s">
        <v>494</v>
      </c>
      <c r="Z750" s="770" t="s">
        <v>507</v>
      </c>
      <c r="AA750" s="770" t="s">
        <v>633</v>
      </c>
      <c r="AB750" s="770" t="s">
        <v>493</v>
      </c>
      <c r="AC750" s="770" t="s">
        <v>103</v>
      </c>
      <c r="AD750" s="770" t="s">
        <v>501</v>
      </c>
      <c r="AE750" s="784" t="s">
        <v>502</v>
      </c>
      <c r="AF750" s="771">
        <v>134.390905</v>
      </c>
      <c r="AG750" s="771">
        <v>61.07585248</v>
      </c>
      <c r="AH750" s="771">
        <v>256.0728358</v>
      </c>
      <c r="AI750" s="772" t="s">
        <v>233</v>
      </c>
      <c r="AK750" s="769" t="s">
        <v>523</v>
      </c>
      <c r="AL750" s="770" t="s">
        <v>494</v>
      </c>
      <c r="AM750" s="770" t="s">
        <v>507</v>
      </c>
      <c r="AN750" s="770" t="s">
        <v>633</v>
      </c>
      <c r="AO750" s="770" t="s">
        <v>493</v>
      </c>
      <c r="AP750" s="770" t="s">
        <v>504</v>
      </c>
      <c r="AQ750" s="770" t="s">
        <v>501</v>
      </c>
      <c r="AR750" s="1010" t="s">
        <v>502</v>
      </c>
      <c r="AS750" s="771">
        <v>47.80982329</v>
      </c>
      <c r="AT750" s="771">
        <v>21.72785215</v>
      </c>
      <c r="AU750" s="771">
        <v>91.09840453</v>
      </c>
      <c r="AV750" s="989" t="s">
        <v>233</v>
      </c>
      <c r="AW750" s="714"/>
    </row>
    <row r="751">
      <c r="A751" s="761"/>
      <c r="B751" s="769" t="s">
        <v>493</v>
      </c>
      <c r="C751" s="770" t="s">
        <v>12</v>
      </c>
      <c r="D751" s="770" t="s">
        <v>494</v>
      </c>
      <c r="E751" s="770" t="s">
        <v>512</v>
      </c>
      <c r="F751" s="770" t="s">
        <v>496</v>
      </c>
      <c r="G751" s="770" t="s">
        <v>103</v>
      </c>
      <c r="H751" s="770">
        <v>2019.0</v>
      </c>
      <c r="I751" s="771">
        <v>6808.063876</v>
      </c>
      <c r="J751" s="771">
        <v>8419.095021</v>
      </c>
      <c r="K751" s="772">
        <v>5523.188797</v>
      </c>
      <c r="M751" s="769" t="s">
        <v>493</v>
      </c>
      <c r="N751" s="770" t="s">
        <v>12</v>
      </c>
      <c r="O751" s="770" t="s">
        <v>494</v>
      </c>
      <c r="P751" s="770" t="s">
        <v>512</v>
      </c>
      <c r="Q751" s="770" t="s">
        <v>496</v>
      </c>
      <c r="R751" s="770" t="s">
        <v>497</v>
      </c>
      <c r="S751" s="770">
        <v>2019.0</v>
      </c>
      <c r="T751" s="771">
        <v>12658.14014</v>
      </c>
      <c r="U751" s="771">
        <v>15653.50833</v>
      </c>
      <c r="V751" s="772">
        <v>10269.18946</v>
      </c>
      <c r="X751" s="769" t="s">
        <v>523</v>
      </c>
      <c r="Y751" s="770" t="s">
        <v>494</v>
      </c>
      <c r="Z751" s="770" t="s">
        <v>513</v>
      </c>
      <c r="AA751" s="770" t="s">
        <v>633</v>
      </c>
      <c r="AB751" s="770" t="s">
        <v>493</v>
      </c>
      <c r="AC751" s="770" t="s">
        <v>103</v>
      </c>
      <c r="AD751" s="770" t="s">
        <v>501</v>
      </c>
      <c r="AE751" s="784" t="s">
        <v>502</v>
      </c>
      <c r="AF751" s="771">
        <v>346.5626622</v>
      </c>
      <c r="AG751" s="771">
        <v>190.643736</v>
      </c>
      <c r="AH751" s="771">
        <v>577.8285141</v>
      </c>
      <c r="AI751" s="772" t="s">
        <v>233</v>
      </c>
      <c r="AK751" s="769" t="s">
        <v>523</v>
      </c>
      <c r="AL751" s="770" t="s">
        <v>494</v>
      </c>
      <c r="AM751" s="770" t="s">
        <v>513</v>
      </c>
      <c r="AN751" s="770" t="s">
        <v>633</v>
      </c>
      <c r="AO751" s="770" t="s">
        <v>493</v>
      </c>
      <c r="AP751" s="770" t="s">
        <v>504</v>
      </c>
      <c r="AQ751" s="770" t="s">
        <v>501</v>
      </c>
      <c r="AR751" s="1010" t="s">
        <v>502</v>
      </c>
      <c r="AS751" s="771">
        <v>25.43903139</v>
      </c>
      <c r="AT751" s="771">
        <v>13.99398294</v>
      </c>
      <c r="AU751" s="771">
        <v>42.41483376</v>
      </c>
      <c r="AV751" s="989" t="s">
        <v>233</v>
      </c>
      <c r="AW751" s="714"/>
    </row>
    <row r="752">
      <c r="A752" s="761"/>
      <c r="B752" s="769" t="s">
        <v>493</v>
      </c>
      <c r="C752" s="770" t="s">
        <v>12</v>
      </c>
      <c r="D752" s="770" t="s">
        <v>494</v>
      </c>
      <c r="E752" s="770" t="s">
        <v>495</v>
      </c>
      <c r="F752" s="770" t="s">
        <v>514</v>
      </c>
      <c r="G752" s="770" t="s">
        <v>103</v>
      </c>
      <c r="H752" s="770">
        <v>2019.0</v>
      </c>
      <c r="I752" s="771">
        <v>94761.37082</v>
      </c>
      <c r="J752" s="771">
        <v>118153.0466</v>
      </c>
      <c r="K752" s="772">
        <v>75377.32292</v>
      </c>
      <c r="M752" s="769" t="s">
        <v>493</v>
      </c>
      <c r="N752" s="770" t="s">
        <v>12</v>
      </c>
      <c r="O752" s="770" t="s">
        <v>494</v>
      </c>
      <c r="P752" s="770" t="s">
        <v>495</v>
      </c>
      <c r="Q752" s="770" t="s">
        <v>514</v>
      </c>
      <c r="R752" s="770" t="s">
        <v>497</v>
      </c>
      <c r="S752" s="770">
        <v>2019.0</v>
      </c>
      <c r="T752" s="771">
        <v>2331.536122</v>
      </c>
      <c r="U752" s="771">
        <v>2907.071666</v>
      </c>
      <c r="V752" s="772">
        <v>1854.605412</v>
      </c>
      <c r="X752" s="769" t="s">
        <v>496</v>
      </c>
      <c r="Y752" s="770" t="s">
        <v>494</v>
      </c>
      <c r="Z752" s="770" t="s">
        <v>499</v>
      </c>
      <c r="AA752" s="770" t="s">
        <v>43</v>
      </c>
      <c r="AB752" s="770" t="s">
        <v>493</v>
      </c>
      <c r="AC752" s="770" t="s">
        <v>103</v>
      </c>
      <c r="AD752" s="770" t="s">
        <v>501</v>
      </c>
      <c r="AE752" s="784" t="s">
        <v>502</v>
      </c>
      <c r="AF752" s="771">
        <v>9372.784678</v>
      </c>
      <c r="AG752" s="771">
        <v>7752.064605</v>
      </c>
      <c r="AH752" s="771">
        <v>11489.41479</v>
      </c>
      <c r="AI752" s="772" t="s">
        <v>233</v>
      </c>
      <c r="AK752" s="769" t="s">
        <v>496</v>
      </c>
      <c r="AL752" s="770" t="s">
        <v>494</v>
      </c>
      <c r="AM752" s="770" t="s">
        <v>499</v>
      </c>
      <c r="AN752" s="770" t="s">
        <v>43</v>
      </c>
      <c r="AO752" s="770" t="s">
        <v>493</v>
      </c>
      <c r="AP752" s="770" t="s">
        <v>504</v>
      </c>
      <c r="AQ752" s="770" t="s">
        <v>501</v>
      </c>
      <c r="AR752" s="1010" t="s">
        <v>502</v>
      </c>
      <c r="AS752" s="771">
        <v>166973.6367</v>
      </c>
      <c r="AT752" s="771">
        <v>138100.9448</v>
      </c>
      <c r="AU752" s="771">
        <v>204680.8327</v>
      </c>
      <c r="AV752" s="989" t="s">
        <v>233</v>
      </c>
      <c r="AW752" s="714"/>
    </row>
    <row r="753">
      <c r="A753" s="761"/>
      <c r="B753" s="769" t="s">
        <v>493</v>
      </c>
      <c r="C753" s="770" t="s">
        <v>12</v>
      </c>
      <c r="D753" s="770" t="s">
        <v>494</v>
      </c>
      <c r="E753" s="770" t="s">
        <v>505</v>
      </c>
      <c r="F753" s="770" t="s">
        <v>514</v>
      </c>
      <c r="G753" s="770" t="s">
        <v>103</v>
      </c>
      <c r="H753" s="770">
        <v>2019.0</v>
      </c>
      <c r="I753" s="771">
        <v>29206.62819</v>
      </c>
      <c r="J753" s="771">
        <v>36521.21288</v>
      </c>
      <c r="K753" s="772">
        <v>23362.99595</v>
      </c>
      <c r="M753" s="769" t="s">
        <v>493</v>
      </c>
      <c r="N753" s="770" t="s">
        <v>12</v>
      </c>
      <c r="O753" s="770" t="s">
        <v>494</v>
      </c>
      <c r="P753" s="770" t="s">
        <v>505</v>
      </c>
      <c r="Q753" s="770" t="s">
        <v>514</v>
      </c>
      <c r="R753" s="770" t="s">
        <v>497</v>
      </c>
      <c r="S753" s="770">
        <v>2019.0</v>
      </c>
      <c r="T753" s="771">
        <v>159391.8109</v>
      </c>
      <c r="U753" s="771">
        <v>199310.3148</v>
      </c>
      <c r="V753" s="772">
        <v>127500.8607</v>
      </c>
      <c r="X753" s="769" t="s">
        <v>496</v>
      </c>
      <c r="Y753" s="770" t="s">
        <v>494</v>
      </c>
      <c r="Z753" s="770" t="s">
        <v>507</v>
      </c>
      <c r="AA753" s="770" t="s">
        <v>43</v>
      </c>
      <c r="AB753" s="770" t="s">
        <v>493</v>
      </c>
      <c r="AC753" s="770" t="s">
        <v>103</v>
      </c>
      <c r="AD753" s="770" t="s">
        <v>501</v>
      </c>
      <c r="AE753" s="784" t="s">
        <v>502</v>
      </c>
      <c r="AF753" s="771">
        <v>9773.849826</v>
      </c>
      <c r="AG753" s="771">
        <v>8089.785112</v>
      </c>
      <c r="AH753" s="771">
        <v>11939.41277</v>
      </c>
      <c r="AI753" s="772" t="s">
        <v>233</v>
      </c>
      <c r="AK753" s="769" t="s">
        <v>496</v>
      </c>
      <c r="AL753" s="770" t="s">
        <v>494</v>
      </c>
      <c r="AM753" s="770" t="s">
        <v>507</v>
      </c>
      <c r="AN753" s="770" t="s">
        <v>43</v>
      </c>
      <c r="AO753" s="770" t="s">
        <v>493</v>
      </c>
      <c r="AP753" s="770" t="s">
        <v>504</v>
      </c>
      <c r="AQ753" s="770" t="s">
        <v>501</v>
      </c>
      <c r="AR753" s="1010" t="s">
        <v>502</v>
      </c>
      <c r="AS753" s="771">
        <v>3907.409044</v>
      </c>
      <c r="AT753" s="771">
        <v>3234.150316</v>
      </c>
      <c r="AU753" s="771">
        <v>4773.162086</v>
      </c>
      <c r="AV753" s="989" t="s">
        <v>233</v>
      </c>
      <c r="AW753" s="714"/>
    </row>
    <row r="754">
      <c r="A754" s="761"/>
      <c r="B754" s="769" t="s">
        <v>493</v>
      </c>
      <c r="C754" s="770" t="s">
        <v>12</v>
      </c>
      <c r="D754" s="770" t="s">
        <v>494</v>
      </c>
      <c r="E754" s="770" t="s">
        <v>508</v>
      </c>
      <c r="F754" s="770" t="s">
        <v>514</v>
      </c>
      <c r="G754" s="770" t="s">
        <v>103</v>
      </c>
      <c r="H754" s="770">
        <v>2019.0</v>
      </c>
      <c r="I754" s="771">
        <v>23752.01117</v>
      </c>
      <c r="J754" s="771">
        <v>29968.95159</v>
      </c>
      <c r="K754" s="772">
        <v>18771.03903</v>
      </c>
      <c r="M754" s="769" t="s">
        <v>493</v>
      </c>
      <c r="N754" s="770" t="s">
        <v>12</v>
      </c>
      <c r="O754" s="770" t="s">
        <v>494</v>
      </c>
      <c r="P754" s="770" t="s">
        <v>508</v>
      </c>
      <c r="Q754" s="770" t="s">
        <v>514</v>
      </c>
      <c r="R754" s="770" t="s">
        <v>497</v>
      </c>
      <c r="S754" s="770">
        <v>2019.0</v>
      </c>
      <c r="T754" s="771">
        <v>2862.008236</v>
      </c>
      <c r="U754" s="771">
        <v>3611.120998</v>
      </c>
      <c r="V754" s="772">
        <v>2261.823975</v>
      </c>
      <c r="X754" s="769" t="s">
        <v>496</v>
      </c>
      <c r="Y754" s="770" t="s">
        <v>494</v>
      </c>
      <c r="Z754" s="770" t="s">
        <v>509</v>
      </c>
      <c r="AA754" s="770" t="s">
        <v>43</v>
      </c>
      <c r="AB754" s="770" t="s">
        <v>493</v>
      </c>
      <c r="AC754" s="770" t="s">
        <v>103</v>
      </c>
      <c r="AD754" s="770" t="s">
        <v>501</v>
      </c>
      <c r="AE754" s="784" t="s">
        <v>502</v>
      </c>
      <c r="AF754" s="771">
        <v>2484.410708</v>
      </c>
      <c r="AG754" s="771">
        <v>2045.620761</v>
      </c>
      <c r="AH754" s="771">
        <v>3071.329719</v>
      </c>
      <c r="AI754" s="772" t="s">
        <v>233</v>
      </c>
      <c r="AK754" s="769" t="s">
        <v>496</v>
      </c>
      <c r="AL754" s="770" t="s">
        <v>494</v>
      </c>
      <c r="AM754" s="770" t="s">
        <v>509</v>
      </c>
      <c r="AN754" s="770" t="s">
        <v>43</v>
      </c>
      <c r="AO754" s="770" t="s">
        <v>493</v>
      </c>
      <c r="AP754" s="770" t="s">
        <v>504</v>
      </c>
      <c r="AQ754" s="770" t="s">
        <v>501</v>
      </c>
      <c r="AR754" s="1010" t="s">
        <v>502</v>
      </c>
      <c r="AS754" s="771">
        <v>15098.67372</v>
      </c>
      <c r="AT754" s="771">
        <v>12431.98652</v>
      </c>
      <c r="AU754" s="771">
        <v>18665.59549</v>
      </c>
      <c r="AV754" s="989" t="s">
        <v>233</v>
      </c>
      <c r="AW754" s="714"/>
    </row>
    <row r="755">
      <c r="A755" s="761"/>
      <c r="B755" s="769" t="s">
        <v>493</v>
      </c>
      <c r="C755" s="770" t="s">
        <v>12</v>
      </c>
      <c r="D755" s="770" t="s">
        <v>494</v>
      </c>
      <c r="E755" s="770" t="s">
        <v>512</v>
      </c>
      <c r="F755" s="770" t="s">
        <v>514</v>
      </c>
      <c r="G755" s="770" t="s">
        <v>103</v>
      </c>
      <c r="H755" s="770">
        <v>2019.0</v>
      </c>
      <c r="I755" s="771">
        <v>6125.073722</v>
      </c>
      <c r="J755" s="771">
        <v>7612.494188</v>
      </c>
      <c r="K755" s="772">
        <v>4930.960013</v>
      </c>
      <c r="M755" s="769" t="s">
        <v>493</v>
      </c>
      <c r="N755" s="770" t="s">
        <v>12</v>
      </c>
      <c r="O755" s="770" t="s">
        <v>494</v>
      </c>
      <c r="P755" s="770" t="s">
        <v>512</v>
      </c>
      <c r="Q755" s="770" t="s">
        <v>514</v>
      </c>
      <c r="R755" s="770" t="s">
        <v>497</v>
      </c>
      <c r="S755" s="770">
        <v>2019.0</v>
      </c>
      <c r="T755" s="771">
        <v>11388.26588</v>
      </c>
      <c r="U755" s="771">
        <v>14153.80642</v>
      </c>
      <c r="V755" s="772">
        <v>9168.066573</v>
      </c>
      <c r="X755" s="769" t="s">
        <v>496</v>
      </c>
      <c r="Y755" s="770" t="s">
        <v>494</v>
      </c>
      <c r="Z755" s="770" t="s">
        <v>513</v>
      </c>
      <c r="AA755" s="770" t="s">
        <v>43</v>
      </c>
      <c r="AB755" s="770" t="s">
        <v>493</v>
      </c>
      <c r="AC755" s="770" t="s">
        <v>103</v>
      </c>
      <c r="AD755" s="770" t="s">
        <v>501</v>
      </c>
      <c r="AE755" s="784" t="s">
        <v>502</v>
      </c>
      <c r="AF755" s="771">
        <v>34193.94716</v>
      </c>
      <c r="AG755" s="771">
        <v>28240.34031</v>
      </c>
      <c r="AH755" s="771">
        <v>41687.62854</v>
      </c>
      <c r="AI755" s="772" t="s">
        <v>233</v>
      </c>
      <c r="AK755" s="769" t="s">
        <v>496</v>
      </c>
      <c r="AL755" s="770" t="s">
        <v>494</v>
      </c>
      <c r="AM755" s="770" t="s">
        <v>513</v>
      </c>
      <c r="AN755" s="770" t="s">
        <v>43</v>
      </c>
      <c r="AO755" s="770" t="s">
        <v>493</v>
      </c>
      <c r="AP755" s="770" t="s">
        <v>504</v>
      </c>
      <c r="AQ755" s="770" t="s">
        <v>501</v>
      </c>
      <c r="AR755" s="1010" t="s">
        <v>502</v>
      </c>
      <c r="AS755" s="771">
        <v>2711.975471</v>
      </c>
      <c r="AT755" s="771">
        <v>2239.785593</v>
      </c>
      <c r="AU755" s="771">
        <v>3306.311071</v>
      </c>
      <c r="AV755" s="989" t="s">
        <v>233</v>
      </c>
      <c r="AW755" s="714"/>
    </row>
    <row r="756">
      <c r="A756" s="761"/>
      <c r="B756" s="769" t="s">
        <v>493</v>
      </c>
      <c r="C756" s="770" t="s">
        <v>12</v>
      </c>
      <c r="D756" s="770" t="s">
        <v>494</v>
      </c>
      <c r="E756" s="770" t="s">
        <v>495</v>
      </c>
      <c r="F756" s="770" t="s">
        <v>518</v>
      </c>
      <c r="G756" s="770" t="s">
        <v>103</v>
      </c>
      <c r="H756" s="770">
        <v>2019.0</v>
      </c>
      <c r="I756" s="771">
        <v>6474.097551</v>
      </c>
      <c r="J756" s="771">
        <v>9968.069978</v>
      </c>
      <c r="K756" s="772">
        <v>3800.138926</v>
      </c>
      <c r="M756" s="769" t="s">
        <v>493</v>
      </c>
      <c r="N756" s="770" t="s">
        <v>12</v>
      </c>
      <c r="O756" s="770" t="s">
        <v>494</v>
      </c>
      <c r="P756" s="770" t="s">
        <v>495</v>
      </c>
      <c r="Q756" s="770" t="s">
        <v>518</v>
      </c>
      <c r="R756" s="770" t="s">
        <v>497</v>
      </c>
      <c r="S756" s="770">
        <v>2019.0</v>
      </c>
      <c r="T756" s="771">
        <v>159.290565</v>
      </c>
      <c r="U756" s="771">
        <v>245.2572712</v>
      </c>
      <c r="V756" s="772">
        <v>93.49971511</v>
      </c>
      <c r="X756" s="769" t="s">
        <v>514</v>
      </c>
      <c r="Y756" s="770" t="s">
        <v>494</v>
      </c>
      <c r="Z756" s="770" t="s">
        <v>499</v>
      </c>
      <c r="AA756" s="770" t="s">
        <v>43</v>
      </c>
      <c r="AB756" s="770" t="s">
        <v>493</v>
      </c>
      <c r="AC756" s="770" t="s">
        <v>103</v>
      </c>
      <c r="AD756" s="770" t="s">
        <v>501</v>
      </c>
      <c r="AE756" s="784" t="s">
        <v>502</v>
      </c>
      <c r="AF756" s="771">
        <v>8648.943249</v>
      </c>
      <c r="AG756" s="771">
        <v>7116.218656</v>
      </c>
      <c r="AH756" s="771">
        <v>10649.45617</v>
      </c>
      <c r="AI756" s="772" t="s">
        <v>233</v>
      </c>
      <c r="AK756" s="769" t="s">
        <v>514</v>
      </c>
      <c r="AL756" s="770" t="s">
        <v>494</v>
      </c>
      <c r="AM756" s="770" t="s">
        <v>499</v>
      </c>
      <c r="AN756" s="770" t="s">
        <v>43</v>
      </c>
      <c r="AO756" s="770" t="s">
        <v>493</v>
      </c>
      <c r="AP756" s="770" t="s">
        <v>504</v>
      </c>
      <c r="AQ756" s="770" t="s">
        <v>501</v>
      </c>
      <c r="AR756" s="1010" t="s">
        <v>502</v>
      </c>
      <c r="AS756" s="771">
        <v>154078.5965</v>
      </c>
      <c r="AT756" s="771">
        <v>126773.5203</v>
      </c>
      <c r="AU756" s="771">
        <v>189717.1958</v>
      </c>
      <c r="AV756" s="989" t="s">
        <v>233</v>
      </c>
      <c r="AW756" s="714"/>
    </row>
    <row r="757">
      <c r="A757" s="761"/>
      <c r="B757" s="769" t="s">
        <v>493</v>
      </c>
      <c r="C757" s="770" t="s">
        <v>12</v>
      </c>
      <c r="D757" s="770" t="s">
        <v>494</v>
      </c>
      <c r="E757" s="770" t="s">
        <v>505</v>
      </c>
      <c r="F757" s="770" t="s">
        <v>518</v>
      </c>
      <c r="G757" s="770" t="s">
        <v>103</v>
      </c>
      <c r="H757" s="770">
        <v>2019.0</v>
      </c>
      <c r="I757" s="771">
        <v>196.5409199</v>
      </c>
      <c r="J757" s="771">
        <v>400.2591425</v>
      </c>
      <c r="K757" s="772">
        <v>87.00327472</v>
      </c>
      <c r="M757" s="769" t="s">
        <v>493</v>
      </c>
      <c r="N757" s="770" t="s">
        <v>12</v>
      </c>
      <c r="O757" s="770" t="s">
        <v>494</v>
      </c>
      <c r="P757" s="770" t="s">
        <v>505</v>
      </c>
      <c r="Q757" s="770" t="s">
        <v>518</v>
      </c>
      <c r="R757" s="770" t="s">
        <v>497</v>
      </c>
      <c r="S757" s="770">
        <v>2019.0</v>
      </c>
      <c r="T757" s="771">
        <v>1072.599443</v>
      </c>
      <c r="U757" s="771">
        <v>2184.36819</v>
      </c>
      <c r="V757" s="772">
        <v>474.8103555</v>
      </c>
      <c r="X757" s="769" t="s">
        <v>514</v>
      </c>
      <c r="Y757" s="770" t="s">
        <v>494</v>
      </c>
      <c r="Z757" s="770" t="s">
        <v>507</v>
      </c>
      <c r="AA757" s="770" t="s">
        <v>43</v>
      </c>
      <c r="AB757" s="770" t="s">
        <v>493</v>
      </c>
      <c r="AC757" s="770" t="s">
        <v>103</v>
      </c>
      <c r="AD757" s="770" t="s">
        <v>501</v>
      </c>
      <c r="AE757" s="784" t="s">
        <v>502</v>
      </c>
      <c r="AF757" s="771">
        <v>8194.253746</v>
      </c>
      <c r="AG757" s="771">
        <v>6560.214093</v>
      </c>
      <c r="AH757" s="771">
        <v>10245.4247</v>
      </c>
      <c r="AI757" s="772" t="s">
        <v>233</v>
      </c>
      <c r="AK757" s="769" t="s">
        <v>514</v>
      </c>
      <c r="AL757" s="770" t="s">
        <v>494</v>
      </c>
      <c r="AM757" s="770" t="s">
        <v>507</v>
      </c>
      <c r="AN757" s="770" t="s">
        <v>43</v>
      </c>
      <c r="AO757" s="770" t="s">
        <v>493</v>
      </c>
      <c r="AP757" s="770" t="s">
        <v>504</v>
      </c>
      <c r="AQ757" s="770" t="s">
        <v>501</v>
      </c>
      <c r="AR757" s="1010" t="s">
        <v>502</v>
      </c>
      <c r="AS757" s="771">
        <v>3275.914994</v>
      </c>
      <c r="AT757" s="771">
        <v>2622.655385</v>
      </c>
      <c r="AU757" s="771">
        <v>4095.936179</v>
      </c>
      <c r="AV757" s="989" t="s">
        <v>233</v>
      </c>
      <c r="AW757" s="714"/>
    </row>
    <row r="758">
      <c r="A758" s="761"/>
      <c r="B758" s="769" t="s">
        <v>493</v>
      </c>
      <c r="C758" s="770" t="s">
        <v>12</v>
      </c>
      <c r="D758" s="770" t="s">
        <v>494</v>
      </c>
      <c r="E758" s="770" t="s">
        <v>508</v>
      </c>
      <c r="F758" s="770" t="s">
        <v>518</v>
      </c>
      <c r="G758" s="770" t="s">
        <v>103</v>
      </c>
      <c r="H758" s="770">
        <v>2019.0</v>
      </c>
      <c r="I758" s="771">
        <v>2834.217454</v>
      </c>
      <c r="J758" s="771">
        <v>5067.209278</v>
      </c>
      <c r="K758" s="772">
        <v>1384.929765</v>
      </c>
      <c r="M758" s="769" t="s">
        <v>493</v>
      </c>
      <c r="N758" s="770" t="s">
        <v>12</v>
      </c>
      <c r="O758" s="770" t="s">
        <v>494</v>
      </c>
      <c r="P758" s="770" t="s">
        <v>508</v>
      </c>
      <c r="Q758" s="770" t="s">
        <v>518</v>
      </c>
      <c r="R758" s="770" t="s">
        <v>497</v>
      </c>
      <c r="S758" s="770">
        <v>2019.0</v>
      </c>
      <c r="T758" s="771">
        <v>341.5101837</v>
      </c>
      <c r="U758" s="771">
        <v>610.5754408</v>
      </c>
      <c r="V758" s="772">
        <v>166.8776748</v>
      </c>
      <c r="X758" s="769" t="s">
        <v>514</v>
      </c>
      <c r="Y758" s="770" t="s">
        <v>494</v>
      </c>
      <c r="Z758" s="770" t="s">
        <v>509</v>
      </c>
      <c r="AA758" s="770" t="s">
        <v>43</v>
      </c>
      <c r="AB758" s="770" t="s">
        <v>493</v>
      </c>
      <c r="AC758" s="770" t="s">
        <v>103</v>
      </c>
      <c r="AD758" s="770" t="s">
        <v>501</v>
      </c>
      <c r="AE758" s="784" t="s">
        <v>502</v>
      </c>
      <c r="AF758" s="771">
        <v>2181.283881</v>
      </c>
      <c r="AG758" s="771">
        <v>1752.253173</v>
      </c>
      <c r="AH758" s="771">
        <v>2727.933381</v>
      </c>
      <c r="AI758" s="772" t="s">
        <v>233</v>
      </c>
      <c r="AK758" s="769" t="s">
        <v>514</v>
      </c>
      <c r="AL758" s="770" t="s">
        <v>494</v>
      </c>
      <c r="AM758" s="770" t="s">
        <v>509</v>
      </c>
      <c r="AN758" s="770" t="s">
        <v>43</v>
      </c>
      <c r="AO758" s="770" t="s">
        <v>493</v>
      </c>
      <c r="AP758" s="770" t="s">
        <v>504</v>
      </c>
      <c r="AQ758" s="770" t="s">
        <v>501</v>
      </c>
      <c r="AR758" s="1010" t="s">
        <v>502</v>
      </c>
      <c r="AS758" s="771">
        <v>13256.46098</v>
      </c>
      <c r="AT758" s="771">
        <v>10649.08425</v>
      </c>
      <c r="AU758" s="771">
        <v>16578.65019</v>
      </c>
      <c r="AV758" s="989" t="s">
        <v>233</v>
      </c>
      <c r="AW758" s="714"/>
    </row>
    <row r="759">
      <c r="A759" s="761"/>
      <c r="B759" s="769" t="s">
        <v>493</v>
      </c>
      <c r="C759" s="770" t="s">
        <v>12</v>
      </c>
      <c r="D759" s="770" t="s">
        <v>494</v>
      </c>
      <c r="E759" s="770" t="s">
        <v>512</v>
      </c>
      <c r="F759" s="770" t="s">
        <v>518</v>
      </c>
      <c r="G759" s="770" t="s">
        <v>103</v>
      </c>
      <c r="H759" s="770">
        <v>2019.0</v>
      </c>
      <c r="I759" s="771">
        <v>337.493752</v>
      </c>
      <c r="J759" s="771">
        <v>630.250616</v>
      </c>
      <c r="K759" s="772">
        <v>157.2429182</v>
      </c>
      <c r="M759" s="769" t="s">
        <v>493</v>
      </c>
      <c r="N759" s="770" t="s">
        <v>12</v>
      </c>
      <c r="O759" s="770" t="s">
        <v>494</v>
      </c>
      <c r="P759" s="770" t="s">
        <v>512</v>
      </c>
      <c r="Q759" s="770" t="s">
        <v>518</v>
      </c>
      <c r="R759" s="770" t="s">
        <v>497</v>
      </c>
      <c r="S759" s="770">
        <v>2019.0</v>
      </c>
      <c r="T759" s="771">
        <v>627.4975215</v>
      </c>
      <c r="U759" s="771">
        <v>1171.816358</v>
      </c>
      <c r="V759" s="772">
        <v>292.3596092</v>
      </c>
      <c r="X759" s="769" t="s">
        <v>514</v>
      </c>
      <c r="Y759" s="770" t="s">
        <v>494</v>
      </c>
      <c r="Z759" s="770" t="s">
        <v>513</v>
      </c>
      <c r="AA759" s="770" t="s">
        <v>43</v>
      </c>
      <c r="AB759" s="770" t="s">
        <v>493</v>
      </c>
      <c r="AC759" s="770" t="s">
        <v>103</v>
      </c>
      <c r="AD759" s="770" t="s">
        <v>501</v>
      </c>
      <c r="AE759" s="784" t="s">
        <v>502</v>
      </c>
      <c r="AF759" s="771">
        <v>29686.59996</v>
      </c>
      <c r="AG759" s="771">
        <v>24078.63581</v>
      </c>
      <c r="AH759" s="771">
        <v>36609.87733</v>
      </c>
      <c r="AI759" s="772" t="s">
        <v>233</v>
      </c>
      <c r="AK759" s="769" t="s">
        <v>514</v>
      </c>
      <c r="AL759" s="770" t="s">
        <v>494</v>
      </c>
      <c r="AM759" s="770" t="s">
        <v>513</v>
      </c>
      <c r="AN759" s="770" t="s">
        <v>43</v>
      </c>
      <c r="AO759" s="770" t="s">
        <v>493</v>
      </c>
      <c r="AP759" s="770" t="s">
        <v>504</v>
      </c>
      <c r="AQ759" s="770" t="s">
        <v>501</v>
      </c>
      <c r="AR759" s="1010" t="s">
        <v>502</v>
      </c>
      <c r="AS759" s="771">
        <v>2354.490709</v>
      </c>
      <c r="AT759" s="771">
        <v>1909.714295</v>
      </c>
      <c r="AU759" s="771">
        <v>2903.586675</v>
      </c>
      <c r="AV759" s="989" t="s">
        <v>233</v>
      </c>
      <c r="AW759" s="714"/>
    </row>
    <row r="760">
      <c r="A760" s="761"/>
      <c r="B760" s="769" t="s">
        <v>493</v>
      </c>
      <c r="C760" s="770" t="s">
        <v>12</v>
      </c>
      <c r="D760" s="770" t="s">
        <v>494</v>
      </c>
      <c r="E760" s="770" t="s">
        <v>495</v>
      </c>
      <c r="F760" s="770" t="s">
        <v>519</v>
      </c>
      <c r="G760" s="770" t="s">
        <v>103</v>
      </c>
      <c r="H760" s="770">
        <v>2019.0</v>
      </c>
      <c r="I760" s="771">
        <v>32005.72789</v>
      </c>
      <c r="J760" s="771">
        <v>40072.98229</v>
      </c>
      <c r="K760" s="772">
        <v>25549.94864</v>
      </c>
      <c r="M760" s="769" t="s">
        <v>493</v>
      </c>
      <c r="N760" s="770" t="s">
        <v>12</v>
      </c>
      <c r="O760" s="770" t="s">
        <v>494</v>
      </c>
      <c r="P760" s="770" t="s">
        <v>495</v>
      </c>
      <c r="Q760" s="770" t="s">
        <v>519</v>
      </c>
      <c r="R760" s="770" t="s">
        <v>497</v>
      </c>
      <c r="S760" s="770">
        <v>2019.0</v>
      </c>
      <c r="T760" s="771">
        <v>787.478168</v>
      </c>
      <c r="U760" s="771">
        <v>985.9672238</v>
      </c>
      <c r="V760" s="772">
        <v>628.6383116</v>
      </c>
      <c r="X760" s="769" t="s">
        <v>518</v>
      </c>
      <c r="Y760" s="770" t="s">
        <v>494</v>
      </c>
      <c r="Z760" s="770" t="s">
        <v>499</v>
      </c>
      <c r="AA760" s="770" t="s">
        <v>43</v>
      </c>
      <c r="AB760" s="770" t="s">
        <v>493</v>
      </c>
      <c r="AC760" s="770" t="s">
        <v>103</v>
      </c>
      <c r="AD760" s="770" t="s">
        <v>501</v>
      </c>
      <c r="AE760" s="784" t="s">
        <v>502</v>
      </c>
      <c r="AF760" s="771">
        <v>70.61424279</v>
      </c>
      <c r="AG760" s="771">
        <v>29.73616377</v>
      </c>
      <c r="AH760" s="771">
        <v>139.638369</v>
      </c>
      <c r="AI760" s="772" t="s">
        <v>233</v>
      </c>
      <c r="AK760" s="769" t="s">
        <v>518</v>
      </c>
      <c r="AL760" s="770" t="s">
        <v>494</v>
      </c>
      <c r="AM760" s="770" t="s">
        <v>499</v>
      </c>
      <c r="AN760" s="770" t="s">
        <v>43</v>
      </c>
      <c r="AO760" s="770" t="s">
        <v>493</v>
      </c>
      <c r="AP760" s="770" t="s">
        <v>504</v>
      </c>
      <c r="AQ760" s="770" t="s">
        <v>501</v>
      </c>
      <c r="AR760" s="1010" t="s">
        <v>502</v>
      </c>
      <c r="AS760" s="771">
        <v>1257.973732</v>
      </c>
      <c r="AT760" s="771">
        <v>529.7417553</v>
      </c>
      <c r="AU760" s="771">
        <v>2487.619966</v>
      </c>
      <c r="AV760" s="989" t="s">
        <v>233</v>
      </c>
      <c r="AW760" s="714"/>
    </row>
    <row r="761">
      <c r="A761" s="761"/>
      <c r="B761" s="769" t="s">
        <v>493</v>
      </c>
      <c r="C761" s="770" t="s">
        <v>12</v>
      </c>
      <c r="D761" s="770" t="s">
        <v>494</v>
      </c>
      <c r="E761" s="770" t="s">
        <v>505</v>
      </c>
      <c r="F761" s="770" t="s">
        <v>519</v>
      </c>
      <c r="G761" s="770" t="s">
        <v>103</v>
      </c>
      <c r="H761" s="770">
        <v>2019.0</v>
      </c>
      <c r="I761" s="771">
        <v>26429.7996</v>
      </c>
      <c r="J761" s="771">
        <v>33262.4522</v>
      </c>
      <c r="K761" s="772">
        <v>21154.51343</v>
      </c>
      <c r="M761" s="769" t="s">
        <v>493</v>
      </c>
      <c r="N761" s="770" t="s">
        <v>12</v>
      </c>
      <c r="O761" s="770" t="s">
        <v>494</v>
      </c>
      <c r="P761" s="770" t="s">
        <v>505</v>
      </c>
      <c r="Q761" s="770" t="s">
        <v>519</v>
      </c>
      <c r="R761" s="770" t="s">
        <v>497</v>
      </c>
      <c r="S761" s="770">
        <v>2019.0</v>
      </c>
      <c r="T761" s="771">
        <v>144237.5886</v>
      </c>
      <c r="U761" s="771">
        <v>181526.0035</v>
      </c>
      <c r="V761" s="772">
        <v>115448.3216</v>
      </c>
      <c r="X761" s="769" t="s">
        <v>518</v>
      </c>
      <c r="Y761" s="770" t="s">
        <v>494</v>
      </c>
      <c r="Z761" s="770" t="s">
        <v>507</v>
      </c>
      <c r="AA761" s="770" t="s">
        <v>43</v>
      </c>
      <c r="AB761" s="770" t="s">
        <v>493</v>
      </c>
      <c r="AC761" s="770" t="s">
        <v>103</v>
      </c>
      <c r="AD761" s="770" t="s">
        <v>501</v>
      </c>
      <c r="AE761" s="784" t="s">
        <v>502</v>
      </c>
      <c r="AF761" s="771">
        <v>2509.647553</v>
      </c>
      <c r="AG761" s="771">
        <v>1315.070229</v>
      </c>
      <c r="AH761" s="771">
        <v>4073.158875</v>
      </c>
      <c r="AI761" s="772" t="s">
        <v>233</v>
      </c>
      <c r="AK761" s="769" t="s">
        <v>518</v>
      </c>
      <c r="AL761" s="770" t="s">
        <v>494</v>
      </c>
      <c r="AM761" s="770" t="s">
        <v>507</v>
      </c>
      <c r="AN761" s="770" t="s">
        <v>43</v>
      </c>
      <c r="AO761" s="770" t="s">
        <v>493</v>
      </c>
      <c r="AP761" s="770" t="s">
        <v>504</v>
      </c>
      <c r="AQ761" s="770" t="s">
        <v>501</v>
      </c>
      <c r="AR761" s="1010" t="s">
        <v>502</v>
      </c>
      <c r="AS761" s="771">
        <v>1003.31187</v>
      </c>
      <c r="AT761" s="771">
        <v>525.7413809</v>
      </c>
      <c r="AU761" s="771">
        <v>1628.375523</v>
      </c>
      <c r="AV761" s="989" t="s">
        <v>233</v>
      </c>
      <c r="AW761" s="714"/>
    </row>
    <row r="762">
      <c r="A762" s="761"/>
      <c r="B762" s="769" t="s">
        <v>493</v>
      </c>
      <c r="C762" s="770" t="s">
        <v>12</v>
      </c>
      <c r="D762" s="770" t="s">
        <v>494</v>
      </c>
      <c r="E762" s="770" t="s">
        <v>508</v>
      </c>
      <c r="F762" s="770" t="s">
        <v>519</v>
      </c>
      <c r="G762" s="770" t="s">
        <v>103</v>
      </c>
      <c r="H762" s="770">
        <v>2019.0</v>
      </c>
      <c r="I762" s="771">
        <v>1466.084547</v>
      </c>
      <c r="J762" s="771">
        <v>2381.157593</v>
      </c>
      <c r="K762" s="772">
        <v>834.0840916</v>
      </c>
      <c r="M762" s="769" t="s">
        <v>493</v>
      </c>
      <c r="N762" s="770" t="s">
        <v>12</v>
      </c>
      <c r="O762" s="770" t="s">
        <v>494</v>
      </c>
      <c r="P762" s="770" t="s">
        <v>508</v>
      </c>
      <c r="Q762" s="770" t="s">
        <v>519</v>
      </c>
      <c r="R762" s="770" t="s">
        <v>497</v>
      </c>
      <c r="S762" s="770">
        <v>2019.0</v>
      </c>
      <c r="T762" s="771">
        <v>176.6564532</v>
      </c>
      <c r="U762" s="771">
        <v>286.9185516</v>
      </c>
      <c r="V762" s="772">
        <v>100.5033015</v>
      </c>
      <c r="X762" s="769" t="s">
        <v>518</v>
      </c>
      <c r="Y762" s="770" t="s">
        <v>494</v>
      </c>
      <c r="Z762" s="770" t="s">
        <v>509</v>
      </c>
      <c r="AA762" s="770" t="s">
        <v>43</v>
      </c>
      <c r="AB762" s="770" t="s">
        <v>493</v>
      </c>
      <c r="AC762" s="770" t="s">
        <v>103</v>
      </c>
      <c r="AD762" s="770" t="s">
        <v>501</v>
      </c>
      <c r="AE762" s="784" t="s">
        <v>502</v>
      </c>
      <c r="AF762" s="771">
        <v>182.2070996</v>
      </c>
      <c r="AG762" s="771">
        <v>95.07630134</v>
      </c>
      <c r="AH762" s="771">
        <v>327.3434763</v>
      </c>
      <c r="AI762" s="772" t="s">
        <v>233</v>
      </c>
      <c r="AK762" s="769" t="s">
        <v>518</v>
      </c>
      <c r="AL762" s="770" t="s">
        <v>494</v>
      </c>
      <c r="AM762" s="770" t="s">
        <v>509</v>
      </c>
      <c r="AN762" s="770" t="s">
        <v>43</v>
      </c>
      <c r="AO762" s="770" t="s">
        <v>493</v>
      </c>
      <c r="AP762" s="770" t="s">
        <v>504</v>
      </c>
      <c r="AQ762" s="770" t="s">
        <v>501</v>
      </c>
      <c r="AR762" s="1010" t="s">
        <v>502</v>
      </c>
      <c r="AS762" s="771">
        <v>1107.339273</v>
      </c>
      <c r="AT762" s="771">
        <v>577.8135023</v>
      </c>
      <c r="AU762" s="771">
        <v>1989.386186</v>
      </c>
      <c r="AV762" s="989" t="s">
        <v>233</v>
      </c>
      <c r="AW762" s="714"/>
    </row>
    <row r="763">
      <c r="A763" s="761"/>
      <c r="B763" s="769" t="s">
        <v>493</v>
      </c>
      <c r="C763" s="770" t="s">
        <v>12</v>
      </c>
      <c r="D763" s="770" t="s">
        <v>494</v>
      </c>
      <c r="E763" s="770" t="s">
        <v>512</v>
      </c>
      <c r="F763" s="770" t="s">
        <v>519</v>
      </c>
      <c r="G763" s="770" t="s">
        <v>103</v>
      </c>
      <c r="H763" s="770">
        <v>2019.0</v>
      </c>
      <c r="I763" s="771">
        <v>3900.950649</v>
      </c>
      <c r="J763" s="771">
        <v>4989.395115</v>
      </c>
      <c r="K763" s="772">
        <v>3027.52982</v>
      </c>
      <c r="M763" s="769" t="s">
        <v>493</v>
      </c>
      <c r="N763" s="770" t="s">
        <v>12</v>
      </c>
      <c r="O763" s="770" t="s">
        <v>494</v>
      </c>
      <c r="P763" s="770" t="s">
        <v>512</v>
      </c>
      <c r="Q763" s="770" t="s">
        <v>519</v>
      </c>
      <c r="R763" s="770" t="s">
        <v>497</v>
      </c>
      <c r="S763" s="770">
        <v>2019.0</v>
      </c>
      <c r="T763" s="771">
        <v>7252.984237</v>
      </c>
      <c r="U763" s="771">
        <v>9276.71416</v>
      </c>
      <c r="V763" s="772">
        <v>5629.044825</v>
      </c>
      <c r="X763" s="769" t="s">
        <v>518</v>
      </c>
      <c r="Y763" s="770" t="s">
        <v>494</v>
      </c>
      <c r="Z763" s="770" t="s">
        <v>513</v>
      </c>
      <c r="AA763" s="770" t="s">
        <v>43</v>
      </c>
      <c r="AB763" s="770" t="s">
        <v>493</v>
      </c>
      <c r="AC763" s="770" t="s">
        <v>103</v>
      </c>
      <c r="AD763" s="770" t="s">
        <v>501</v>
      </c>
      <c r="AE763" s="784" t="s">
        <v>502</v>
      </c>
      <c r="AF763" s="771">
        <v>4971.836451</v>
      </c>
      <c r="AG763" s="771">
        <v>3134.127682</v>
      </c>
      <c r="AH763" s="771">
        <v>7459.001627</v>
      </c>
      <c r="AI763" s="772" t="s">
        <v>233</v>
      </c>
      <c r="AK763" s="769" t="s">
        <v>518</v>
      </c>
      <c r="AL763" s="770" t="s">
        <v>494</v>
      </c>
      <c r="AM763" s="770" t="s">
        <v>513</v>
      </c>
      <c r="AN763" s="770" t="s">
        <v>43</v>
      </c>
      <c r="AO763" s="770" t="s">
        <v>493</v>
      </c>
      <c r="AP763" s="770" t="s">
        <v>504</v>
      </c>
      <c r="AQ763" s="770" t="s">
        <v>501</v>
      </c>
      <c r="AR763" s="1010" t="s">
        <v>502</v>
      </c>
      <c r="AS763" s="771">
        <v>394.3241311</v>
      </c>
      <c r="AT763" s="771">
        <v>248.5725721</v>
      </c>
      <c r="AU763" s="771">
        <v>591.5850942</v>
      </c>
      <c r="AV763" s="989" t="s">
        <v>233</v>
      </c>
      <c r="AW763" s="714"/>
    </row>
    <row r="764">
      <c r="A764" s="761"/>
      <c r="B764" s="769" t="s">
        <v>493</v>
      </c>
      <c r="C764" s="770" t="s">
        <v>12</v>
      </c>
      <c r="D764" s="770" t="s">
        <v>494</v>
      </c>
      <c r="E764" s="770" t="s">
        <v>495</v>
      </c>
      <c r="F764" s="770" t="s">
        <v>521</v>
      </c>
      <c r="G764" s="770" t="s">
        <v>103</v>
      </c>
      <c r="H764" s="770">
        <v>2019.0</v>
      </c>
      <c r="I764" s="771">
        <v>2443.818724</v>
      </c>
      <c r="J764" s="771">
        <v>5843.480823</v>
      </c>
      <c r="K764" s="772">
        <v>733.022625</v>
      </c>
      <c r="M764" s="769" t="s">
        <v>493</v>
      </c>
      <c r="N764" s="770" t="s">
        <v>12</v>
      </c>
      <c r="O764" s="770" t="s">
        <v>494</v>
      </c>
      <c r="P764" s="770" t="s">
        <v>495</v>
      </c>
      <c r="Q764" s="770" t="s">
        <v>521</v>
      </c>
      <c r="R764" s="770" t="s">
        <v>497</v>
      </c>
      <c r="S764" s="770">
        <v>2019.0</v>
      </c>
      <c r="T764" s="771">
        <v>60.12842133</v>
      </c>
      <c r="U764" s="771">
        <v>143.774689</v>
      </c>
      <c r="V764" s="772">
        <v>18.03550026</v>
      </c>
      <c r="X764" s="769" t="s">
        <v>519</v>
      </c>
      <c r="Y764" s="770" t="s">
        <v>494</v>
      </c>
      <c r="Z764" s="770" t="s">
        <v>499</v>
      </c>
      <c r="AA764" s="770" t="s">
        <v>43</v>
      </c>
      <c r="AB764" s="770" t="s">
        <v>493</v>
      </c>
      <c r="AC764" s="770" t="s">
        <v>103</v>
      </c>
      <c r="AD764" s="770" t="s">
        <v>501</v>
      </c>
      <c r="AE764" s="784" t="s">
        <v>502</v>
      </c>
      <c r="AF764" s="771">
        <v>7301.674866</v>
      </c>
      <c r="AG764" s="771">
        <v>5951.577862</v>
      </c>
      <c r="AH764" s="771">
        <v>8951.234111</v>
      </c>
      <c r="AI764" s="772" t="s">
        <v>233</v>
      </c>
      <c r="AK764" s="769" t="s">
        <v>519</v>
      </c>
      <c r="AL764" s="770" t="s">
        <v>494</v>
      </c>
      <c r="AM764" s="770" t="s">
        <v>499</v>
      </c>
      <c r="AN764" s="770" t="s">
        <v>43</v>
      </c>
      <c r="AO764" s="770" t="s">
        <v>493</v>
      </c>
      <c r="AP764" s="770" t="s">
        <v>504</v>
      </c>
      <c r="AQ764" s="770" t="s">
        <v>501</v>
      </c>
      <c r="AR764" s="1010" t="s">
        <v>502</v>
      </c>
      <c r="AS764" s="771">
        <v>130077.3728</v>
      </c>
      <c r="AT764" s="771">
        <v>106025.758</v>
      </c>
      <c r="AU764" s="771">
        <v>159463.8268</v>
      </c>
      <c r="AV764" s="989" t="s">
        <v>233</v>
      </c>
      <c r="AW764" s="714"/>
    </row>
    <row r="765">
      <c r="A765" s="761"/>
      <c r="B765" s="769" t="s">
        <v>493</v>
      </c>
      <c r="C765" s="770" t="s">
        <v>12</v>
      </c>
      <c r="D765" s="770" t="s">
        <v>494</v>
      </c>
      <c r="E765" s="770" t="s">
        <v>505</v>
      </c>
      <c r="F765" s="770" t="s">
        <v>521</v>
      </c>
      <c r="G765" s="770" t="s">
        <v>103</v>
      </c>
      <c r="H765" s="770">
        <v>2019.0</v>
      </c>
      <c r="I765" s="771">
        <v>0.0</v>
      </c>
      <c r="J765" s="771">
        <v>0.0</v>
      </c>
      <c r="K765" s="772">
        <v>0.0</v>
      </c>
      <c r="M765" s="769" t="s">
        <v>493</v>
      </c>
      <c r="N765" s="770" t="s">
        <v>12</v>
      </c>
      <c r="O765" s="770" t="s">
        <v>494</v>
      </c>
      <c r="P765" s="770" t="s">
        <v>505</v>
      </c>
      <c r="Q765" s="770" t="s">
        <v>521</v>
      </c>
      <c r="R765" s="770" t="s">
        <v>497</v>
      </c>
      <c r="S765" s="770">
        <v>2019.0</v>
      </c>
      <c r="T765" s="771">
        <v>0.0</v>
      </c>
      <c r="U765" s="771">
        <v>0.0</v>
      </c>
      <c r="V765" s="772">
        <v>0.0</v>
      </c>
      <c r="X765" s="769" t="s">
        <v>519</v>
      </c>
      <c r="Y765" s="770" t="s">
        <v>494</v>
      </c>
      <c r="Z765" s="770" t="s">
        <v>507</v>
      </c>
      <c r="AA765" s="770" t="s">
        <v>43</v>
      </c>
      <c r="AB765" s="770" t="s">
        <v>493</v>
      </c>
      <c r="AC765" s="770" t="s">
        <v>103</v>
      </c>
      <c r="AD765" s="770" t="s">
        <v>501</v>
      </c>
      <c r="AE765" s="784" t="s">
        <v>502</v>
      </c>
      <c r="AF765" s="771">
        <v>60.96617863</v>
      </c>
      <c r="AG765" s="771">
        <v>35.5223317</v>
      </c>
      <c r="AH765" s="771">
        <v>99.23659205</v>
      </c>
      <c r="AI765" s="772" t="s">
        <v>233</v>
      </c>
      <c r="AK765" s="769" t="s">
        <v>519</v>
      </c>
      <c r="AL765" s="770" t="s">
        <v>494</v>
      </c>
      <c r="AM765" s="770" t="s">
        <v>507</v>
      </c>
      <c r="AN765" s="770" t="s">
        <v>43</v>
      </c>
      <c r="AO765" s="770" t="s">
        <v>493</v>
      </c>
      <c r="AP765" s="770" t="s">
        <v>504</v>
      </c>
      <c r="AQ765" s="770" t="s">
        <v>501</v>
      </c>
      <c r="AR765" s="1010" t="s">
        <v>502</v>
      </c>
      <c r="AS765" s="771">
        <v>24.37317966</v>
      </c>
      <c r="AT765" s="771">
        <v>14.20118813</v>
      </c>
      <c r="AU765" s="771">
        <v>39.67300134</v>
      </c>
      <c r="AV765" s="989" t="s">
        <v>233</v>
      </c>
      <c r="AW765" s="714"/>
    </row>
    <row r="766">
      <c r="A766" s="761"/>
      <c r="B766" s="769" t="s">
        <v>493</v>
      </c>
      <c r="C766" s="770" t="s">
        <v>12</v>
      </c>
      <c r="D766" s="770" t="s">
        <v>494</v>
      </c>
      <c r="E766" s="770" t="s">
        <v>508</v>
      </c>
      <c r="F766" s="770" t="s">
        <v>521</v>
      </c>
      <c r="G766" s="770" t="s">
        <v>103</v>
      </c>
      <c r="H766" s="770">
        <v>2019.0</v>
      </c>
      <c r="I766" s="771">
        <v>674.5752946</v>
      </c>
      <c r="J766" s="771">
        <v>1588.484109</v>
      </c>
      <c r="K766" s="772">
        <v>197.5743667</v>
      </c>
      <c r="M766" s="769" t="s">
        <v>493</v>
      </c>
      <c r="N766" s="770" t="s">
        <v>12</v>
      </c>
      <c r="O766" s="770" t="s">
        <v>494</v>
      </c>
      <c r="P766" s="770" t="s">
        <v>508</v>
      </c>
      <c r="Q766" s="770" t="s">
        <v>521</v>
      </c>
      <c r="R766" s="770" t="s">
        <v>497</v>
      </c>
      <c r="S766" s="770">
        <v>2019.0</v>
      </c>
      <c r="T766" s="771">
        <v>81.28322422</v>
      </c>
      <c r="U766" s="771">
        <v>191.4050382</v>
      </c>
      <c r="V766" s="772">
        <v>23.80680359</v>
      </c>
      <c r="X766" s="769" t="s">
        <v>519</v>
      </c>
      <c r="Y766" s="770" t="s">
        <v>494</v>
      </c>
      <c r="Z766" s="770" t="s">
        <v>509</v>
      </c>
      <c r="AA766" s="770" t="s">
        <v>43</v>
      </c>
      <c r="AB766" s="770" t="s">
        <v>493</v>
      </c>
      <c r="AC766" s="770" t="s">
        <v>103</v>
      </c>
      <c r="AD766" s="770" t="s">
        <v>501</v>
      </c>
      <c r="AE766" s="784" t="s">
        <v>502</v>
      </c>
      <c r="AF766" s="771">
        <v>1030.86687</v>
      </c>
      <c r="AG766" s="771">
        <v>754.24081</v>
      </c>
      <c r="AH766" s="771">
        <v>1365.270571</v>
      </c>
      <c r="AI766" s="772" t="s">
        <v>233</v>
      </c>
      <c r="AK766" s="769" t="s">
        <v>519</v>
      </c>
      <c r="AL766" s="770" t="s">
        <v>494</v>
      </c>
      <c r="AM766" s="770" t="s">
        <v>509</v>
      </c>
      <c r="AN766" s="770" t="s">
        <v>43</v>
      </c>
      <c r="AO766" s="770" t="s">
        <v>493</v>
      </c>
      <c r="AP766" s="770" t="s">
        <v>504</v>
      </c>
      <c r="AQ766" s="770" t="s">
        <v>501</v>
      </c>
      <c r="AR766" s="1010" t="s">
        <v>502</v>
      </c>
      <c r="AS766" s="771">
        <v>6264.955497</v>
      </c>
      <c r="AT766" s="771">
        <v>4583.797622</v>
      </c>
      <c r="AU766" s="771">
        <v>8297.249255</v>
      </c>
      <c r="AV766" s="989" t="s">
        <v>233</v>
      </c>
      <c r="AW766" s="714"/>
    </row>
    <row r="767">
      <c r="A767" s="761"/>
      <c r="B767" s="769" t="s">
        <v>493</v>
      </c>
      <c r="C767" s="770" t="s">
        <v>12</v>
      </c>
      <c r="D767" s="770" t="s">
        <v>494</v>
      </c>
      <c r="E767" s="770" t="s">
        <v>512</v>
      </c>
      <c r="F767" s="770" t="s">
        <v>521</v>
      </c>
      <c r="G767" s="770" t="s">
        <v>103</v>
      </c>
      <c r="H767" s="770">
        <v>2019.0</v>
      </c>
      <c r="I767" s="771">
        <v>0.0</v>
      </c>
      <c r="J767" s="771">
        <v>0.0</v>
      </c>
      <c r="K767" s="772">
        <v>0.0</v>
      </c>
      <c r="M767" s="769" t="s">
        <v>493</v>
      </c>
      <c r="N767" s="770" t="s">
        <v>12</v>
      </c>
      <c r="O767" s="770" t="s">
        <v>494</v>
      </c>
      <c r="P767" s="770" t="s">
        <v>512</v>
      </c>
      <c r="Q767" s="770" t="s">
        <v>521</v>
      </c>
      <c r="R767" s="770" t="s">
        <v>497</v>
      </c>
      <c r="S767" s="770">
        <v>2019.0</v>
      </c>
      <c r="T767" s="771">
        <v>0.0</v>
      </c>
      <c r="U767" s="771">
        <v>0.0</v>
      </c>
      <c r="V767" s="772">
        <v>0.0</v>
      </c>
      <c r="X767" s="769" t="s">
        <v>519</v>
      </c>
      <c r="Y767" s="770" t="s">
        <v>494</v>
      </c>
      <c r="Z767" s="770" t="s">
        <v>513</v>
      </c>
      <c r="AA767" s="770" t="s">
        <v>43</v>
      </c>
      <c r="AB767" s="770" t="s">
        <v>493</v>
      </c>
      <c r="AC767" s="770" t="s">
        <v>103</v>
      </c>
      <c r="AD767" s="770" t="s">
        <v>501</v>
      </c>
      <c r="AE767" s="784" t="s">
        <v>502</v>
      </c>
      <c r="AF767" s="771">
        <v>8412.074946</v>
      </c>
      <c r="AG767" s="771">
        <v>6877.162847</v>
      </c>
      <c r="AH767" s="771">
        <v>10292.273</v>
      </c>
      <c r="AI767" s="772" t="s">
        <v>233</v>
      </c>
      <c r="AK767" s="769" t="s">
        <v>519</v>
      </c>
      <c r="AL767" s="770" t="s">
        <v>494</v>
      </c>
      <c r="AM767" s="770" t="s">
        <v>513</v>
      </c>
      <c r="AN767" s="770" t="s">
        <v>43</v>
      </c>
      <c r="AO767" s="770" t="s">
        <v>493</v>
      </c>
      <c r="AP767" s="770" t="s">
        <v>504</v>
      </c>
      <c r="AQ767" s="770" t="s">
        <v>501</v>
      </c>
      <c r="AR767" s="1010" t="s">
        <v>502</v>
      </c>
      <c r="AS767" s="771">
        <v>667.1748309</v>
      </c>
      <c r="AT767" s="771">
        <v>545.4385498</v>
      </c>
      <c r="AU767" s="771">
        <v>816.2962812</v>
      </c>
      <c r="AV767" s="989" t="s">
        <v>233</v>
      </c>
      <c r="AW767" s="714"/>
    </row>
    <row r="768">
      <c r="A768" s="761"/>
      <c r="B768" s="769" t="s">
        <v>493</v>
      </c>
      <c r="C768" s="770" t="s">
        <v>12</v>
      </c>
      <c r="D768" s="770" t="s">
        <v>494</v>
      </c>
      <c r="E768" s="770" t="s">
        <v>495</v>
      </c>
      <c r="F768" s="770" t="s">
        <v>523</v>
      </c>
      <c r="G768" s="770" t="s">
        <v>103</v>
      </c>
      <c r="H768" s="770">
        <v>2019.0</v>
      </c>
      <c r="I768" s="771">
        <v>12360.99778</v>
      </c>
      <c r="J768" s="771">
        <v>18380.75963</v>
      </c>
      <c r="K768" s="772">
        <v>8074.461511</v>
      </c>
      <c r="M768" s="769" t="s">
        <v>493</v>
      </c>
      <c r="N768" s="770" t="s">
        <v>12</v>
      </c>
      <c r="O768" s="770" t="s">
        <v>494</v>
      </c>
      <c r="P768" s="770" t="s">
        <v>495</v>
      </c>
      <c r="Q768" s="770" t="s">
        <v>523</v>
      </c>
      <c r="R768" s="770" t="s">
        <v>497</v>
      </c>
      <c r="S768" s="770">
        <v>2019.0</v>
      </c>
      <c r="T768" s="771">
        <v>304.1335576</v>
      </c>
      <c r="U768" s="771">
        <v>452.2455159</v>
      </c>
      <c r="V768" s="772">
        <v>198.6663818</v>
      </c>
      <c r="X768" s="769" t="s">
        <v>521</v>
      </c>
      <c r="Y768" s="770" t="s">
        <v>494</v>
      </c>
      <c r="Z768" s="770" t="s">
        <v>499</v>
      </c>
      <c r="AA768" s="770" t="s">
        <v>43</v>
      </c>
      <c r="AB768" s="770" t="s">
        <v>493</v>
      </c>
      <c r="AC768" s="770" t="s">
        <v>103</v>
      </c>
      <c r="AD768" s="770" t="s">
        <v>501</v>
      </c>
      <c r="AE768" s="784" t="s">
        <v>502</v>
      </c>
      <c r="AF768" s="771">
        <v>0.0</v>
      </c>
      <c r="AG768" s="771">
        <v>0.0</v>
      </c>
      <c r="AH768" s="771">
        <v>0.0</v>
      </c>
      <c r="AI768" s="772" t="s">
        <v>233</v>
      </c>
      <c r="AK768" s="769" t="s">
        <v>521</v>
      </c>
      <c r="AL768" s="770" t="s">
        <v>494</v>
      </c>
      <c r="AM768" s="770" t="s">
        <v>499</v>
      </c>
      <c r="AN768" s="770" t="s">
        <v>43</v>
      </c>
      <c r="AO768" s="770" t="s">
        <v>493</v>
      </c>
      <c r="AP768" s="770" t="s">
        <v>504</v>
      </c>
      <c r="AQ768" s="770" t="s">
        <v>501</v>
      </c>
      <c r="AR768" s="1010" t="s">
        <v>502</v>
      </c>
      <c r="AS768" s="771">
        <v>0.0</v>
      </c>
      <c r="AT768" s="771">
        <v>0.0</v>
      </c>
      <c r="AU768" s="771">
        <v>0.0</v>
      </c>
      <c r="AV768" s="989" t="s">
        <v>233</v>
      </c>
      <c r="AW768" s="714"/>
    </row>
    <row r="769">
      <c r="A769" s="761"/>
      <c r="B769" s="769" t="s">
        <v>493</v>
      </c>
      <c r="C769" s="770" t="s">
        <v>12</v>
      </c>
      <c r="D769" s="770" t="s">
        <v>494</v>
      </c>
      <c r="E769" s="770" t="s">
        <v>505</v>
      </c>
      <c r="F769" s="770" t="s">
        <v>523</v>
      </c>
      <c r="G769" s="770" t="s">
        <v>103</v>
      </c>
      <c r="H769" s="770">
        <v>2019.0</v>
      </c>
      <c r="I769" s="771">
        <v>0.0</v>
      </c>
      <c r="J769" s="771">
        <v>0.0</v>
      </c>
      <c r="K769" s="772">
        <v>0.0</v>
      </c>
      <c r="M769" s="769" t="s">
        <v>493</v>
      </c>
      <c r="N769" s="770" t="s">
        <v>12</v>
      </c>
      <c r="O769" s="770" t="s">
        <v>494</v>
      </c>
      <c r="P769" s="770" t="s">
        <v>505</v>
      </c>
      <c r="Q769" s="770" t="s">
        <v>523</v>
      </c>
      <c r="R769" s="770" t="s">
        <v>497</v>
      </c>
      <c r="S769" s="770">
        <v>2019.0</v>
      </c>
      <c r="T769" s="771">
        <v>0.0</v>
      </c>
      <c r="U769" s="771">
        <v>0.0</v>
      </c>
      <c r="V769" s="772">
        <v>0.0</v>
      </c>
      <c r="X769" s="769" t="s">
        <v>521</v>
      </c>
      <c r="Y769" s="770" t="s">
        <v>494</v>
      </c>
      <c r="Z769" s="770" t="s">
        <v>507</v>
      </c>
      <c r="AA769" s="770" t="s">
        <v>43</v>
      </c>
      <c r="AB769" s="770" t="s">
        <v>493</v>
      </c>
      <c r="AC769" s="770" t="s">
        <v>103</v>
      </c>
      <c r="AD769" s="770" t="s">
        <v>501</v>
      </c>
      <c r="AE769" s="784" t="s">
        <v>502</v>
      </c>
      <c r="AF769" s="771">
        <v>32.08340466</v>
      </c>
      <c r="AG769" s="771">
        <v>9.498266642</v>
      </c>
      <c r="AH769" s="771">
        <v>78.52726751</v>
      </c>
      <c r="AI769" s="772" t="s">
        <v>233</v>
      </c>
      <c r="AK769" s="769" t="s">
        <v>521</v>
      </c>
      <c r="AL769" s="770" t="s">
        <v>494</v>
      </c>
      <c r="AM769" s="770" t="s">
        <v>507</v>
      </c>
      <c r="AN769" s="770" t="s">
        <v>43</v>
      </c>
      <c r="AO769" s="770" t="s">
        <v>493</v>
      </c>
      <c r="AP769" s="770" t="s">
        <v>504</v>
      </c>
      <c r="AQ769" s="770" t="s">
        <v>501</v>
      </c>
      <c r="AR769" s="1010" t="s">
        <v>502</v>
      </c>
      <c r="AS769" s="771">
        <v>12.82636707</v>
      </c>
      <c r="AT769" s="771">
        <v>3.797235852</v>
      </c>
      <c r="AU769" s="771">
        <v>31.39378656</v>
      </c>
      <c r="AV769" s="989" t="s">
        <v>233</v>
      </c>
      <c r="AW769" s="714"/>
    </row>
    <row r="770">
      <c r="A770" s="761"/>
      <c r="B770" s="769" t="s">
        <v>493</v>
      </c>
      <c r="C770" s="770" t="s">
        <v>12</v>
      </c>
      <c r="D770" s="770" t="s">
        <v>494</v>
      </c>
      <c r="E770" s="770" t="s">
        <v>508</v>
      </c>
      <c r="F770" s="770" t="s">
        <v>523</v>
      </c>
      <c r="G770" s="770" t="s">
        <v>103</v>
      </c>
      <c r="H770" s="770">
        <v>2019.0</v>
      </c>
      <c r="I770" s="771">
        <v>3615.922396</v>
      </c>
      <c r="J770" s="771">
        <v>5873.074902</v>
      </c>
      <c r="K770" s="772">
        <v>2119.798179</v>
      </c>
      <c r="M770" s="769" t="s">
        <v>493</v>
      </c>
      <c r="N770" s="770" t="s">
        <v>12</v>
      </c>
      <c r="O770" s="770" t="s">
        <v>494</v>
      </c>
      <c r="P770" s="770" t="s">
        <v>508</v>
      </c>
      <c r="Q770" s="770" t="s">
        <v>523</v>
      </c>
      <c r="R770" s="770" t="s">
        <v>497</v>
      </c>
      <c r="S770" s="770">
        <v>2019.0</v>
      </c>
      <c r="T770" s="771">
        <v>435.7020383</v>
      </c>
      <c r="U770" s="771">
        <v>707.6785466</v>
      </c>
      <c r="V770" s="772">
        <v>255.4259428</v>
      </c>
      <c r="X770" s="769" t="s">
        <v>521</v>
      </c>
      <c r="Y770" s="770" t="s">
        <v>494</v>
      </c>
      <c r="Z770" s="770" t="s">
        <v>509</v>
      </c>
      <c r="AA770" s="770" t="s">
        <v>43</v>
      </c>
      <c r="AB770" s="770" t="s">
        <v>493</v>
      </c>
      <c r="AC770" s="770" t="s">
        <v>103</v>
      </c>
      <c r="AD770" s="770" t="s">
        <v>501</v>
      </c>
      <c r="AE770" s="784" t="s">
        <v>502</v>
      </c>
      <c r="AF770" s="771">
        <v>0.0</v>
      </c>
      <c r="AG770" s="771">
        <v>0.0</v>
      </c>
      <c r="AH770" s="771">
        <v>0.0</v>
      </c>
      <c r="AI770" s="772" t="s">
        <v>233</v>
      </c>
      <c r="AK770" s="769" t="s">
        <v>521</v>
      </c>
      <c r="AL770" s="770" t="s">
        <v>494</v>
      </c>
      <c r="AM770" s="770" t="s">
        <v>509</v>
      </c>
      <c r="AN770" s="770" t="s">
        <v>43</v>
      </c>
      <c r="AO770" s="770" t="s">
        <v>493</v>
      </c>
      <c r="AP770" s="770" t="s">
        <v>504</v>
      </c>
      <c r="AQ770" s="770" t="s">
        <v>501</v>
      </c>
      <c r="AR770" s="1010" t="s">
        <v>502</v>
      </c>
      <c r="AS770" s="771">
        <v>0.0</v>
      </c>
      <c r="AT770" s="771">
        <v>0.0</v>
      </c>
      <c r="AU770" s="771">
        <v>0.0</v>
      </c>
      <c r="AV770" s="989" t="s">
        <v>233</v>
      </c>
      <c r="AW770" s="714"/>
    </row>
    <row r="771">
      <c r="A771" s="761"/>
      <c r="B771" s="769" t="s">
        <v>493</v>
      </c>
      <c r="C771" s="770" t="s">
        <v>12</v>
      </c>
      <c r="D771" s="770" t="s">
        <v>494</v>
      </c>
      <c r="E771" s="770" t="s">
        <v>512</v>
      </c>
      <c r="F771" s="770" t="s">
        <v>523</v>
      </c>
      <c r="G771" s="770" t="s">
        <v>103</v>
      </c>
      <c r="H771" s="770">
        <v>2019.0</v>
      </c>
      <c r="I771" s="771">
        <v>0.0</v>
      </c>
      <c r="J771" s="771">
        <v>0.0</v>
      </c>
      <c r="K771" s="772">
        <v>0.0</v>
      </c>
      <c r="M771" s="769" t="s">
        <v>493</v>
      </c>
      <c r="N771" s="770" t="s">
        <v>12</v>
      </c>
      <c r="O771" s="770" t="s">
        <v>494</v>
      </c>
      <c r="P771" s="770" t="s">
        <v>512</v>
      </c>
      <c r="Q771" s="770" t="s">
        <v>523</v>
      </c>
      <c r="R771" s="770" t="s">
        <v>497</v>
      </c>
      <c r="S771" s="770">
        <v>2019.0</v>
      </c>
      <c r="T771" s="771">
        <v>0.0</v>
      </c>
      <c r="U771" s="771">
        <v>0.0</v>
      </c>
      <c r="V771" s="772">
        <v>0.0</v>
      </c>
      <c r="X771" s="769" t="s">
        <v>521</v>
      </c>
      <c r="Y771" s="770" t="s">
        <v>494</v>
      </c>
      <c r="Z771" s="770" t="s">
        <v>513</v>
      </c>
      <c r="AA771" s="770" t="s">
        <v>43</v>
      </c>
      <c r="AB771" s="770" t="s">
        <v>493</v>
      </c>
      <c r="AC771" s="770" t="s">
        <v>103</v>
      </c>
      <c r="AD771" s="770" t="s">
        <v>501</v>
      </c>
      <c r="AE771" s="784" t="s">
        <v>502</v>
      </c>
      <c r="AF771" s="771">
        <v>168.8162065</v>
      </c>
      <c r="AG771" s="771">
        <v>46.93593367</v>
      </c>
      <c r="AH771" s="771">
        <v>413.8069309</v>
      </c>
      <c r="AI771" s="772" t="s">
        <v>233</v>
      </c>
      <c r="AK771" s="769" t="s">
        <v>521</v>
      </c>
      <c r="AL771" s="770" t="s">
        <v>494</v>
      </c>
      <c r="AM771" s="770" t="s">
        <v>513</v>
      </c>
      <c r="AN771" s="770" t="s">
        <v>43</v>
      </c>
      <c r="AO771" s="770" t="s">
        <v>493</v>
      </c>
      <c r="AP771" s="770" t="s">
        <v>504</v>
      </c>
      <c r="AQ771" s="770" t="s">
        <v>501</v>
      </c>
      <c r="AR771" s="1010" t="s">
        <v>502</v>
      </c>
      <c r="AS771" s="771">
        <v>13.38907758</v>
      </c>
      <c r="AT771" s="771">
        <v>3.722562366</v>
      </c>
      <c r="AU771" s="771">
        <v>32.8196754</v>
      </c>
      <c r="AV771" s="989" t="s">
        <v>233</v>
      </c>
      <c r="AW771" s="714"/>
    </row>
    <row r="772">
      <c r="A772" s="761"/>
      <c r="B772" s="769" t="s">
        <v>493</v>
      </c>
      <c r="C772" s="770" t="s">
        <v>634</v>
      </c>
      <c r="D772" s="770" t="s">
        <v>494</v>
      </c>
      <c r="E772" s="770" t="s">
        <v>495</v>
      </c>
      <c r="F772" s="770" t="s">
        <v>496</v>
      </c>
      <c r="G772" s="770" t="s">
        <v>103</v>
      </c>
      <c r="H772" s="770">
        <v>2019.0</v>
      </c>
      <c r="I772" s="771">
        <v>4656.441166</v>
      </c>
      <c r="J772" s="771">
        <v>6102.565866</v>
      </c>
      <c r="K772" s="772">
        <v>3577.525504</v>
      </c>
      <c r="M772" s="769" t="s">
        <v>493</v>
      </c>
      <c r="N772" s="770" t="s">
        <v>634</v>
      </c>
      <c r="O772" s="770" t="s">
        <v>494</v>
      </c>
      <c r="P772" s="770" t="s">
        <v>495</v>
      </c>
      <c r="Q772" s="770" t="s">
        <v>496</v>
      </c>
      <c r="R772" s="770" t="s">
        <v>497</v>
      </c>
      <c r="S772" s="770">
        <v>2019.0</v>
      </c>
      <c r="T772" s="771">
        <v>876.5437257</v>
      </c>
      <c r="U772" s="771">
        <v>1148.766972</v>
      </c>
      <c r="V772" s="772">
        <v>673.4451103</v>
      </c>
      <c r="X772" s="769" t="s">
        <v>523</v>
      </c>
      <c r="Y772" s="770" t="s">
        <v>494</v>
      </c>
      <c r="Z772" s="770" t="s">
        <v>507</v>
      </c>
      <c r="AA772" s="770" t="s">
        <v>43</v>
      </c>
      <c r="AB772" s="770" t="s">
        <v>493</v>
      </c>
      <c r="AC772" s="770" t="s">
        <v>103</v>
      </c>
      <c r="AD772" s="770" t="s">
        <v>501</v>
      </c>
      <c r="AE772" s="784" t="s">
        <v>502</v>
      </c>
      <c r="AF772" s="771">
        <v>108.4879973</v>
      </c>
      <c r="AG772" s="771">
        <v>52.72795716</v>
      </c>
      <c r="AH772" s="771">
        <v>188.5232251</v>
      </c>
      <c r="AI772" s="772" t="s">
        <v>233</v>
      </c>
      <c r="AK772" s="769" t="s">
        <v>523</v>
      </c>
      <c r="AL772" s="770" t="s">
        <v>494</v>
      </c>
      <c r="AM772" s="770" t="s">
        <v>507</v>
      </c>
      <c r="AN772" s="770" t="s">
        <v>43</v>
      </c>
      <c r="AO772" s="770" t="s">
        <v>493</v>
      </c>
      <c r="AP772" s="770" t="s">
        <v>504</v>
      </c>
      <c r="AQ772" s="770" t="s">
        <v>501</v>
      </c>
      <c r="AR772" s="1010" t="s">
        <v>502</v>
      </c>
      <c r="AS772" s="771">
        <v>43.37154647</v>
      </c>
      <c r="AT772" s="771">
        <v>21.07968716</v>
      </c>
      <c r="AU772" s="771">
        <v>75.36818837</v>
      </c>
      <c r="AV772" s="989" t="s">
        <v>233</v>
      </c>
      <c r="AW772" s="714"/>
    </row>
    <row r="773">
      <c r="A773" s="761"/>
      <c r="B773" s="769" t="s">
        <v>493</v>
      </c>
      <c r="C773" s="770" t="s">
        <v>634</v>
      </c>
      <c r="D773" s="770" t="s">
        <v>494</v>
      </c>
      <c r="E773" s="770" t="s">
        <v>505</v>
      </c>
      <c r="F773" s="770" t="s">
        <v>496</v>
      </c>
      <c r="G773" s="770" t="s">
        <v>103</v>
      </c>
      <c r="H773" s="770">
        <v>2019.0</v>
      </c>
      <c r="I773" s="771">
        <v>2072.288213</v>
      </c>
      <c r="J773" s="771">
        <v>2592.661419</v>
      </c>
      <c r="K773" s="772">
        <v>1688.688086</v>
      </c>
      <c r="M773" s="769" t="s">
        <v>493</v>
      </c>
      <c r="N773" s="770" t="s">
        <v>634</v>
      </c>
      <c r="O773" s="770" t="s">
        <v>494</v>
      </c>
      <c r="P773" s="770" t="s">
        <v>505</v>
      </c>
      <c r="Q773" s="770" t="s">
        <v>496</v>
      </c>
      <c r="R773" s="770" t="s">
        <v>497</v>
      </c>
      <c r="S773" s="770">
        <v>2019.0</v>
      </c>
      <c r="T773" s="771">
        <v>99498.07139</v>
      </c>
      <c r="U773" s="771">
        <v>124483.076</v>
      </c>
      <c r="V773" s="772">
        <v>81080.03835</v>
      </c>
      <c r="X773" s="769" t="s">
        <v>523</v>
      </c>
      <c r="Y773" s="770" t="s">
        <v>494</v>
      </c>
      <c r="Z773" s="770" t="s">
        <v>513</v>
      </c>
      <c r="AA773" s="770" t="s">
        <v>43</v>
      </c>
      <c r="AB773" s="770" t="s">
        <v>493</v>
      </c>
      <c r="AC773" s="770" t="s">
        <v>103</v>
      </c>
      <c r="AD773" s="770" t="s">
        <v>501</v>
      </c>
      <c r="AE773" s="784" t="s">
        <v>502</v>
      </c>
      <c r="AF773" s="771">
        <v>217.9004706</v>
      </c>
      <c r="AG773" s="771">
        <v>121.989967</v>
      </c>
      <c r="AH773" s="771">
        <v>342.986899</v>
      </c>
      <c r="AI773" s="772" t="s">
        <v>233</v>
      </c>
      <c r="AK773" s="769" t="s">
        <v>523</v>
      </c>
      <c r="AL773" s="770" t="s">
        <v>494</v>
      </c>
      <c r="AM773" s="770" t="s">
        <v>513</v>
      </c>
      <c r="AN773" s="770" t="s">
        <v>43</v>
      </c>
      <c r="AO773" s="770" t="s">
        <v>493</v>
      </c>
      <c r="AP773" s="770" t="s">
        <v>504</v>
      </c>
      <c r="AQ773" s="770" t="s">
        <v>501</v>
      </c>
      <c r="AR773" s="1010" t="s">
        <v>502</v>
      </c>
      <c r="AS773" s="771">
        <v>17.28202739</v>
      </c>
      <c r="AT773" s="771">
        <v>9.675215228</v>
      </c>
      <c r="AU773" s="771">
        <v>27.20282782</v>
      </c>
      <c r="AV773" s="989" t="s">
        <v>233</v>
      </c>
      <c r="AW773" s="714"/>
    </row>
    <row r="774">
      <c r="A774" s="761"/>
      <c r="B774" s="769" t="s">
        <v>493</v>
      </c>
      <c r="C774" s="770" t="s">
        <v>634</v>
      </c>
      <c r="D774" s="770" t="s">
        <v>494</v>
      </c>
      <c r="E774" s="770" t="s">
        <v>508</v>
      </c>
      <c r="F774" s="770" t="s">
        <v>496</v>
      </c>
      <c r="G774" s="770" t="s">
        <v>103</v>
      </c>
      <c r="H774" s="770">
        <v>2019.0</v>
      </c>
      <c r="I774" s="771">
        <v>1112.772635</v>
      </c>
      <c r="J774" s="771">
        <v>1787.856503</v>
      </c>
      <c r="K774" s="772">
        <v>687.4409926</v>
      </c>
      <c r="M774" s="769" t="s">
        <v>493</v>
      </c>
      <c r="N774" s="770" t="s">
        <v>634</v>
      </c>
      <c r="O774" s="770" t="s">
        <v>494</v>
      </c>
      <c r="P774" s="770" t="s">
        <v>508</v>
      </c>
      <c r="Q774" s="770" t="s">
        <v>496</v>
      </c>
      <c r="R774" s="770" t="s">
        <v>497</v>
      </c>
      <c r="S774" s="770">
        <v>2019.0</v>
      </c>
      <c r="T774" s="771">
        <v>1143.160688</v>
      </c>
      <c r="U774" s="771">
        <v>1836.680025</v>
      </c>
      <c r="V774" s="772">
        <v>706.2139143</v>
      </c>
      <c r="X774" s="769" t="s">
        <v>496</v>
      </c>
      <c r="Y774" s="770" t="s">
        <v>494</v>
      </c>
      <c r="Z774" s="770" t="s">
        <v>499</v>
      </c>
      <c r="AA774" s="770" t="s">
        <v>635</v>
      </c>
      <c r="AB774" s="770" t="s">
        <v>493</v>
      </c>
      <c r="AC774" s="770" t="s">
        <v>103</v>
      </c>
      <c r="AD774" s="770" t="s">
        <v>501</v>
      </c>
      <c r="AE774" s="784" t="s">
        <v>502</v>
      </c>
      <c r="AF774" s="771">
        <v>6395.068331</v>
      </c>
      <c r="AG774" s="771">
        <v>5409.799926</v>
      </c>
      <c r="AH774" s="771">
        <v>7642.208642</v>
      </c>
      <c r="AI774" s="772" t="s">
        <v>233</v>
      </c>
      <c r="AK774" s="769" t="s">
        <v>496</v>
      </c>
      <c r="AL774" s="770" t="s">
        <v>494</v>
      </c>
      <c r="AM774" s="770" t="s">
        <v>499</v>
      </c>
      <c r="AN774" s="770" t="s">
        <v>635</v>
      </c>
      <c r="AO774" s="770" t="s">
        <v>493</v>
      </c>
      <c r="AP774" s="770" t="s">
        <v>504</v>
      </c>
      <c r="AQ774" s="770" t="s">
        <v>501</v>
      </c>
      <c r="AR774" s="1010" t="s">
        <v>502</v>
      </c>
      <c r="AS774" s="771">
        <v>166750.6742</v>
      </c>
      <c r="AT774" s="771">
        <v>141059.9134</v>
      </c>
      <c r="AU774" s="771">
        <v>199269.715</v>
      </c>
      <c r="AV774" s="989" t="s">
        <v>233</v>
      </c>
      <c r="AW774" s="714"/>
    </row>
    <row r="775">
      <c r="A775" s="761"/>
      <c r="B775" s="769" t="s">
        <v>493</v>
      </c>
      <c r="C775" s="770" t="s">
        <v>634</v>
      </c>
      <c r="D775" s="770" t="s">
        <v>494</v>
      </c>
      <c r="E775" s="770" t="s">
        <v>512</v>
      </c>
      <c r="F775" s="770" t="s">
        <v>496</v>
      </c>
      <c r="G775" s="770" t="s">
        <v>103</v>
      </c>
      <c r="H775" s="770">
        <v>2019.0</v>
      </c>
      <c r="I775" s="771">
        <v>537.6691739</v>
      </c>
      <c r="J775" s="771">
        <v>673.6256175</v>
      </c>
      <c r="K775" s="772">
        <v>438.8957156</v>
      </c>
      <c r="M775" s="769" t="s">
        <v>493</v>
      </c>
      <c r="N775" s="770" t="s">
        <v>634</v>
      </c>
      <c r="O775" s="770" t="s">
        <v>494</v>
      </c>
      <c r="P775" s="770" t="s">
        <v>512</v>
      </c>
      <c r="Q775" s="770" t="s">
        <v>496</v>
      </c>
      <c r="R775" s="770" t="s">
        <v>497</v>
      </c>
      <c r="S775" s="770">
        <v>2019.0</v>
      </c>
      <c r="T775" s="771">
        <v>8716.543489</v>
      </c>
      <c r="U775" s="771">
        <v>10920.63164</v>
      </c>
      <c r="V775" s="772">
        <v>7115.255585</v>
      </c>
      <c r="X775" s="769" t="s">
        <v>496</v>
      </c>
      <c r="Y775" s="770" t="s">
        <v>494</v>
      </c>
      <c r="Z775" s="770" t="s">
        <v>507</v>
      </c>
      <c r="AA775" s="770" t="s">
        <v>635</v>
      </c>
      <c r="AB775" s="770" t="s">
        <v>493</v>
      </c>
      <c r="AC775" s="770" t="s">
        <v>103</v>
      </c>
      <c r="AD775" s="770" t="s">
        <v>501</v>
      </c>
      <c r="AE775" s="784" t="s">
        <v>502</v>
      </c>
      <c r="AF775" s="771">
        <v>6393.269666</v>
      </c>
      <c r="AG775" s="771">
        <v>5420.344742</v>
      </c>
      <c r="AH775" s="771">
        <v>7637.27452</v>
      </c>
      <c r="AI775" s="772" t="s">
        <v>233</v>
      </c>
      <c r="AK775" s="769" t="s">
        <v>496</v>
      </c>
      <c r="AL775" s="770" t="s">
        <v>494</v>
      </c>
      <c r="AM775" s="770" t="s">
        <v>507</v>
      </c>
      <c r="AN775" s="770" t="s">
        <v>635</v>
      </c>
      <c r="AO775" s="770" t="s">
        <v>493</v>
      </c>
      <c r="AP775" s="770" t="s">
        <v>504</v>
      </c>
      <c r="AQ775" s="770" t="s">
        <v>501</v>
      </c>
      <c r="AR775" s="1010" t="s">
        <v>502</v>
      </c>
      <c r="AS775" s="771">
        <v>3679.11438</v>
      </c>
      <c r="AT775" s="771">
        <v>3119.228396</v>
      </c>
      <c r="AU775" s="771">
        <v>4394.997862</v>
      </c>
      <c r="AV775" s="989" t="s">
        <v>233</v>
      </c>
      <c r="AW775" s="714"/>
    </row>
    <row r="776">
      <c r="A776" s="761"/>
      <c r="B776" s="769" t="s">
        <v>493</v>
      </c>
      <c r="C776" s="770" t="s">
        <v>634</v>
      </c>
      <c r="D776" s="770" t="s">
        <v>494</v>
      </c>
      <c r="E776" s="770" t="s">
        <v>495</v>
      </c>
      <c r="F776" s="770" t="s">
        <v>514</v>
      </c>
      <c r="G776" s="770" t="s">
        <v>103</v>
      </c>
      <c r="H776" s="770">
        <v>2019.0</v>
      </c>
      <c r="I776" s="771">
        <v>4161.673698</v>
      </c>
      <c r="J776" s="771">
        <v>5458.988641</v>
      </c>
      <c r="K776" s="772">
        <v>3188.369039</v>
      </c>
      <c r="M776" s="769" t="s">
        <v>493</v>
      </c>
      <c r="N776" s="770" t="s">
        <v>634</v>
      </c>
      <c r="O776" s="770" t="s">
        <v>494</v>
      </c>
      <c r="P776" s="770" t="s">
        <v>495</v>
      </c>
      <c r="Q776" s="770" t="s">
        <v>514</v>
      </c>
      <c r="R776" s="770" t="s">
        <v>497</v>
      </c>
      <c r="S776" s="770">
        <v>2019.0</v>
      </c>
      <c r="T776" s="771">
        <v>783.4070783</v>
      </c>
      <c r="U776" s="771">
        <v>1027.617889</v>
      </c>
      <c r="V776" s="772">
        <v>600.1890236</v>
      </c>
      <c r="X776" s="769" t="s">
        <v>496</v>
      </c>
      <c r="Y776" s="770" t="s">
        <v>494</v>
      </c>
      <c r="Z776" s="770" t="s">
        <v>509</v>
      </c>
      <c r="AA776" s="770" t="s">
        <v>635</v>
      </c>
      <c r="AB776" s="770" t="s">
        <v>493</v>
      </c>
      <c r="AC776" s="770" t="s">
        <v>103</v>
      </c>
      <c r="AD776" s="770" t="s">
        <v>501</v>
      </c>
      <c r="AE776" s="784" t="s">
        <v>502</v>
      </c>
      <c r="AF776" s="771">
        <v>1674.117745</v>
      </c>
      <c r="AG776" s="771">
        <v>1407.539838</v>
      </c>
      <c r="AH776" s="771">
        <v>2011.382321</v>
      </c>
      <c r="AI776" s="772" t="s">
        <v>233</v>
      </c>
      <c r="AK776" s="769" t="s">
        <v>496</v>
      </c>
      <c r="AL776" s="770" t="s">
        <v>494</v>
      </c>
      <c r="AM776" s="770" t="s">
        <v>509</v>
      </c>
      <c r="AN776" s="770" t="s">
        <v>635</v>
      </c>
      <c r="AO776" s="770" t="s">
        <v>493</v>
      </c>
      <c r="AP776" s="770" t="s">
        <v>504</v>
      </c>
      <c r="AQ776" s="770" t="s">
        <v>501</v>
      </c>
      <c r="AR776" s="1010" t="s">
        <v>502</v>
      </c>
      <c r="AS776" s="771">
        <v>14869.02482</v>
      </c>
      <c r="AT776" s="771">
        <v>12501.35772</v>
      </c>
      <c r="AU776" s="771">
        <v>17864.51028</v>
      </c>
      <c r="AV776" s="989" t="s">
        <v>233</v>
      </c>
      <c r="AW776" s="714"/>
    </row>
    <row r="777">
      <c r="A777" s="761"/>
      <c r="B777" s="769" t="s">
        <v>493</v>
      </c>
      <c r="C777" s="770" t="s">
        <v>634</v>
      </c>
      <c r="D777" s="770" t="s">
        <v>494</v>
      </c>
      <c r="E777" s="770" t="s">
        <v>505</v>
      </c>
      <c r="F777" s="770" t="s">
        <v>514</v>
      </c>
      <c r="G777" s="770" t="s">
        <v>103</v>
      </c>
      <c r="H777" s="770">
        <v>2019.0</v>
      </c>
      <c r="I777" s="771">
        <v>1915.780176</v>
      </c>
      <c r="J777" s="771">
        <v>2387.782687</v>
      </c>
      <c r="K777" s="772">
        <v>1550.369531</v>
      </c>
      <c r="M777" s="769" t="s">
        <v>493</v>
      </c>
      <c r="N777" s="770" t="s">
        <v>634</v>
      </c>
      <c r="O777" s="770" t="s">
        <v>494</v>
      </c>
      <c r="P777" s="770" t="s">
        <v>505</v>
      </c>
      <c r="Q777" s="770" t="s">
        <v>514</v>
      </c>
      <c r="R777" s="770" t="s">
        <v>497</v>
      </c>
      <c r="S777" s="770">
        <v>2019.0</v>
      </c>
      <c r="T777" s="771">
        <v>91983.55304</v>
      </c>
      <c r="U777" s="771">
        <v>114646.1051</v>
      </c>
      <c r="V777" s="772">
        <v>74438.86297</v>
      </c>
      <c r="X777" s="769" t="s">
        <v>496</v>
      </c>
      <c r="Y777" s="770" t="s">
        <v>494</v>
      </c>
      <c r="Z777" s="770" t="s">
        <v>513</v>
      </c>
      <c r="AA777" s="770" t="s">
        <v>635</v>
      </c>
      <c r="AB777" s="770" t="s">
        <v>493</v>
      </c>
      <c r="AC777" s="770" t="s">
        <v>103</v>
      </c>
      <c r="AD777" s="770" t="s">
        <v>501</v>
      </c>
      <c r="AE777" s="784" t="s">
        <v>502</v>
      </c>
      <c r="AF777" s="771">
        <v>23657.21977</v>
      </c>
      <c r="AG777" s="771">
        <v>19966.48456</v>
      </c>
      <c r="AH777" s="771">
        <v>28266.08617</v>
      </c>
      <c r="AI777" s="772" t="s">
        <v>233</v>
      </c>
      <c r="AK777" s="769" t="s">
        <v>496</v>
      </c>
      <c r="AL777" s="770" t="s">
        <v>494</v>
      </c>
      <c r="AM777" s="770" t="s">
        <v>513</v>
      </c>
      <c r="AN777" s="770" t="s">
        <v>635</v>
      </c>
      <c r="AO777" s="770" t="s">
        <v>493</v>
      </c>
      <c r="AP777" s="770" t="s">
        <v>504</v>
      </c>
      <c r="AQ777" s="770" t="s">
        <v>501</v>
      </c>
      <c r="AR777" s="1010" t="s">
        <v>502</v>
      </c>
      <c r="AS777" s="771">
        <v>2731.724901</v>
      </c>
      <c r="AT777" s="771">
        <v>2305.551691</v>
      </c>
      <c r="AU777" s="771">
        <v>3263.915717</v>
      </c>
      <c r="AV777" s="989" t="s">
        <v>233</v>
      </c>
      <c r="AW777" s="714"/>
    </row>
    <row r="778">
      <c r="A778" s="761"/>
      <c r="B778" s="769" t="s">
        <v>493</v>
      </c>
      <c r="C778" s="770" t="s">
        <v>634</v>
      </c>
      <c r="D778" s="770" t="s">
        <v>494</v>
      </c>
      <c r="E778" s="770" t="s">
        <v>508</v>
      </c>
      <c r="F778" s="770" t="s">
        <v>514</v>
      </c>
      <c r="G778" s="770" t="s">
        <v>103</v>
      </c>
      <c r="H778" s="770">
        <v>2019.0</v>
      </c>
      <c r="I778" s="771">
        <v>965.8063134</v>
      </c>
      <c r="J778" s="771">
        <v>1568.709656</v>
      </c>
      <c r="K778" s="772">
        <v>595.7974748</v>
      </c>
      <c r="M778" s="769" t="s">
        <v>493</v>
      </c>
      <c r="N778" s="770" t="s">
        <v>634</v>
      </c>
      <c r="O778" s="770" t="s">
        <v>494</v>
      </c>
      <c r="P778" s="770" t="s">
        <v>508</v>
      </c>
      <c r="Q778" s="770" t="s">
        <v>514</v>
      </c>
      <c r="R778" s="770" t="s">
        <v>497</v>
      </c>
      <c r="S778" s="770">
        <v>2019.0</v>
      </c>
      <c r="T778" s="771">
        <v>992.18095</v>
      </c>
      <c r="U778" s="771">
        <v>1611.548626</v>
      </c>
      <c r="V778" s="772">
        <v>612.0677576</v>
      </c>
      <c r="X778" s="769" t="s">
        <v>514</v>
      </c>
      <c r="Y778" s="770" t="s">
        <v>494</v>
      </c>
      <c r="Z778" s="770" t="s">
        <v>499</v>
      </c>
      <c r="AA778" s="770" t="s">
        <v>635</v>
      </c>
      <c r="AB778" s="770" t="s">
        <v>493</v>
      </c>
      <c r="AC778" s="770" t="s">
        <v>103</v>
      </c>
      <c r="AD778" s="770" t="s">
        <v>501</v>
      </c>
      <c r="AE778" s="784" t="s">
        <v>502</v>
      </c>
      <c r="AF778" s="771">
        <v>5899.864675</v>
      </c>
      <c r="AG778" s="771">
        <v>4889.837893</v>
      </c>
      <c r="AH778" s="771">
        <v>7058.51424</v>
      </c>
      <c r="AI778" s="772" t="s">
        <v>233</v>
      </c>
      <c r="AK778" s="769" t="s">
        <v>514</v>
      </c>
      <c r="AL778" s="770" t="s">
        <v>494</v>
      </c>
      <c r="AM778" s="770" t="s">
        <v>499</v>
      </c>
      <c r="AN778" s="770" t="s">
        <v>635</v>
      </c>
      <c r="AO778" s="770" t="s">
        <v>493</v>
      </c>
      <c r="AP778" s="770" t="s">
        <v>504</v>
      </c>
      <c r="AQ778" s="770" t="s">
        <v>501</v>
      </c>
      <c r="AR778" s="1010" t="s">
        <v>502</v>
      </c>
      <c r="AS778" s="771">
        <v>153838.2956</v>
      </c>
      <c r="AT778" s="771">
        <v>127501.9629</v>
      </c>
      <c r="AU778" s="771">
        <v>184049.9503</v>
      </c>
      <c r="AV778" s="989" t="s">
        <v>233</v>
      </c>
      <c r="AW778" s="714"/>
    </row>
    <row r="779">
      <c r="A779" s="761"/>
      <c r="B779" s="769" t="s">
        <v>493</v>
      </c>
      <c r="C779" s="770" t="s">
        <v>634</v>
      </c>
      <c r="D779" s="770" t="s">
        <v>494</v>
      </c>
      <c r="E779" s="770" t="s">
        <v>512</v>
      </c>
      <c r="F779" s="770" t="s">
        <v>514</v>
      </c>
      <c r="G779" s="770" t="s">
        <v>103</v>
      </c>
      <c r="H779" s="770">
        <v>2019.0</v>
      </c>
      <c r="I779" s="771">
        <v>482.461668</v>
      </c>
      <c r="J779" s="771">
        <v>610.2921528</v>
      </c>
      <c r="K779" s="772">
        <v>382.8630112</v>
      </c>
      <c r="M779" s="769" t="s">
        <v>493</v>
      </c>
      <c r="N779" s="770" t="s">
        <v>634</v>
      </c>
      <c r="O779" s="770" t="s">
        <v>494</v>
      </c>
      <c r="P779" s="770" t="s">
        <v>512</v>
      </c>
      <c r="Q779" s="770" t="s">
        <v>514</v>
      </c>
      <c r="R779" s="770" t="s">
        <v>497</v>
      </c>
      <c r="S779" s="770">
        <v>2019.0</v>
      </c>
      <c r="T779" s="771">
        <v>7821.53472</v>
      </c>
      <c r="U779" s="771">
        <v>9893.887076</v>
      </c>
      <c r="V779" s="772">
        <v>6206.868926</v>
      </c>
      <c r="X779" s="769" t="s">
        <v>514</v>
      </c>
      <c r="Y779" s="770" t="s">
        <v>494</v>
      </c>
      <c r="Z779" s="770" t="s">
        <v>507</v>
      </c>
      <c r="AA779" s="770" t="s">
        <v>635</v>
      </c>
      <c r="AB779" s="770" t="s">
        <v>493</v>
      </c>
      <c r="AC779" s="770" t="s">
        <v>103</v>
      </c>
      <c r="AD779" s="770" t="s">
        <v>501</v>
      </c>
      <c r="AE779" s="784" t="s">
        <v>502</v>
      </c>
      <c r="AF779" s="771">
        <v>5428.895541</v>
      </c>
      <c r="AG779" s="771">
        <v>4410.428238</v>
      </c>
      <c r="AH779" s="771">
        <v>6638.097419</v>
      </c>
      <c r="AI779" s="772" t="s">
        <v>233</v>
      </c>
      <c r="AK779" s="769" t="s">
        <v>514</v>
      </c>
      <c r="AL779" s="770" t="s">
        <v>494</v>
      </c>
      <c r="AM779" s="770" t="s">
        <v>507</v>
      </c>
      <c r="AN779" s="770" t="s">
        <v>635</v>
      </c>
      <c r="AO779" s="770" t="s">
        <v>493</v>
      </c>
      <c r="AP779" s="770" t="s">
        <v>504</v>
      </c>
      <c r="AQ779" s="770" t="s">
        <v>501</v>
      </c>
      <c r="AR779" s="1010" t="s">
        <v>502</v>
      </c>
      <c r="AS779" s="771">
        <v>3124.149096</v>
      </c>
      <c r="AT779" s="771">
        <v>2538.054986</v>
      </c>
      <c r="AU779" s="771">
        <v>3820.004621</v>
      </c>
      <c r="AV779" s="989" t="s">
        <v>233</v>
      </c>
      <c r="AW779" s="714"/>
    </row>
    <row r="780">
      <c r="A780" s="761"/>
      <c r="B780" s="769" t="s">
        <v>493</v>
      </c>
      <c r="C780" s="770" t="s">
        <v>634</v>
      </c>
      <c r="D780" s="770" t="s">
        <v>494</v>
      </c>
      <c r="E780" s="770" t="s">
        <v>495</v>
      </c>
      <c r="F780" s="770" t="s">
        <v>518</v>
      </c>
      <c r="G780" s="770" t="s">
        <v>103</v>
      </c>
      <c r="H780" s="770">
        <v>2019.0</v>
      </c>
      <c r="I780" s="771">
        <v>822.1595285</v>
      </c>
      <c r="J780" s="771">
        <v>1454.465404</v>
      </c>
      <c r="K780" s="772">
        <v>273.100391</v>
      </c>
      <c r="M780" s="769" t="s">
        <v>493</v>
      </c>
      <c r="N780" s="770" t="s">
        <v>634</v>
      </c>
      <c r="O780" s="770" t="s">
        <v>494</v>
      </c>
      <c r="P780" s="770" t="s">
        <v>495</v>
      </c>
      <c r="Q780" s="770" t="s">
        <v>518</v>
      </c>
      <c r="R780" s="770" t="s">
        <v>497</v>
      </c>
      <c r="S780" s="770">
        <v>2019.0</v>
      </c>
      <c r="T780" s="771">
        <v>154.7660006</v>
      </c>
      <c r="U780" s="771">
        <v>273.7933282</v>
      </c>
      <c r="V780" s="772">
        <v>51.40931147</v>
      </c>
      <c r="X780" s="769" t="s">
        <v>514</v>
      </c>
      <c r="Y780" s="770" t="s">
        <v>494</v>
      </c>
      <c r="Z780" s="770" t="s">
        <v>509</v>
      </c>
      <c r="AA780" s="770" t="s">
        <v>635</v>
      </c>
      <c r="AB780" s="770" t="s">
        <v>493</v>
      </c>
      <c r="AC780" s="770" t="s">
        <v>103</v>
      </c>
      <c r="AD780" s="770" t="s">
        <v>501</v>
      </c>
      <c r="AE780" s="784" t="s">
        <v>502</v>
      </c>
      <c r="AF780" s="771">
        <v>1470.155888</v>
      </c>
      <c r="AG780" s="771">
        <v>1207.873094</v>
      </c>
      <c r="AH780" s="771">
        <v>1791.984369</v>
      </c>
      <c r="AI780" s="772" t="s">
        <v>233</v>
      </c>
      <c r="AK780" s="769" t="s">
        <v>514</v>
      </c>
      <c r="AL780" s="770" t="s">
        <v>494</v>
      </c>
      <c r="AM780" s="770" t="s">
        <v>509</v>
      </c>
      <c r="AN780" s="770" t="s">
        <v>635</v>
      </c>
      <c r="AO780" s="770" t="s">
        <v>493</v>
      </c>
      <c r="AP780" s="770" t="s">
        <v>504</v>
      </c>
      <c r="AQ780" s="770" t="s">
        <v>501</v>
      </c>
      <c r="AR780" s="1010" t="s">
        <v>502</v>
      </c>
      <c r="AS780" s="771">
        <v>13057.49518</v>
      </c>
      <c r="AT780" s="771">
        <v>10727.97601</v>
      </c>
      <c r="AU780" s="771">
        <v>15915.88175</v>
      </c>
      <c r="AV780" s="989" t="s">
        <v>233</v>
      </c>
      <c r="AW780" s="714"/>
    </row>
    <row r="781">
      <c r="A781" s="761"/>
      <c r="B781" s="769" t="s">
        <v>493</v>
      </c>
      <c r="C781" s="770" t="s">
        <v>634</v>
      </c>
      <c r="D781" s="770" t="s">
        <v>494</v>
      </c>
      <c r="E781" s="770" t="s">
        <v>505</v>
      </c>
      <c r="F781" s="770" t="s">
        <v>518</v>
      </c>
      <c r="G781" s="770" t="s">
        <v>103</v>
      </c>
      <c r="H781" s="770">
        <v>2019.0</v>
      </c>
      <c r="I781" s="771">
        <v>29.74511267</v>
      </c>
      <c r="J781" s="771">
        <v>62.73287914</v>
      </c>
      <c r="K781" s="772">
        <v>11.32559655</v>
      </c>
      <c r="M781" s="769" t="s">
        <v>493</v>
      </c>
      <c r="N781" s="770" t="s">
        <v>634</v>
      </c>
      <c r="O781" s="770" t="s">
        <v>494</v>
      </c>
      <c r="P781" s="770" t="s">
        <v>505</v>
      </c>
      <c r="Q781" s="770" t="s">
        <v>518</v>
      </c>
      <c r="R781" s="770" t="s">
        <v>497</v>
      </c>
      <c r="S781" s="770">
        <v>2019.0</v>
      </c>
      <c r="T781" s="771">
        <v>1428.170718</v>
      </c>
      <c r="U781" s="771">
        <v>3012.033002</v>
      </c>
      <c r="V781" s="772">
        <v>543.782958</v>
      </c>
      <c r="X781" s="769" t="s">
        <v>514</v>
      </c>
      <c r="Y781" s="770" t="s">
        <v>494</v>
      </c>
      <c r="Z781" s="770" t="s">
        <v>513</v>
      </c>
      <c r="AA781" s="770" t="s">
        <v>635</v>
      </c>
      <c r="AB781" s="770" t="s">
        <v>493</v>
      </c>
      <c r="AC781" s="770" t="s">
        <v>103</v>
      </c>
      <c r="AD781" s="770" t="s">
        <v>501</v>
      </c>
      <c r="AE781" s="784" t="s">
        <v>502</v>
      </c>
      <c r="AF781" s="771">
        <v>20634.60529</v>
      </c>
      <c r="AG781" s="771">
        <v>17090.46259</v>
      </c>
      <c r="AH781" s="771">
        <v>24984.77883</v>
      </c>
      <c r="AI781" s="772" t="s">
        <v>233</v>
      </c>
      <c r="AK781" s="769" t="s">
        <v>514</v>
      </c>
      <c r="AL781" s="770" t="s">
        <v>494</v>
      </c>
      <c r="AM781" s="770" t="s">
        <v>513</v>
      </c>
      <c r="AN781" s="770" t="s">
        <v>635</v>
      </c>
      <c r="AO781" s="770" t="s">
        <v>493</v>
      </c>
      <c r="AP781" s="770" t="s">
        <v>504</v>
      </c>
      <c r="AQ781" s="770" t="s">
        <v>501</v>
      </c>
      <c r="AR781" s="1010" t="s">
        <v>502</v>
      </c>
      <c r="AS781" s="771">
        <v>2382.700319</v>
      </c>
      <c r="AT781" s="771">
        <v>1973.454306</v>
      </c>
      <c r="AU781" s="771">
        <v>2885.01959</v>
      </c>
      <c r="AV781" s="989" t="s">
        <v>233</v>
      </c>
      <c r="AW781" s="714"/>
    </row>
    <row r="782">
      <c r="A782" s="761"/>
      <c r="B782" s="769" t="s">
        <v>493</v>
      </c>
      <c r="C782" s="770" t="s">
        <v>634</v>
      </c>
      <c r="D782" s="770" t="s">
        <v>494</v>
      </c>
      <c r="E782" s="770" t="s">
        <v>508</v>
      </c>
      <c r="F782" s="770" t="s">
        <v>518</v>
      </c>
      <c r="G782" s="770" t="s">
        <v>103</v>
      </c>
      <c r="H782" s="770">
        <v>2019.0</v>
      </c>
      <c r="I782" s="771">
        <v>392.7861514</v>
      </c>
      <c r="J782" s="771">
        <v>792.9566071</v>
      </c>
      <c r="K782" s="772">
        <v>130.8168808</v>
      </c>
      <c r="M782" s="769" t="s">
        <v>493</v>
      </c>
      <c r="N782" s="770" t="s">
        <v>634</v>
      </c>
      <c r="O782" s="770" t="s">
        <v>494</v>
      </c>
      <c r="P782" s="770" t="s">
        <v>508</v>
      </c>
      <c r="Q782" s="770" t="s">
        <v>518</v>
      </c>
      <c r="R782" s="770" t="s">
        <v>497</v>
      </c>
      <c r="S782" s="770">
        <v>2019.0</v>
      </c>
      <c r="T782" s="771">
        <v>403.5125174</v>
      </c>
      <c r="U782" s="771">
        <v>814.6109927</v>
      </c>
      <c r="V782" s="772">
        <v>134.3892821</v>
      </c>
      <c r="X782" s="769" t="s">
        <v>518</v>
      </c>
      <c r="Y782" s="770" t="s">
        <v>494</v>
      </c>
      <c r="Z782" s="770" t="s">
        <v>499</v>
      </c>
      <c r="AA782" s="770" t="s">
        <v>635</v>
      </c>
      <c r="AB782" s="770" t="s">
        <v>493</v>
      </c>
      <c r="AC782" s="770" t="s">
        <v>103</v>
      </c>
      <c r="AD782" s="770" t="s">
        <v>501</v>
      </c>
      <c r="AE782" s="784" t="s">
        <v>502</v>
      </c>
      <c r="AF782" s="771">
        <v>70.9454</v>
      </c>
      <c r="AG782" s="771">
        <v>30.18874374</v>
      </c>
      <c r="AH782" s="771">
        <v>150.1227708</v>
      </c>
      <c r="AI782" s="772" t="s">
        <v>233</v>
      </c>
      <c r="AK782" s="769" t="s">
        <v>518</v>
      </c>
      <c r="AL782" s="770" t="s">
        <v>494</v>
      </c>
      <c r="AM782" s="770" t="s">
        <v>499</v>
      </c>
      <c r="AN782" s="770" t="s">
        <v>635</v>
      </c>
      <c r="AO782" s="770" t="s">
        <v>493</v>
      </c>
      <c r="AP782" s="770" t="s">
        <v>504</v>
      </c>
      <c r="AQ782" s="770" t="s">
        <v>501</v>
      </c>
      <c r="AR782" s="1010" t="s">
        <v>502</v>
      </c>
      <c r="AS782" s="771">
        <v>1849.893179</v>
      </c>
      <c r="AT782" s="771">
        <v>787.1680351</v>
      </c>
      <c r="AU782" s="771">
        <v>3914.434053</v>
      </c>
      <c r="AV782" s="989" t="s">
        <v>233</v>
      </c>
      <c r="AW782" s="714"/>
    </row>
    <row r="783">
      <c r="A783" s="761"/>
      <c r="B783" s="769" t="s">
        <v>493</v>
      </c>
      <c r="C783" s="770" t="s">
        <v>634</v>
      </c>
      <c r="D783" s="770" t="s">
        <v>494</v>
      </c>
      <c r="E783" s="770" t="s">
        <v>512</v>
      </c>
      <c r="F783" s="770" t="s">
        <v>518</v>
      </c>
      <c r="G783" s="770" t="s">
        <v>103</v>
      </c>
      <c r="H783" s="770">
        <v>2019.0</v>
      </c>
      <c r="I783" s="771">
        <v>61.79434908</v>
      </c>
      <c r="J783" s="771">
        <v>129.2150376</v>
      </c>
      <c r="K783" s="772">
        <v>20.77849704</v>
      </c>
      <c r="M783" s="769" t="s">
        <v>493</v>
      </c>
      <c r="N783" s="770" t="s">
        <v>634</v>
      </c>
      <c r="O783" s="770" t="s">
        <v>494</v>
      </c>
      <c r="P783" s="770" t="s">
        <v>512</v>
      </c>
      <c r="Q783" s="770" t="s">
        <v>518</v>
      </c>
      <c r="R783" s="770" t="s">
        <v>497</v>
      </c>
      <c r="S783" s="770">
        <v>2019.0</v>
      </c>
      <c r="T783" s="771">
        <v>1001.792845</v>
      </c>
      <c r="U783" s="771">
        <v>2094.798343</v>
      </c>
      <c r="V783" s="772">
        <v>336.8552298</v>
      </c>
      <c r="X783" s="769" t="s">
        <v>518</v>
      </c>
      <c r="Y783" s="770" t="s">
        <v>494</v>
      </c>
      <c r="Z783" s="770" t="s">
        <v>507</v>
      </c>
      <c r="AA783" s="770" t="s">
        <v>635</v>
      </c>
      <c r="AB783" s="770" t="s">
        <v>493</v>
      </c>
      <c r="AC783" s="770" t="s">
        <v>103</v>
      </c>
      <c r="AD783" s="770" t="s">
        <v>501</v>
      </c>
      <c r="AE783" s="784" t="s">
        <v>502</v>
      </c>
      <c r="AF783" s="771">
        <v>1926.898759</v>
      </c>
      <c r="AG783" s="771">
        <v>1087.435852</v>
      </c>
      <c r="AH783" s="771">
        <v>2885.700664</v>
      </c>
      <c r="AI783" s="772" t="s">
        <v>233</v>
      </c>
      <c r="AK783" s="769" t="s">
        <v>518</v>
      </c>
      <c r="AL783" s="770" t="s">
        <v>494</v>
      </c>
      <c r="AM783" s="770" t="s">
        <v>507</v>
      </c>
      <c r="AN783" s="770" t="s">
        <v>635</v>
      </c>
      <c r="AO783" s="770" t="s">
        <v>493</v>
      </c>
      <c r="AP783" s="770" t="s">
        <v>504</v>
      </c>
      <c r="AQ783" s="770" t="s">
        <v>501</v>
      </c>
      <c r="AR783" s="1010" t="s">
        <v>502</v>
      </c>
      <c r="AS783" s="771">
        <v>1108.866246</v>
      </c>
      <c r="AT783" s="771">
        <v>625.7832201</v>
      </c>
      <c r="AU783" s="771">
        <v>1660.624901</v>
      </c>
      <c r="AV783" s="989" t="s">
        <v>233</v>
      </c>
      <c r="AW783" s="714"/>
    </row>
    <row r="784">
      <c r="A784" s="761"/>
      <c r="B784" s="769" t="s">
        <v>493</v>
      </c>
      <c r="C784" s="770" t="s">
        <v>634</v>
      </c>
      <c r="D784" s="770" t="s">
        <v>494</v>
      </c>
      <c r="E784" s="770" t="s">
        <v>495</v>
      </c>
      <c r="F784" s="770" t="s">
        <v>519</v>
      </c>
      <c r="G784" s="770" t="s">
        <v>103</v>
      </c>
      <c r="H784" s="770">
        <v>2019.0</v>
      </c>
      <c r="I784" s="771">
        <v>1892.054415</v>
      </c>
      <c r="J784" s="771">
        <v>2360.057943</v>
      </c>
      <c r="K784" s="772">
        <v>1513.031614</v>
      </c>
      <c r="M784" s="769" t="s">
        <v>493</v>
      </c>
      <c r="N784" s="770" t="s">
        <v>634</v>
      </c>
      <c r="O784" s="770" t="s">
        <v>494</v>
      </c>
      <c r="P784" s="770" t="s">
        <v>495</v>
      </c>
      <c r="Q784" s="770" t="s">
        <v>519</v>
      </c>
      <c r="R784" s="770" t="s">
        <v>497</v>
      </c>
      <c r="S784" s="770">
        <v>2019.0</v>
      </c>
      <c r="T784" s="771">
        <v>356.1665158</v>
      </c>
      <c r="U784" s="771">
        <v>444.2650318</v>
      </c>
      <c r="V784" s="772">
        <v>284.8180233</v>
      </c>
      <c r="X784" s="769" t="s">
        <v>518</v>
      </c>
      <c r="Y784" s="770" t="s">
        <v>494</v>
      </c>
      <c r="Z784" s="770" t="s">
        <v>509</v>
      </c>
      <c r="AA784" s="770" t="s">
        <v>635</v>
      </c>
      <c r="AB784" s="770" t="s">
        <v>493</v>
      </c>
      <c r="AC784" s="770" t="s">
        <v>103</v>
      </c>
      <c r="AD784" s="770" t="s">
        <v>501</v>
      </c>
      <c r="AE784" s="784" t="s">
        <v>502</v>
      </c>
      <c r="AF784" s="771">
        <v>175.6003041</v>
      </c>
      <c r="AG784" s="771">
        <v>95.68718229</v>
      </c>
      <c r="AH784" s="771">
        <v>299.8326956</v>
      </c>
      <c r="AI784" s="772" t="s">
        <v>233</v>
      </c>
      <c r="AK784" s="769" t="s">
        <v>518</v>
      </c>
      <c r="AL784" s="770" t="s">
        <v>494</v>
      </c>
      <c r="AM784" s="770" t="s">
        <v>509</v>
      </c>
      <c r="AN784" s="770" t="s">
        <v>635</v>
      </c>
      <c r="AO784" s="770" t="s">
        <v>493</v>
      </c>
      <c r="AP784" s="770" t="s">
        <v>504</v>
      </c>
      <c r="AQ784" s="770" t="s">
        <v>501</v>
      </c>
      <c r="AR784" s="1010" t="s">
        <v>502</v>
      </c>
      <c r="AS784" s="771">
        <v>1559.630611</v>
      </c>
      <c r="AT784" s="771">
        <v>849.8656041</v>
      </c>
      <c r="AU784" s="771">
        <v>2663.026425</v>
      </c>
      <c r="AV784" s="989" t="s">
        <v>233</v>
      </c>
      <c r="AW784" s="714"/>
    </row>
    <row r="785">
      <c r="A785" s="761"/>
      <c r="B785" s="769" t="s">
        <v>493</v>
      </c>
      <c r="C785" s="770" t="s">
        <v>634</v>
      </c>
      <c r="D785" s="770" t="s">
        <v>494</v>
      </c>
      <c r="E785" s="770" t="s">
        <v>505</v>
      </c>
      <c r="F785" s="770" t="s">
        <v>519</v>
      </c>
      <c r="G785" s="770" t="s">
        <v>103</v>
      </c>
      <c r="H785" s="770">
        <v>2019.0</v>
      </c>
      <c r="I785" s="771">
        <v>1635.86519</v>
      </c>
      <c r="J785" s="771">
        <v>2033.933173</v>
      </c>
      <c r="K785" s="772">
        <v>1316.495735</v>
      </c>
      <c r="M785" s="769" t="s">
        <v>493</v>
      </c>
      <c r="N785" s="770" t="s">
        <v>634</v>
      </c>
      <c r="O785" s="770" t="s">
        <v>494</v>
      </c>
      <c r="P785" s="770" t="s">
        <v>505</v>
      </c>
      <c r="Q785" s="770" t="s">
        <v>519</v>
      </c>
      <c r="R785" s="770" t="s">
        <v>497</v>
      </c>
      <c r="S785" s="770">
        <v>2019.0</v>
      </c>
      <c r="T785" s="771">
        <v>78543.81954</v>
      </c>
      <c r="U785" s="771">
        <v>97656.50686</v>
      </c>
      <c r="V785" s="772">
        <v>63209.73395</v>
      </c>
      <c r="X785" s="769" t="s">
        <v>518</v>
      </c>
      <c r="Y785" s="770" t="s">
        <v>494</v>
      </c>
      <c r="Z785" s="770" t="s">
        <v>513</v>
      </c>
      <c r="AA785" s="770" t="s">
        <v>635</v>
      </c>
      <c r="AB785" s="770" t="s">
        <v>493</v>
      </c>
      <c r="AC785" s="770" t="s">
        <v>103</v>
      </c>
      <c r="AD785" s="770" t="s">
        <v>501</v>
      </c>
      <c r="AE785" s="784" t="s">
        <v>502</v>
      </c>
      <c r="AF785" s="771">
        <v>4232.710572</v>
      </c>
      <c r="AG785" s="771">
        <v>2728.119626</v>
      </c>
      <c r="AH785" s="771">
        <v>5965.655651</v>
      </c>
      <c r="AI785" s="772" t="s">
        <v>233</v>
      </c>
      <c r="AK785" s="769" t="s">
        <v>518</v>
      </c>
      <c r="AL785" s="770" t="s">
        <v>494</v>
      </c>
      <c r="AM785" s="770" t="s">
        <v>513</v>
      </c>
      <c r="AN785" s="770" t="s">
        <v>635</v>
      </c>
      <c r="AO785" s="770" t="s">
        <v>493</v>
      </c>
      <c r="AP785" s="770" t="s">
        <v>504</v>
      </c>
      <c r="AQ785" s="770" t="s">
        <v>501</v>
      </c>
      <c r="AR785" s="1010" t="s">
        <v>502</v>
      </c>
      <c r="AS785" s="771">
        <v>488.7556941</v>
      </c>
      <c r="AT785" s="771">
        <v>315.0189408</v>
      </c>
      <c r="AU785" s="771">
        <v>688.8607475</v>
      </c>
      <c r="AV785" s="989" t="s">
        <v>233</v>
      </c>
      <c r="AW785" s="714"/>
    </row>
    <row r="786">
      <c r="A786" s="761"/>
      <c r="B786" s="769" t="s">
        <v>493</v>
      </c>
      <c r="C786" s="770" t="s">
        <v>634</v>
      </c>
      <c r="D786" s="770" t="s">
        <v>494</v>
      </c>
      <c r="E786" s="770" t="s">
        <v>508</v>
      </c>
      <c r="F786" s="770" t="s">
        <v>519</v>
      </c>
      <c r="G786" s="770" t="s">
        <v>103</v>
      </c>
      <c r="H786" s="770">
        <v>2019.0</v>
      </c>
      <c r="I786" s="771">
        <v>17.04665808</v>
      </c>
      <c r="J786" s="771">
        <v>39.31466336</v>
      </c>
      <c r="K786" s="772">
        <v>6.119570264</v>
      </c>
      <c r="M786" s="769" t="s">
        <v>493</v>
      </c>
      <c r="N786" s="770" t="s">
        <v>634</v>
      </c>
      <c r="O786" s="770" t="s">
        <v>494</v>
      </c>
      <c r="P786" s="770" t="s">
        <v>508</v>
      </c>
      <c r="Q786" s="770" t="s">
        <v>519</v>
      </c>
      <c r="R786" s="770" t="s">
        <v>497</v>
      </c>
      <c r="S786" s="770">
        <v>2019.0</v>
      </c>
      <c r="T786" s="771">
        <v>17.51217524</v>
      </c>
      <c r="U786" s="771">
        <v>40.38828438</v>
      </c>
      <c r="V786" s="772">
        <v>6.28668601</v>
      </c>
      <c r="X786" s="769" t="s">
        <v>519</v>
      </c>
      <c r="Y786" s="770" t="s">
        <v>494</v>
      </c>
      <c r="Z786" s="770" t="s">
        <v>499</v>
      </c>
      <c r="AA786" s="770" t="s">
        <v>635</v>
      </c>
      <c r="AB786" s="770" t="s">
        <v>493</v>
      </c>
      <c r="AC786" s="770" t="s">
        <v>103</v>
      </c>
      <c r="AD786" s="770" t="s">
        <v>501</v>
      </c>
      <c r="AE786" s="784" t="s">
        <v>502</v>
      </c>
      <c r="AF786" s="771">
        <v>4861.715457</v>
      </c>
      <c r="AG786" s="771">
        <v>3991.518402</v>
      </c>
      <c r="AH786" s="771">
        <v>5898.877995</v>
      </c>
      <c r="AI786" s="772" t="s">
        <v>233</v>
      </c>
      <c r="AK786" s="769" t="s">
        <v>519</v>
      </c>
      <c r="AL786" s="770" t="s">
        <v>494</v>
      </c>
      <c r="AM786" s="770" t="s">
        <v>499</v>
      </c>
      <c r="AN786" s="770" t="s">
        <v>635</v>
      </c>
      <c r="AO786" s="770" t="s">
        <v>493</v>
      </c>
      <c r="AP786" s="770" t="s">
        <v>504</v>
      </c>
      <c r="AQ786" s="770" t="s">
        <v>501</v>
      </c>
      <c r="AR786" s="1010" t="s">
        <v>502</v>
      </c>
      <c r="AS786" s="771">
        <v>126768.6737</v>
      </c>
      <c r="AT786" s="771">
        <v>104078.3851</v>
      </c>
      <c r="AU786" s="771">
        <v>153812.568</v>
      </c>
      <c r="AV786" s="989" t="s">
        <v>233</v>
      </c>
      <c r="AW786" s="714"/>
    </row>
    <row r="787">
      <c r="A787" s="761"/>
      <c r="B787" s="769" t="s">
        <v>493</v>
      </c>
      <c r="C787" s="770" t="s">
        <v>634</v>
      </c>
      <c r="D787" s="770" t="s">
        <v>494</v>
      </c>
      <c r="E787" s="770" t="s">
        <v>512</v>
      </c>
      <c r="F787" s="770" t="s">
        <v>519</v>
      </c>
      <c r="G787" s="770" t="s">
        <v>103</v>
      </c>
      <c r="H787" s="770">
        <v>2019.0</v>
      </c>
      <c r="I787" s="771">
        <v>236.9439801</v>
      </c>
      <c r="J787" s="771">
        <v>335.877211</v>
      </c>
      <c r="K787" s="772">
        <v>157.3447993</v>
      </c>
      <c r="M787" s="769" t="s">
        <v>493</v>
      </c>
      <c r="N787" s="770" t="s">
        <v>634</v>
      </c>
      <c r="O787" s="770" t="s">
        <v>494</v>
      </c>
      <c r="P787" s="770" t="s">
        <v>512</v>
      </c>
      <c r="Q787" s="770" t="s">
        <v>519</v>
      </c>
      <c r="R787" s="770" t="s">
        <v>497</v>
      </c>
      <c r="S787" s="770">
        <v>2019.0</v>
      </c>
      <c r="T787" s="771">
        <v>3841.270074</v>
      </c>
      <c r="U787" s="771">
        <v>5445.148166</v>
      </c>
      <c r="V787" s="772">
        <v>2550.830237</v>
      </c>
      <c r="X787" s="769" t="s">
        <v>519</v>
      </c>
      <c r="Y787" s="770" t="s">
        <v>494</v>
      </c>
      <c r="Z787" s="770" t="s">
        <v>507</v>
      </c>
      <c r="AA787" s="770" t="s">
        <v>635</v>
      </c>
      <c r="AB787" s="770" t="s">
        <v>493</v>
      </c>
      <c r="AC787" s="770" t="s">
        <v>103</v>
      </c>
      <c r="AD787" s="770" t="s">
        <v>501</v>
      </c>
      <c r="AE787" s="784" t="s">
        <v>502</v>
      </c>
      <c r="AF787" s="771">
        <v>36.75603127</v>
      </c>
      <c r="AG787" s="771">
        <v>21.27505595</v>
      </c>
      <c r="AH787" s="771">
        <v>60.1423873</v>
      </c>
      <c r="AI787" s="772" t="s">
        <v>233</v>
      </c>
      <c r="AK787" s="769" t="s">
        <v>519</v>
      </c>
      <c r="AL787" s="770" t="s">
        <v>494</v>
      </c>
      <c r="AM787" s="770" t="s">
        <v>507</v>
      </c>
      <c r="AN787" s="770" t="s">
        <v>635</v>
      </c>
      <c r="AO787" s="770" t="s">
        <v>493</v>
      </c>
      <c r="AP787" s="770" t="s">
        <v>504</v>
      </c>
      <c r="AQ787" s="770" t="s">
        <v>501</v>
      </c>
      <c r="AR787" s="1010" t="s">
        <v>502</v>
      </c>
      <c r="AS787" s="771">
        <v>21.15187537</v>
      </c>
      <c r="AT787" s="771">
        <v>12.24308818</v>
      </c>
      <c r="AU787" s="771">
        <v>34.60994663</v>
      </c>
      <c r="AV787" s="989" t="s">
        <v>233</v>
      </c>
      <c r="AW787" s="714"/>
    </row>
    <row r="788">
      <c r="A788" s="761"/>
      <c r="B788" s="769" t="s">
        <v>493</v>
      </c>
      <c r="C788" s="770" t="s">
        <v>634</v>
      </c>
      <c r="D788" s="770" t="s">
        <v>494</v>
      </c>
      <c r="E788" s="770" t="s">
        <v>495</v>
      </c>
      <c r="F788" s="770" t="s">
        <v>521</v>
      </c>
      <c r="G788" s="770" t="s">
        <v>103</v>
      </c>
      <c r="H788" s="770">
        <v>2019.0</v>
      </c>
      <c r="I788" s="771">
        <v>37.62377197</v>
      </c>
      <c r="J788" s="771">
        <v>95.6673072</v>
      </c>
      <c r="K788" s="772">
        <v>9.920649252</v>
      </c>
      <c r="M788" s="769" t="s">
        <v>493</v>
      </c>
      <c r="N788" s="770" t="s">
        <v>634</v>
      </c>
      <c r="O788" s="770" t="s">
        <v>494</v>
      </c>
      <c r="P788" s="770" t="s">
        <v>495</v>
      </c>
      <c r="Q788" s="770" t="s">
        <v>521</v>
      </c>
      <c r="R788" s="770" t="s">
        <v>497</v>
      </c>
      <c r="S788" s="770">
        <v>2019.0</v>
      </c>
      <c r="T788" s="771">
        <v>7.08242198</v>
      </c>
      <c r="U788" s="771">
        <v>18.00872703</v>
      </c>
      <c r="V788" s="772">
        <v>1.867495486</v>
      </c>
      <c r="X788" s="769" t="s">
        <v>519</v>
      </c>
      <c r="Y788" s="770" t="s">
        <v>494</v>
      </c>
      <c r="Z788" s="770" t="s">
        <v>509</v>
      </c>
      <c r="AA788" s="770" t="s">
        <v>635</v>
      </c>
      <c r="AB788" s="770" t="s">
        <v>493</v>
      </c>
      <c r="AC788" s="770" t="s">
        <v>103</v>
      </c>
      <c r="AD788" s="770" t="s">
        <v>501</v>
      </c>
      <c r="AE788" s="784" t="s">
        <v>502</v>
      </c>
      <c r="AF788" s="771">
        <v>664.5499863</v>
      </c>
      <c r="AG788" s="771">
        <v>499.4726027</v>
      </c>
      <c r="AH788" s="771">
        <v>871.3044479</v>
      </c>
      <c r="AI788" s="772" t="s">
        <v>233</v>
      </c>
      <c r="AK788" s="769" t="s">
        <v>519</v>
      </c>
      <c r="AL788" s="770" t="s">
        <v>494</v>
      </c>
      <c r="AM788" s="770" t="s">
        <v>509</v>
      </c>
      <c r="AN788" s="770" t="s">
        <v>635</v>
      </c>
      <c r="AO788" s="770" t="s">
        <v>493</v>
      </c>
      <c r="AP788" s="770" t="s">
        <v>504</v>
      </c>
      <c r="AQ788" s="770" t="s">
        <v>501</v>
      </c>
      <c r="AR788" s="1010" t="s">
        <v>502</v>
      </c>
      <c r="AS788" s="771">
        <v>5902.338871</v>
      </c>
      <c r="AT788" s="771">
        <v>4436.169768</v>
      </c>
      <c r="AU788" s="771">
        <v>7738.671609</v>
      </c>
      <c r="AV788" s="989" t="s">
        <v>233</v>
      </c>
      <c r="AW788" s="714"/>
    </row>
    <row r="789">
      <c r="A789" s="761"/>
      <c r="B789" s="769" t="s">
        <v>493</v>
      </c>
      <c r="C789" s="770" t="s">
        <v>634</v>
      </c>
      <c r="D789" s="770" t="s">
        <v>494</v>
      </c>
      <c r="E789" s="770" t="s">
        <v>505</v>
      </c>
      <c r="F789" s="770" t="s">
        <v>521</v>
      </c>
      <c r="G789" s="770" t="s">
        <v>103</v>
      </c>
      <c r="H789" s="770">
        <v>2019.0</v>
      </c>
      <c r="I789" s="771">
        <v>0.0</v>
      </c>
      <c r="J789" s="771">
        <v>0.0</v>
      </c>
      <c r="K789" s="772">
        <v>0.0</v>
      </c>
      <c r="M789" s="769" t="s">
        <v>493</v>
      </c>
      <c r="N789" s="770" t="s">
        <v>634</v>
      </c>
      <c r="O789" s="770" t="s">
        <v>494</v>
      </c>
      <c r="P789" s="770" t="s">
        <v>505</v>
      </c>
      <c r="Q789" s="770" t="s">
        <v>521</v>
      </c>
      <c r="R789" s="770" t="s">
        <v>497</v>
      </c>
      <c r="S789" s="770">
        <v>2019.0</v>
      </c>
      <c r="T789" s="771">
        <v>0.0</v>
      </c>
      <c r="U789" s="771">
        <v>0.0</v>
      </c>
      <c r="V789" s="772">
        <v>0.0</v>
      </c>
      <c r="X789" s="769" t="s">
        <v>519</v>
      </c>
      <c r="Y789" s="770" t="s">
        <v>494</v>
      </c>
      <c r="Z789" s="770" t="s">
        <v>513</v>
      </c>
      <c r="AA789" s="770" t="s">
        <v>635</v>
      </c>
      <c r="AB789" s="770" t="s">
        <v>493</v>
      </c>
      <c r="AC789" s="770" t="s">
        <v>103</v>
      </c>
      <c r="AD789" s="770" t="s">
        <v>501</v>
      </c>
      <c r="AE789" s="784" t="s">
        <v>502</v>
      </c>
      <c r="AF789" s="771">
        <v>5576.488177</v>
      </c>
      <c r="AG789" s="771">
        <v>4595.896099</v>
      </c>
      <c r="AH789" s="771">
        <v>6787.54971</v>
      </c>
      <c r="AI789" s="772" t="s">
        <v>233</v>
      </c>
      <c r="AK789" s="769" t="s">
        <v>519</v>
      </c>
      <c r="AL789" s="770" t="s">
        <v>494</v>
      </c>
      <c r="AM789" s="770" t="s">
        <v>513</v>
      </c>
      <c r="AN789" s="770" t="s">
        <v>635</v>
      </c>
      <c r="AO789" s="770" t="s">
        <v>493</v>
      </c>
      <c r="AP789" s="770" t="s">
        <v>504</v>
      </c>
      <c r="AQ789" s="770" t="s">
        <v>501</v>
      </c>
      <c r="AR789" s="1010" t="s">
        <v>502</v>
      </c>
      <c r="AS789" s="771">
        <v>643.9231559</v>
      </c>
      <c r="AT789" s="771">
        <v>530.6931219</v>
      </c>
      <c r="AU789" s="771">
        <v>783.7657484</v>
      </c>
      <c r="AV789" s="989" t="s">
        <v>233</v>
      </c>
      <c r="AW789" s="714"/>
    </row>
    <row r="790">
      <c r="A790" s="761"/>
      <c r="B790" s="769" t="s">
        <v>493</v>
      </c>
      <c r="C790" s="770" t="s">
        <v>634</v>
      </c>
      <c r="D790" s="770" t="s">
        <v>494</v>
      </c>
      <c r="E790" s="770" t="s">
        <v>508</v>
      </c>
      <c r="F790" s="770" t="s">
        <v>521</v>
      </c>
      <c r="G790" s="770" t="s">
        <v>103</v>
      </c>
      <c r="H790" s="770">
        <v>2019.0</v>
      </c>
      <c r="I790" s="771">
        <v>10.90427453</v>
      </c>
      <c r="J790" s="771">
        <v>28.29423389</v>
      </c>
      <c r="K790" s="772">
        <v>2.633536697</v>
      </c>
      <c r="M790" s="769" t="s">
        <v>493</v>
      </c>
      <c r="N790" s="770" t="s">
        <v>634</v>
      </c>
      <c r="O790" s="770" t="s">
        <v>494</v>
      </c>
      <c r="P790" s="770" t="s">
        <v>508</v>
      </c>
      <c r="Q790" s="770" t="s">
        <v>521</v>
      </c>
      <c r="R790" s="770" t="s">
        <v>497</v>
      </c>
      <c r="S790" s="770">
        <v>2019.0</v>
      </c>
      <c r="T790" s="771">
        <v>11.20205295</v>
      </c>
      <c r="U790" s="771">
        <v>29.06690448</v>
      </c>
      <c r="V790" s="772">
        <v>2.705454402</v>
      </c>
      <c r="X790" s="769" t="s">
        <v>521</v>
      </c>
      <c r="Y790" s="770" t="s">
        <v>494</v>
      </c>
      <c r="Z790" s="770" t="s">
        <v>499</v>
      </c>
      <c r="AA790" s="770" t="s">
        <v>635</v>
      </c>
      <c r="AB790" s="770" t="s">
        <v>493</v>
      </c>
      <c r="AC790" s="770" t="s">
        <v>103</v>
      </c>
      <c r="AD790" s="770" t="s">
        <v>501</v>
      </c>
      <c r="AE790" s="784" t="s">
        <v>502</v>
      </c>
      <c r="AF790" s="771">
        <v>0.0</v>
      </c>
      <c r="AG790" s="771">
        <v>0.0</v>
      </c>
      <c r="AH790" s="771">
        <v>0.0</v>
      </c>
      <c r="AI790" s="772" t="s">
        <v>233</v>
      </c>
      <c r="AK790" s="769" t="s">
        <v>521</v>
      </c>
      <c r="AL790" s="770" t="s">
        <v>494</v>
      </c>
      <c r="AM790" s="770" t="s">
        <v>499</v>
      </c>
      <c r="AN790" s="770" t="s">
        <v>635</v>
      </c>
      <c r="AO790" s="770" t="s">
        <v>493</v>
      </c>
      <c r="AP790" s="770" t="s">
        <v>504</v>
      </c>
      <c r="AQ790" s="770" t="s">
        <v>501</v>
      </c>
      <c r="AR790" s="1010" t="s">
        <v>502</v>
      </c>
      <c r="AS790" s="771">
        <v>0.0</v>
      </c>
      <c r="AT790" s="771">
        <v>0.0</v>
      </c>
      <c r="AU790" s="771">
        <v>0.0</v>
      </c>
      <c r="AV790" s="989" t="s">
        <v>233</v>
      </c>
      <c r="AW790" s="714"/>
    </row>
    <row r="791">
      <c r="A791" s="761"/>
      <c r="B791" s="769" t="s">
        <v>493</v>
      </c>
      <c r="C791" s="770" t="s">
        <v>634</v>
      </c>
      <c r="D791" s="770" t="s">
        <v>494</v>
      </c>
      <c r="E791" s="770" t="s">
        <v>512</v>
      </c>
      <c r="F791" s="770" t="s">
        <v>521</v>
      </c>
      <c r="G791" s="770" t="s">
        <v>103</v>
      </c>
      <c r="H791" s="770">
        <v>2019.0</v>
      </c>
      <c r="I791" s="771">
        <v>0.0</v>
      </c>
      <c r="J791" s="771">
        <v>0.0</v>
      </c>
      <c r="K791" s="772">
        <v>0.0</v>
      </c>
      <c r="M791" s="769" t="s">
        <v>493</v>
      </c>
      <c r="N791" s="770" t="s">
        <v>634</v>
      </c>
      <c r="O791" s="770" t="s">
        <v>494</v>
      </c>
      <c r="P791" s="770" t="s">
        <v>512</v>
      </c>
      <c r="Q791" s="770" t="s">
        <v>521</v>
      </c>
      <c r="R791" s="770" t="s">
        <v>497</v>
      </c>
      <c r="S791" s="770">
        <v>2019.0</v>
      </c>
      <c r="T791" s="771">
        <v>0.0</v>
      </c>
      <c r="U791" s="771">
        <v>0.0</v>
      </c>
      <c r="V791" s="772">
        <v>0.0</v>
      </c>
      <c r="X791" s="769" t="s">
        <v>521</v>
      </c>
      <c r="Y791" s="770" t="s">
        <v>494</v>
      </c>
      <c r="Z791" s="770" t="s">
        <v>507</v>
      </c>
      <c r="AA791" s="770" t="s">
        <v>635</v>
      </c>
      <c r="AB791" s="770" t="s">
        <v>493</v>
      </c>
      <c r="AC791" s="770" t="s">
        <v>103</v>
      </c>
      <c r="AD791" s="770" t="s">
        <v>501</v>
      </c>
      <c r="AE791" s="784" t="s">
        <v>502</v>
      </c>
      <c r="AF791" s="771">
        <v>58.58267972</v>
      </c>
      <c r="AG791" s="771">
        <v>17.88288685</v>
      </c>
      <c r="AH791" s="771">
        <v>139.0871909</v>
      </c>
      <c r="AI791" s="772" t="s">
        <v>233</v>
      </c>
      <c r="AK791" s="769" t="s">
        <v>521</v>
      </c>
      <c r="AL791" s="770" t="s">
        <v>494</v>
      </c>
      <c r="AM791" s="770" t="s">
        <v>507</v>
      </c>
      <c r="AN791" s="770" t="s">
        <v>635</v>
      </c>
      <c r="AO791" s="770" t="s">
        <v>493</v>
      </c>
      <c r="AP791" s="770" t="s">
        <v>504</v>
      </c>
      <c r="AQ791" s="770" t="s">
        <v>501</v>
      </c>
      <c r="AR791" s="1010" t="s">
        <v>502</v>
      </c>
      <c r="AS791" s="771">
        <v>33.71238672</v>
      </c>
      <c r="AT791" s="771">
        <v>10.29100751</v>
      </c>
      <c r="AU791" s="771">
        <v>80.04005943</v>
      </c>
      <c r="AV791" s="989" t="s">
        <v>233</v>
      </c>
      <c r="AW791" s="714"/>
    </row>
    <row r="792">
      <c r="A792" s="761"/>
      <c r="B792" s="769" t="s">
        <v>493</v>
      </c>
      <c r="C792" s="770" t="s">
        <v>634</v>
      </c>
      <c r="D792" s="770" t="s">
        <v>494</v>
      </c>
      <c r="E792" s="770" t="s">
        <v>495</v>
      </c>
      <c r="F792" s="770" t="s">
        <v>523</v>
      </c>
      <c r="G792" s="770" t="s">
        <v>103</v>
      </c>
      <c r="H792" s="770">
        <v>2019.0</v>
      </c>
      <c r="I792" s="771">
        <v>57.86410898</v>
      </c>
      <c r="J792" s="771">
        <v>180.1115998</v>
      </c>
      <c r="K792" s="772">
        <v>16.23146953</v>
      </c>
      <c r="M792" s="769" t="s">
        <v>493</v>
      </c>
      <c r="N792" s="770" t="s">
        <v>634</v>
      </c>
      <c r="O792" s="770" t="s">
        <v>494</v>
      </c>
      <c r="P792" s="770" t="s">
        <v>495</v>
      </c>
      <c r="Q792" s="770" t="s">
        <v>523</v>
      </c>
      <c r="R792" s="770" t="s">
        <v>497</v>
      </c>
      <c r="S792" s="770">
        <v>2019.0</v>
      </c>
      <c r="T792" s="771">
        <v>10.89252927</v>
      </c>
      <c r="U792" s="771">
        <v>33.90479705</v>
      </c>
      <c r="V792" s="772">
        <v>3.055464951</v>
      </c>
      <c r="X792" s="769" t="s">
        <v>521</v>
      </c>
      <c r="Y792" s="770" t="s">
        <v>494</v>
      </c>
      <c r="Z792" s="770" t="s">
        <v>509</v>
      </c>
      <c r="AA792" s="770" t="s">
        <v>635</v>
      </c>
      <c r="AB792" s="770" t="s">
        <v>493</v>
      </c>
      <c r="AC792" s="770" t="s">
        <v>103</v>
      </c>
      <c r="AD792" s="770" t="s">
        <v>501</v>
      </c>
      <c r="AE792" s="784" t="s">
        <v>502</v>
      </c>
      <c r="AF792" s="771">
        <v>0.0</v>
      </c>
      <c r="AG792" s="771">
        <v>0.0</v>
      </c>
      <c r="AH792" s="771">
        <v>0.0</v>
      </c>
      <c r="AI792" s="772" t="s">
        <v>233</v>
      </c>
      <c r="AK792" s="769" t="s">
        <v>521</v>
      </c>
      <c r="AL792" s="770" t="s">
        <v>494</v>
      </c>
      <c r="AM792" s="770" t="s">
        <v>509</v>
      </c>
      <c r="AN792" s="770" t="s">
        <v>635</v>
      </c>
      <c r="AO792" s="770" t="s">
        <v>493</v>
      </c>
      <c r="AP792" s="770" t="s">
        <v>504</v>
      </c>
      <c r="AQ792" s="770" t="s">
        <v>501</v>
      </c>
      <c r="AR792" s="1010" t="s">
        <v>502</v>
      </c>
      <c r="AS792" s="771">
        <v>0.0</v>
      </c>
      <c r="AT792" s="771">
        <v>0.0</v>
      </c>
      <c r="AU792" s="771">
        <v>0.0</v>
      </c>
      <c r="AV792" s="989" t="s">
        <v>233</v>
      </c>
      <c r="AW792" s="714"/>
    </row>
    <row r="793">
      <c r="A793" s="761"/>
      <c r="B793" s="769" t="s">
        <v>493</v>
      </c>
      <c r="C793" s="770" t="s">
        <v>634</v>
      </c>
      <c r="D793" s="770" t="s">
        <v>494</v>
      </c>
      <c r="E793" s="770" t="s">
        <v>505</v>
      </c>
      <c r="F793" s="770" t="s">
        <v>523</v>
      </c>
      <c r="G793" s="770" t="s">
        <v>103</v>
      </c>
      <c r="H793" s="770">
        <v>2019.0</v>
      </c>
      <c r="I793" s="771">
        <v>0.0</v>
      </c>
      <c r="J793" s="771">
        <v>0.0</v>
      </c>
      <c r="K793" s="772">
        <v>0.0</v>
      </c>
      <c r="M793" s="769" t="s">
        <v>493</v>
      </c>
      <c r="N793" s="770" t="s">
        <v>634</v>
      </c>
      <c r="O793" s="770" t="s">
        <v>494</v>
      </c>
      <c r="P793" s="770" t="s">
        <v>505</v>
      </c>
      <c r="Q793" s="770" t="s">
        <v>523</v>
      </c>
      <c r="R793" s="770" t="s">
        <v>497</v>
      </c>
      <c r="S793" s="770">
        <v>2019.0</v>
      </c>
      <c r="T793" s="771">
        <v>0.0</v>
      </c>
      <c r="U793" s="771">
        <v>0.0</v>
      </c>
      <c r="V793" s="772">
        <v>0.0</v>
      </c>
      <c r="X793" s="769" t="s">
        <v>521</v>
      </c>
      <c r="Y793" s="770" t="s">
        <v>494</v>
      </c>
      <c r="Z793" s="770" t="s">
        <v>513</v>
      </c>
      <c r="AA793" s="770" t="s">
        <v>635</v>
      </c>
      <c r="AB793" s="770" t="s">
        <v>493</v>
      </c>
      <c r="AC793" s="770" t="s">
        <v>103</v>
      </c>
      <c r="AD793" s="770" t="s">
        <v>501</v>
      </c>
      <c r="AE793" s="784" t="s">
        <v>502</v>
      </c>
      <c r="AF793" s="771">
        <v>322.8943896</v>
      </c>
      <c r="AG793" s="771">
        <v>98.016646</v>
      </c>
      <c r="AH793" s="771">
        <v>786.3555948</v>
      </c>
      <c r="AI793" s="772" t="s">
        <v>233</v>
      </c>
      <c r="AK793" s="769" t="s">
        <v>521</v>
      </c>
      <c r="AL793" s="770" t="s">
        <v>494</v>
      </c>
      <c r="AM793" s="770" t="s">
        <v>513</v>
      </c>
      <c r="AN793" s="770" t="s">
        <v>635</v>
      </c>
      <c r="AO793" s="770" t="s">
        <v>493</v>
      </c>
      <c r="AP793" s="770" t="s">
        <v>504</v>
      </c>
      <c r="AQ793" s="770" t="s">
        <v>501</v>
      </c>
      <c r="AR793" s="1010" t="s">
        <v>502</v>
      </c>
      <c r="AS793" s="771">
        <v>37.2849664</v>
      </c>
      <c r="AT793" s="771">
        <v>11.31808874</v>
      </c>
      <c r="AU793" s="771">
        <v>90.80133592</v>
      </c>
      <c r="AV793" s="989" t="s">
        <v>233</v>
      </c>
      <c r="AW793" s="714"/>
    </row>
    <row r="794">
      <c r="A794" s="761"/>
      <c r="B794" s="769" t="s">
        <v>493</v>
      </c>
      <c r="C794" s="770" t="s">
        <v>634</v>
      </c>
      <c r="D794" s="770" t="s">
        <v>494</v>
      </c>
      <c r="E794" s="770" t="s">
        <v>508</v>
      </c>
      <c r="F794" s="770" t="s">
        <v>523</v>
      </c>
      <c r="G794" s="770" t="s">
        <v>103</v>
      </c>
      <c r="H794" s="770">
        <v>2019.0</v>
      </c>
      <c r="I794" s="771">
        <v>33.07074392</v>
      </c>
      <c r="J794" s="771">
        <v>106.5107837</v>
      </c>
      <c r="K794" s="772">
        <v>7.367571033</v>
      </c>
      <c r="M794" s="769" t="s">
        <v>493</v>
      </c>
      <c r="N794" s="770" t="s">
        <v>634</v>
      </c>
      <c r="O794" s="770" t="s">
        <v>494</v>
      </c>
      <c r="P794" s="770" t="s">
        <v>508</v>
      </c>
      <c r="Q794" s="770" t="s">
        <v>523</v>
      </c>
      <c r="R794" s="770" t="s">
        <v>497</v>
      </c>
      <c r="S794" s="770">
        <v>2019.0</v>
      </c>
      <c r="T794" s="771">
        <v>33.97385342</v>
      </c>
      <c r="U794" s="771">
        <v>109.419424</v>
      </c>
      <c r="V794" s="772">
        <v>7.568767697</v>
      </c>
      <c r="X794" s="769" t="s">
        <v>523</v>
      </c>
      <c r="Y794" s="770" t="s">
        <v>494</v>
      </c>
      <c r="Z794" s="770" t="s">
        <v>507</v>
      </c>
      <c r="AA794" s="770" t="s">
        <v>635</v>
      </c>
      <c r="AB794" s="770" t="s">
        <v>493</v>
      </c>
      <c r="AC794" s="770" t="s">
        <v>103</v>
      </c>
      <c r="AD794" s="770" t="s">
        <v>501</v>
      </c>
      <c r="AE794" s="784" t="s">
        <v>502</v>
      </c>
      <c r="AF794" s="771">
        <v>73.56614833</v>
      </c>
      <c r="AG794" s="771">
        <v>34.06905973</v>
      </c>
      <c r="AH794" s="771">
        <v>135.3932717</v>
      </c>
      <c r="AI794" s="772" t="s">
        <v>233</v>
      </c>
      <c r="AK794" s="769" t="s">
        <v>523</v>
      </c>
      <c r="AL794" s="770" t="s">
        <v>494</v>
      </c>
      <c r="AM794" s="770" t="s">
        <v>507</v>
      </c>
      <c r="AN794" s="770" t="s">
        <v>635</v>
      </c>
      <c r="AO794" s="770" t="s">
        <v>493</v>
      </c>
      <c r="AP794" s="770" t="s">
        <v>504</v>
      </c>
      <c r="AQ794" s="770" t="s">
        <v>501</v>
      </c>
      <c r="AR794" s="1010" t="s">
        <v>502</v>
      </c>
      <c r="AS794" s="771">
        <v>42.33487532</v>
      </c>
      <c r="AT794" s="771">
        <v>19.60561248</v>
      </c>
      <c r="AU794" s="771">
        <v>77.9143316</v>
      </c>
      <c r="AV794" s="989" t="s">
        <v>233</v>
      </c>
      <c r="AW794" s="714"/>
    </row>
    <row r="795">
      <c r="A795" s="761"/>
      <c r="B795" s="769" t="s">
        <v>493</v>
      </c>
      <c r="C795" s="770" t="s">
        <v>634</v>
      </c>
      <c r="D795" s="770" t="s">
        <v>494</v>
      </c>
      <c r="E795" s="770" t="s">
        <v>512</v>
      </c>
      <c r="F795" s="770" t="s">
        <v>523</v>
      </c>
      <c r="G795" s="770" t="s">
        <v>103</v>
      </c>
      <c r="H795" s="770">
        <v>2019.0</v>
      </c>
      <c r="I795" s="771">
        <v>0.0</v>
      </c>
      <c r="J795" s="771">
        <v>0.0</v>
      </c>
      <c r="K795" s="772">
        <v>0.0</v>
      </c>
      <c r="M795" s="769" t="s">
        <v>493</v>
      </c>
      <c r="N795" s="770" t="s">
        <v>634</v>
      </c>
      <c r="O795" s="770" t="s">
        <v>494</v>
      </c>
      <c r="P795" s="770" t="s">
        <v>512</v>
      </c>
      <c r="Q795" s="770" t="s">
        <v>523</v>
      </c>
      <c r="R795" s="770" t="s">
        <v>497</v>
      </c>
      <c r="S795" s="770">
        <v>2019.0</v>
      </c>
      <c r="T795" s="771">
        <v>0.0</v>
      </c>
      <c r="U795" s="771">
        <v>0.0</v>
      </c>
      <c r="V795" s="772">
        <v>0.0</v>
      </c>
      <c r="X795" s="769" t="s">
        <v>523</v>
      </c>
      <c r="Y795" s="770" t="s">
        <v>494</v>
      </c>
      <c r="Z795" s="770" t="s">
        <v>513</v>
      </c>
      <c r="AA795" s="770" t="s">
        <v>635</v>
      </c>
      <c r="AB795" s="770" t="s">
        <v>493</v>
      </c>
      <c r="AC795" s="770" t="s">
        <v>103</v>
      </c>
      <c r="AD795" s="770" t="s">
        <v>501</v>
      </c>
      <c r="AE795" s="784" t="s">
        <v>502</v>
      </c>
      <c r="AF795" s="771">
        <v>164.180748</v>
      </c>
      <c r="AG795" s="771">
        <v>92.9632949</v>
      </c>
      <c r="AH795" s="771">
        <v>256.5439651</v>
      </c>
      <c r="AI795" s="772" t="s">
        <v>233</v>
      </c>
      <c r="AK795" s="769" t="s">
        <v>523</v>
      </c>
      <c r="AL795" s="770" t="s">
        <v>494</v>
      </c>
      <c r="AM795" s="770" t="s">
        <v>513</v>
      </c>
      <c r="AN795" s="770" t="s">
        <v>635</v>
      </c>
      <c r="AO795" s="770" t="s">
        <v>493</v>
      </c>
      <c r="AP795" s="770" t="s">
        <v>504</v>
      </c>
      <c r="AQ795" s="770" t="s">
        <v>501</v>
      </c>
      <c r="AR795" s="1010" t="s">
        <v>502</v>
      </c>
      <c r="AS795" s="771">
        <v>18.95812956</v>
      </c>
      <c r="AT795" s="771">
        <v>10.73457279</v>
      </c>
      <c r="AU795" s="771">
        <v>29.62341072</v>
      </c>
      <c r="AV795" s="989" t="s">
        <v>233</v>
      </c>
      <c r="AW795" s="714"/>
    </row>
    <row r="796">
      <c r="A796" s="761"/>
      <c r="B796" s="769" t="s">
        <v>493</v>
      </c>
      <c r="C796" s="770" t="s">
        <v>636</v>
      </c>
      <c r="D796" s="770" t="s">
        <v>494</v>
      </c>
      <c r="E796" s="770" t="s">
        <v>495</v>
      </c>
      <c r="F796" s="770" t="s">
        <v>496</v>
      </c>
      <c r="G796" s="770" t="s">
        <v>103</v>
      </c>
      <c r="H796" s="770">
        <v>2019.0</v>
      </c>
      <c r="I796" s="771">
        <v>76529.01999</v>
      </c>
      <c r="J796" s="771">
        <v>93826.02573</v>
      </c>
      <c r="K796" s="772">
        <v>62785.46748</v>
      </c>
      <c r="M796" s="769" t="s">
        <v>493</v>
      </c>
      <c r="N796" s="770" t="s">
        <v>636</v>
      </c>
      <c r="O796" s="770" t="s">
        <v>494</v>
      </c>
      <c r="P796" s="770" t="s">
        <v>495</v>
      </c>
      <c r="Q796" s="770" t="s">
        <v>496</v>
      </c>
      <c r="R796" s="770" t="s">
        <v>497</v>
      </c>
      <c r="S796" s="770">
        <v>2019.0</v>
      </c>
      <c r="T796" s="771">
        <v>1499.088693</v>
      </c>
      <c r="U796" s="771">
        <v>1837.911086</v>
      </c>
      <c r="V796" s="772">
        <v>1229.873117</v>
      </c>
      <c r="X796" s="769" t="s">
        <v>496</v>
      </c>
      <c r="Y796" s="770" t="s">
        <v>494</v>
      </c>
      <c r="Z796" s="770" t="s">
        <v>499</v>
      </c>
      <c r="AA796" s="770" t="s">
        <v>637</v>
      </c>
      <c r="AB796" s="770" t="s">
        <v>493</v>
      </c>
      <c r="AC796" s="770" t="s">
        <v>103</v>
      </c>
      <c r="AD796" s="770" t="s">
        <v>501</v>
      </c>
      <c r="AE796" s="784" t="s">
        <v>502</v>
      </c>
      <c r="AF796" s="771">
        <v>7838.008222</v>
      </c>
      <c r="AG796" s="771">
        <v>6579.47566</v>
      </c>
      <c r="AH796" s="771">
        <v>9467.210265</v>
      </c>
      <c r="AI796" s="772" t="s">
        <v>233</v>
      </c>
      <c r="AK796" s="769" t="s">
        <v>496</v>
      </c>
      <c r="AL796" s="770" t="s">
        <v>494</v>
      </c>
      <c r="AM796" s="770" t="s">
        <v>499</v>
      </c>
      <c r="AN796" s="770" t="s">
        <v>637</v>
      </c>
      <c r="AO796" s="770" t="s">
        <v>493</v>
      </c>
      <c r="AP796" s="770" t="s">
        <v>504</v>
      </c>
      <c r="AQ796" s="770" t="s">
        <v>501</v>
      </c>
      <c r="AR796" s="1010" t="s">
        <v>502</v>
      </c>
      <c r="AS796" s="771">
        <v>203157.0282</v>
      </c>
      <c r="AT796" s="771">
        <v>170536.5297</v>
      </c>
      <c r="AU796" s="771">
        <v>245385.0836</v>
      </c>
      <c r="AV796" s="989" t="s">
        <v>233</v>
      </c>
      <c r="AW796" s="714"/>
    </row>
    <row r="797">
      <c r="A797" s="761"/>
      <c r="B797" s="769" t="s">
        <v>493</v>
      </c>
      <c r="C797" s="770" t="s">
        <v>636</v>
      </c>
      <c r="D797" s="770" t="s">
        <v>494</v>
      </c>
      <c r="E797" s="770" t="s">
        <v>505</v>
      </c>
      <c r="F797" s="770" t="s">
        <v>496</v>
      </c>
      <c r="G797" s="770" t="s">
        <v>103</v>
      </c>
      <c r="H797" s="770">
        <v>2019.0</v>
      </c>
      <c r="I797" s="771">
        <v>24336.95276</v>
      </c>
      <c r="J797" s="771">
        <v>30030.16369</v>
      </c>
      <c r="K797" s="772">
        <v>19901.30944</v>
      </c>
      <c r="M797" s="769" t="s">
        <v>493</v>
      </c>
      <c r="N797" s="770" t="s">
        <v>636</v>
      </c>
      <c r="O797" s="770" t="s">
        <v>494</v>
      </c>
      <c r="P797" s="770" t="s">
        <v>505</v>
      </c>
      <c r="Q797" s="770" t="s">
        <v>496</v>
      </c>
      <c r="R797" s="770" t="s">
        <v>497</v>
      </c>
      <c r="S797" s="770">
        <v>2019.0</v>
      </c>
      <c r="T797" s="771">
        <v>113964.8182</v>
      </c>
      <c r="U797" s="771">
        <v>140624.9246</v>
      </c>
      <c r="V797" s="772">
        <v>93193.63581</v>
      </c>
      <c r="X797" s="769" t="s">
        <v>496</v>
      </c>
      <c r="Y797" s="770" t="s">
        <v>494</v>
      </c>
      <c r="Z797" s="770" t="s">
        <v>507</v>
      </c>
      <c r="AA797" s="770" t="s">
        <v>637</v>
      </c>
      <c r="AB797" s="770" t="s">
        <v>493</v>
      </c>
      <c r="AC797" s="770" t="s">
        <v>103</v>
      </c>
      <c r="AD797" s="770" t="s">
        <v>501</v>
      </c>
      <c r="AE797" s="784" t="s">
        <v>502</v>
      </c>
      <c r="AF797" s="771">
        <v>9419.432858</v>
      </c>
      <c r="AG797" s="771">
        <v>7923.514052</v>
      </c>
      <c r="AH797" s="771">
        <v>11349.79828</v>
      </c>
      <c r="AI797" s="772" t="s">
        <v>233</v>
      </c>
      <c r="AK797" s="769" t="s">
        <v>496</v>
      </c>
      <c r="AL797" s="770" t="s">
        <v>494</v>
      </c>
      <c r="AM797" s="770" t="s">
        <v>507</v>
      </c>
      <c r="AN797" s="770" t="s">
        <v>637</v>
      </c>
      <c r="AO797" s="770" t="s">
        <v>493</v>
      </c>
      <c r="AP797" s="770" t="s">
        <v>504</v>
      </c>
      <c r="AQ797" s="770" t="s">
        <v>501</v>
      </c>
      <c r="AR797" s="1010" t="s">
        <v>502</v>
      </c>
      <c r="AS797" s="771">
        <v>5415.356815</v>
      </c>
      <c r="AT797" s="771">
        <v>4555.333263</v>
      </c>
      <c r="AU797" s="771">
        <v>6525.149486</v>
      </c>
      <c r="AV797" s="989" t="s">
        <v>233</v>
      </c>
      <c r="AW797" s="714"/>
    </row>
    <row r="798">
      <c r="A798" s="761"/>
      <c r="B798" s="769" t="s">
        <v>493</v>
      </c>
      <c r="C798" s="770" t="s">
        <v>636</v>
      </c>
      <c r="D798" s="770" t="s">
        <v>494</v>
      </c>
      <c r="E798" s="770" t="s">
        <v>508</v>
      </c>
      <c r="F798" s="770" t="s">
        <v>496</v>
      </c>
      <c r="G798" s="770" t="s">
        <v>103</v>
      </c>
      <c r="H798" s="770">
        <v>2019.0</v>
      </c>
      <c r="I798" s="771">
        <v>27910.12819</v>
      </c>
      <c r="J798" s="771">
        <v>34239.42937</v>
      </c>
      <c r="K798" s="772">
        <v>22916.97853</v>
      </c>
      <c r="M798" s="769" t="s">
        <v>493</v>
      </c>
      <c r="N798" s="770" t="s">
        <v>636</v>
      </c>
      <c r="O798" s="770" t="s">
        <v>494</v>
      </c>
      <c r="P798" s="770" t="s">
        <v>508</v>
      </c>
      <c r="Q798" s="770" t="s">
        <v>496</v>
      </c>
      <c r="R798" s="770" t="s">
        <v>497</v>
      </c>
      <c r="S798" s="770">
        <v>2019.0</v>
      </c>
      <c r="T798" s="771">
        <v>2838.450401</v>
      </c>
      <c r="U798" s="771">
        <v>3482.138145</v>
      </c>
      <c r="V798" s="772">
        <v>2330.648805</v>
      </c>
      <c r="X798" s="769" t="s">
        <v>496</v>
      </c>
      <c r="Y798" s="770" t="s">
        <v>494</v>
      </c>
      <c r="Z798" s="770" t="s">
        <v>509</v>
      </c>
      <c r="AA798" s="770" t="s">
        <v>637</v>
      </c>
      <c r="AB798" s="770" t="s">
        <v>493</v>
      </c>
      <c r="AC798" s="770" t="s">
        <v>103</v>
      </c>
      <c r="AD798" s="770" t="s">
        <v>501</v>
      </c>
      <c r="AE798" s="784" t="s">
        <v>502</v>
      </c>
      <c r="AF798" s="771">
        <v>2480.147613</v>
      </c>
      <c r="AG798" s="771">
        <v>2079.608804</v>
      </c>
      <c r="AH798" s="771">
        <v>2983.017649</v>
      </c>
      <c r="AI798" s="772" t="s">
        <v>233</v>
      </c>
      <c r="AK798" s="769" t="s">
        <v>496</v>
      </c>
      <c r="AL798" s="770" t="s">
        <v>494</v>
      </c>
      <c r="AM798" s="770" t="s">
        <v>509</v>
      </c>
      <c r="AN798" s="770" t="s">
        <v>637</v>
      </c>
      <c r="AO798" s="770" t="s">
        <v>493</v>
      </c>
      <c r="AP798" s="770" t="s">
        <v>504</v>
      </c>
      <c r="AQ798" s="770" t="s">
        <v>501</v>
      </c>
      <c r="AR798" s="1010" t="s">
        <v>502</v>
      </c>
      <c r="AS798" s="771">
        <v>21985.29532</v>
      </c>
      <c r="AT798" s="771">
        <v>18434.71472</v>
      </c>
      <c r="AU798" s="771">
        <v>26442.99219</v>
      </c>
      <c r="AV798" s="989" t="s">
        <v>233</v>
      </c>
      <c r="AW798" s="714"/>
    </row>
    <row r="799">
      <c r="A799" s="761"/>
      <c r="B799" s="769" t="s">
        <v>493</v>
      </c>
      <c r="C799" s="770" t="s">
        <v>636</v>
      </c>
      <c r="D799" s="770" t="s">
        <v>494</v>
      </c>
      <c r="E799" s="770" t="s">
        <v>512</v>
      </c>
      <c r="F799" s="770" t="s">
        <v>496</v>
      </c>
      <c r="G799" s="770" t="s">
        <v>103</v>
      </c>
      <c r="H799" s="770">
        <v>2019.0</v>
      </c>
      <c r="I799" s="771">
        <v>4697.759972</v>
      </c>
      <c r="J799" s="771">
        <v>5780.459895</v>
      </c>
      <c r="K799" s="772">
        <v>3847.978328</v>
      </c>
      <c r="M799" s="769" t="s">
        <v>493</v>
      </c>
      <c r="N799" s="770" t="s">
        <v>636</v>
      </c>
      <c r="O799" s="770" t="s">
        <v>494</v>
      </c>
      <c r="P799" s="770" t="s">
        <v>512</v>
      </c>
      <c r="Q799" s="770" t="s">
        <v>496</v>
      </c>
      <c r="R799" s="770" t="s">
        <v>497</v>
      </c>
      <c r="S799" s="770">
        <v>2019.0</v>
      </c>
      <c r="T799" s="771">
        <v>7438.290947</v>
      </c>
      <c r="U799" s="771">
        <v>9152.605234</v>
      </c>
      <c r="V799" s="772">
        <v>6092.772414</v>
      </c>
      <c r="X799" s="769" t="s">
        <v>496</v>
      </c>
      <c r="Y799" s="770" t="s">
        <v>494</v>
      </c>
      <c r="Z799" s="770" t="s">
        <v>513</v>
      </c>
      <c r="AA799" s="770" t="s">
        <v>637</v>
      </c>
      <c r="AB799" s="770" t="s">
        <v>493</v>
      </c>
      <c r="AC799" s="770" t="s">
        <v>103</v>
      </c>
      <c r="AD799" s="770" t="s">
        <v>501</v>
      </c>
      <c r="AE799" s="784" t="s">
        <v>502</v>
      </c>
      <c r="AF799" s="771">
        <v>36631.32515</v>
      </c>
      <c r="AG799" s="771">
        <v>30937.11911</v>
      </c>
      <c r="AH799" s="771">
        <v>43857.08705</v>
      </c>
      <c r="AI799" s="772" t="s">
        <v>233</v>
      </c>
      <c r="AK799" s="769" t="s">
        <v>496</v>
      </c>
      <c r="AL799" s="770" t="s">
        <v>494</v>
      </c>
      <c r="AM799" s="770" t="s">
        <v>513</v>
      </c>
      <c r="AN799" s="770" t="s">
        <v>637</v>
      </c>
      <c r="AO799" s="770" t="s">
        <v>493</v>
      </c>
      <c r="AP799" s="770" t="s">
        <v>504</v>
      </c>
      <c r="AQ799" s="770" t="s">
        <v>501</v>
      </c>
      <c r="AR799" s="1010" t="s">
        <v>502</v>
      </c>
      <c r="AS799" s="771">
        <v>4339.468897</v>
      </c>
      <c r="AT799" s="771">
        <v>3664.914266</v>
      </c>
      <c r="AU799" s="771">
        <v>5195.456741</v>
      </c>
      <c r="AV799" s="989" t="s">
        <v>233</v>
      </c>
      <c r="AW799" s="714"/>
    </row>
    <row r="800">
      <c r="A800" s="761"/>
      <c r="B800" s="769" t="s">
        <v>493</v>
      </c>
      <c r="C800" s="770" t="s">
        <v>636</v>
      </c>
      <c r="D800" s="770" t="s">
        <v>494</v>
      </c>
      <c r="E800" s="770" t="s">
        <v>495</v>
      </c>
      <c r="F800" s="770" t="s">
        <v>514</v>
      </c>
      <c r="G800" s="770" t="s">
        <v>103</v>
      </c>
      <c r="H800" s="770">
        <v>2019.0</v>
      </c>
      <c r="I800" s="771">
        <v>65029.19225</v>
      </c>
      <c r="J800" s="771">
        <v>79833.94167</v>
      </c>
      <c r="K800" s="772">
        <v>53400.96899</v>
      </c>
      <c r="M800" s="769" t="s">
        <v>493</v>
      </c>
      <c r="N800" s="770" t="s">
        <v>636</v>
      </c>
      <c r="O800" s="770" t="s">
        <v>494</v>
      </c>
      <c r="P800" s="770" t="s">
        <v>495</v>
      </c>
      <c r="Q800" s="770" t="s">
        <v>514</v>
      </c>
      <c r="R800" s="770" t="s">
        <v>497</v>
      </c>
      <c r="S800" s="770">
        <v>2019.0</v>
      </c>
      <c r="T800" s="771">
        <v>1273.82432</v>
      </c>
      <c r="U800" s="771">
        <v>1563.827151</v>
      </c>
      <c r="V800" s="772">
        <v>1046.04487</v>
      </c>
      <c r="X800" s="769" t="s">
        <v>514</v>
      </c>
      <c r="Y800" s="770" t="s">
        <v>494</v>
      </c>
      <c r="Z800" s="770" t="s">
        <v>499</v>
      </c>
      <c r="AA800" s="770" t="s">
        <v>637</v>
      </c>
      <c r="AB800" s="770" t="s">
        <v>493</v>
      </c>
      <c r="AC800" s="770" t="s">
        <v>103</v>
      </c>
      <c r="AD800" s="770" t="s">
        <v>501</v>
      </c>
      <c r="AE800" s="784" t="s">
        <v>502</v>
      </c>
      <c r="AF800" s="771">
        <v>7300.613871</v>
      </c>
      <c r="AG800" s="771">
        <v>6043.798857</v>
      </c>
      <c r="AH800" s="771">
        <v>8775.57873</v>
      </c>
      <c r="AI800" s="772" t="s">
        <v>233</v>
      </c>
      <c r="AK800" s="769" t="s">
        <v>514</v>
      </c>
      <c r="AL800" s="770" t="s">
        <v>494</v>
      </c>
      <c r="AM800" s="770" t="s">
        <v>499</v>
      </c>
      <c r="AN800" s="770" t="s">
        <v>637</v>
      </c>
      <c r="AO800" s="770" t="s">
        <v>493</v>
      </c>
      <c r="AP800" s="770" t="s">
        <v>504</v>
      </c>
      <c r="AQ800" s="770" t="s">
        <v>501</v>
      </c>
      <c r="AR800" s="1010" t="s">
        <v>502</v>
      </c>
      <c r="AS800" s="771">
        <v>189228.0508</v>
      </c>
      <c r="AT800" s="771">
        <v>156652.0702</v>
      </c>
      <c r="AU800" s="771">
        <v>227458.3599</v>
      </c>
      <c r="AV800" s="989" t="s">
        <v>233</v>
      </c>
      <c r="AW800" s="714"/>
    </row>
    <row r="801">
      <c r="A801" s="761"/>
      <c r="B801" s="769" t="s">
        <v>493</v>
      </c>
      <c r="C801" s="770" t="s">
        <v>636</v>
      </c>
      <c r="D801" s="770" t="s">
        <v>494</v>
      </c>
      <c r="E801" s="770" t="s">
        <v>505</v>
      </c>
      <c r="F801" s="770" t="s">
        <v>514</v>
      </c>
      <c r="G801" s="770" t="s">
        <v>103</v>
      </c>
      <c r="H801" s="770">
        <v>2019.0</v>
      </c>
      <c r="I801" s="771">
        <v>22476.38815</v>
      </c>
      <c r="J801" s="771">
        <v>27725.98392</v>
      </c>
      <c r="K801" s="772">
        <v>18313.75464</v>
      </c>
      <c r="M801" s="769" t="s">
        <v>493</v>
      </c>
      <c r="N801" s="770" t="s">
        <v>636</v>
      </c>
      <c r="O801" s="770" t="s">
        <v>494</v>
      </c>
      <c r="P801" s="770" t="s">
        <v>505</v>
      </c>
      <c r="Q801" s="770" t="s">
        <v>514</v>
      </c>
      <c r="R801" s="770" t="s">
        <v>497</v>
      </c>
      <c r="S801" s="770">
        <v>2019.0</v>
      </c>
      <c r="T801" s="771">
        <v>105252.1865</v>
      </c>
      <c r="U801" s="771">
        <v>129834.9366</v>
      </c>
      <c r="V801" s="772">
        <v>85759.45143</v>
      </c>
      <c r="X801" s="769" t="s">
        <v>514</v>
      </c>
      <c r="Y801" s="770" t="s">
        <v>494</v>
      </c>
      <c r="Z801" s="770" t="s">
        <v>507</v>
      </c>
      <c r="AA801" s="770" t="s">
        <v>637</v>
      </c>
      <c r="AB801" s="770" t="s">
        <v>493</v>
      </c>
      <c r="AC801" s="770" t="s">
        <v>103</v>
      </c>
      <c r="AD801" s="770" t="s">
        <v>501</v>
      </c>
      <c r="AE801" s="784" t="s">
        <v>502</v>
      </c>
      <c r="AF801" s="771">
        <v>7979.971959</v>
      </c>
      <c r="AG801" s="771">
        <v>6369.431795</v>
      </c>
      <c r="AH801" s="771">
        <v>9908.036423</v>
      </c>
      <c r="AI801" s="772" t="s">
        <v>233</v>
      </c>
      <c r="AK801" s="769" t="s">
        <v>514</v>
      </c>
      <c r="AL801" s="770" t="s">
        <v>494</v>
      </c>
      <c r="AM801" s="770" t="s">
        <v>507</v>
      </c>
      <c r="AN801" s="770" t="s">
        <v>637</v>
      </c>
      <c r="AO801" s="770" t="s">
        <v>493</v>
      </c>
      <c r="AP801" s="770" t="s">
        <v>504</v>
      </c>
      <c r="AQ801" s="770" t="s">
        <v>501</v>
      </c>
      <c r="AR801" s="1010" t="s">
        <v>502</v>
      </c>
      <c r="AS801" s="771">
        <v>4587.791663</v>
      </c>
      <c r="AT801" s="771">
        <v>3661.870773</v>
      </c>
      <c r="AU801" s="771">
        <v>5696.261482</v>
      </c>
      <c r="AV801" s="989" t="s">
        <v>233</v>
      </c>
      <c r="AW801" s="714"/>
    </row>
    <row r="802">
      <c r="A802" s="761"/>
      <c r="B802" s="769" t="s">
        <v>493</v>
      </c>
      <c r="C802" s="770" t="s">
        <v>636</v>
      </c>
      <c r="D802" s="770" t="s">
        <v>494</v>
      </c>
      <c r="E802" s="770" t="s">
        <v>508</v>
      </c>
      <c r="F802" s="770" t="s">
        <v>514</v>
      </c>
      <c r="G802" s="770" t="s">
        <v>103</v>
      </c>
      <c r="H802" s="770">
        <v>2019.0</v>
      </c>
      <c r="I802" s="771">
        <v>21708.62333</v>
      </c>
      <c r="J802" s="771">
        <v>27245.30514</v>
      </c>
      <c r="K802" s="772">
        <v>17242.47852</v>
      </c>
      <c r="M802" s="769" t="s">
        <v>493</v>
      </c>
      <c r="N802" s="770" t="s">
        <v>636</v>
      </c>
      <c r="O802" s="770" t="s">
        <v>494</v>
      </c>
      <c r="P802" s="770" t="s">
        <v>508</v>
      </c>
      <c r="Q802" s="770" t="s">
        <v>514</v>
      </c>
      <c r="R802" s="770" t="s">
        <v>497</v>
      </c>
      <c r="S802" s="770">
        <v>2019.0</v>
      </c>
      <c r="T802" s="771">
        <v>2207.759498</v>
      </c>
      <c r="U802" s="771">
        <v>2770.838126</v>
      </c>
      <c r="V802" s="772">
        <v>1753.554112</v>
      </c>
      <c r="X802" s="769" t="s">
        <v>514</v>
      </c>
      <c r="Y802" s="770" t="s">
        <v>494</v>
      </c>
      <c r="Z802" s="770" t="s">
        <v>509</v>
      </c>
      <c r="AA802" s="770" t="s">
        <v>637</v>
      </c>
      <c r="AB802" s="770" t="s">
        <v>493</v>
      </c>
      <c r="AC802" s="770" t="s">
        <v>103</v>
      </c>
      <c r="AD802" s="770" t="s">
        <v>501</v>
      </c>
      <c r="AE802" s="784" t="s">
        <v>502</v>
      </c>
      <c r="AF802" s="771">
        <v>2216.157802</v>
      </c>
      <c r="AG802" s="771">
        <v>1814.97751</v>
      </c>
      <c r="AH802" s="771">
        <v>2711.284832</v>
      </c>
      <c r="AI802" s="772" t="s">
        <v>233</v>
      </c>
      <c r="AK802" s="769" t="s">
        <v>514</v>
      </c>
      <c r="AL802" s="770" t="s">
        <v>494</v>
      </c>
      <c r="AM802" s="770" t="s">
        <v>509</v>
      </c>
      <c r="AN802" s="770" t="s">
        <v>637</v>
      </c>
      <c r="AO802" s="770" t="s">
        <v>493</v>
      </c>
      <c r="AP802" s="770" t="s">
        <v>504</v>
      </c>
      <c r="AQ802" s="770" t="s">
        <v>501</v>
      </c>
      <c r="AR802" s="1010" t="s">
        <v>502</v>
      </c>
      <c r="AS802" s="771">
        <v>19645.15479</v>
      </c>
      <c r="AT802" s="771">
        <v>16088.88776</v>
      </c>
      <c r="AU802" s="771">
        <v>24034.21369</v>
      </c>
      <c r="AV802" s="989" t="s">
        <v>233</v>
      </c>
      <c r="AW802" s="714"/>
    </row>
    <row r="803">
      <c r="A803" s="761"/>
      <c r="B803" s="769" t="s">
        <v>493</v>
      </c>
      <c r="C803" s="770" t="s">
        <v>636</v>
      </c>
      <c r="D803" s="770" t="s">
        <v>494</v>
      </c>
      <c r="E803" s="770" t="s">
        <v>512</v>
      </c>
      <c r="F803" s="770" t="s">
        <v>514</v>
      </c>
      <c r="G803" s="770" t="s">
        <v>103</v>
      </c>
      <c r="H803" s="770">
        <v>2019.0</v>
      </c>
      <c r="I803" s="771">
        <v>4096.948892</v>
      </c>
      <c r="J803" s="771">
        <v>5079.181037</v>
      </c>
      <c r="K803" s="772">
        <v>3283.941417</v>
      </c>
      <c r="M803" s="769" t="s">
        <v>493</v>
      </c>
      <c r="N803" s="770" t="s">
        <v>636</v>
      </c>
      <c r="O803" s="770" t="s">
        <v>494</v>
      </c>
      <c r="P803" s="770" t="s">
        <v>512</v>
      </c>
      <c r="Q803" s="770" t="s">
        <v>514</v>
      </c>
      <c r="R803" s="770" t="s">
        <v>497</v>
      </c>
      <c r="S803" s="770">
        <v>2019.0</v>
      </c>
      <c r="T803" s="771">
        <v>6486.984869</v>
      </c>
      <c r="U803" s="771">
        <v>8042.221516</v>
      </c>
      <c r="V803" s="772">
        <v>5199.693441</v>
      </c>
      <c r="X803" s="769" t="s">
        <v>514</v>
      </c>
      <c r="Y803" s="770" t="s">
        <v>494</v>
      </c>
      <c r="Z803" s="770" t="s">
        <v>513</v>
      </c>
      <c r="AA803" s="770" t="s">
        <v>637</v>
      </c>
      <c r="AB803" s="770" t="s">
        <v>493</v>
      </c>
      <c r="AC803" s="770" t="s">
        <v>103</v>
      </c>
      <c r="AD803" s="770" t="s">
        <v>501</v>
      </c>
      <c r="AE803" s="784" t="s">
        <v>502</v>
      </c>
      <c r="AF803" s="771">
        <v>31573.00345</v>
      </c>
      <c r="AG803" s="771">
        <v>25665.77346</v>
      </c>
      <c r="AH803" s="771">
        <v>38711.59602</v>
      </c>
      <c r="AI803" s="772" t="s">
        <v>233</v>
      </c>
      <c r="AK803" s="769" t="s">
        <v>514</v>
      </c>
      <c r="AL803" s="770" t="s">
        <v>494</v>
      </c>
      <c r="AM803" s="770" t="s">
        <v>513</v>
      </c>
      <c r="AN803" s="770" t="s">
        <v>637</v>
      </c>
      <c r="AO803" s="770" t="s">
        <v>493</v>
      </c>
      <c r="AP803" s="770" t="s">
        <v>504</v>
      </c>
      <c r="AQ803" s="770" t="s">
        <v>501</v>
      </c>
      <c r="AR803" s="1010" t="s">
        <v>502</v>
      </c>
      <c r="AS803" s="771">
        <v>3740.243245</v>
      </c>
      <c r="AT803" s="771">
        <v>3040.453087</v>
      </c>
      <c r="AU803" s="771">
        <v>4585.90472</v>
      </c>
      <c r="AV803" s="989" t="s">
        <v>233</v>
      </c>
      <c r="AW803" s="714"/>
    </row>
    <row r="804">
      <c r="A804" s="761"/>
      <c r="B804" s="769" t="s">
        <v>493</v>
      </c>
      <c r="C804" s="770" t="s">
        <v>636</v>
      </c>
      <c r="D804" s="770" t="s">
        <v>494</v>
      </c>
      <c r="E804" s="770" t="s">
        <v>495</v>
      </c>
      <c r="F804" s="770" t="s">
        <v>518</v>
      </c>
      <c r="G804" s="770" t="s">
        <v>103</v>
      </c>
      <c r="H804" s="770">
        <v>2019.0</v>
      </c>
      <c r="I804" s="771">
        <v>4230.958652</v>
      </c>
      <c r="J804" s="771">
        <v>8155.517799</v>
      </c>
      <c r="K804" s="772">
        <v>1957.561201</v>
      </c>
      <c r="M804" s="769" t="s">
        <v>493</v>
      </c>
      <c r="N804" s="770" t="s">
        <v>636</v>
      </c>
      <c r="O804" s="770" t="s">
        <v>494</v>
      </c>
      <c r="P804" s="770" t="s">
        <v>495</v>
      </c>
      <c r="Q804" s="770" t="s">
        <v>518</v>
      </c>
      <c r="R804" s="770" t="s">
        <v>497</v>
      </c>
      <c r="S804" s="770">
        <v>2019.0</v>
      </c>
      <c r="T804" s="771">
        <v>82.87813273</v>
      </c>
      <c r="U804" s="771">
        <v>159.7543588</v>
      </c>
      <c r="V804" s="772">
        <v>38.34568721</v>
      </c>
      <c r="X804" s="769" t="s">
        <v>518</v>
      </c>
      <c r="Y804" s="770" t="s">
        <v>494</v>
      </c>
      <c r="Z804" s="770" t="s">
        <v>499</v>
      </c>
      <c r="AA804" s="770" t="s">
        <v>637</v>
      </c>
      <c r="AB804" s="770" t="s">
        <v>493</v>
      </c>
      <c r="AC804" s="770" t="s">
        <v>103</v>
      </c>
      <c r="AD804" s="770" t="s">
        <v>501</v>
      </c>
      <c r="AE804" s="784" t="s">
        <v>502</v>
      </c>
      <c r="AF804" s="771">
        <v>83.02678788</v>
      </c>
      <c r="AG804" s="771">
        <v>47.07298619</v>
      </c>
      <c r="AH804" s="771">
        <v>134.298658</v>
      </c>
      <c r="AI804" s="772" t="s">
        <v>233</v>
      </c>
      <c r="AK804" s="769" t="s">
        <v>518</v>
      </c>
      <c r="AL804" s="770" t="s">
        <v>494</v>
      </c>
      <c r="AM804" s="770" t="s">
        <v>499</v>
      </c>
      <c r="AN804" s="770" t="s">
        <v>637</v>
      </c>
      <c r="AO804" s="770" t="s">
        <v>493</v>
      </c>
      <c r="AP804" s="770" t="s">
        <v>504</v>
      </c>
      <c r="AQ804" s="770" t="s">
        <v>501</v>
      </c>
      <c r="AR804" s="1010" t="s">
        <v>502</v>
      </c>
      <c r="AS804" s="771">
        <v>2152.010435</v>
      </c>
      <c r="AT804" s="771">
        <v>1220.106909</v>
      </c>
      <c r="AU804" s="771">
        <v>3480.950195</v>
      </c>
      <c r="AV804" s="989" t="s">
        <v>233</v>
      </c>
      <c r="AW804" s="714"/>
    </row>
    <row r="805">
      <c r="A805" s="761"/>
      <c r="B805" s="769" t="s">
        <v>493</v>
      </c>
      <c r="C805" s="770" t="s">
        <v>636</v>
      </c>
      <c r="D805" s="770" t="s">
        <v>494</v>
      </c>
      <c r="E805" s="770" t="s">
        <v>505</v>
      </c>
      <c r="F805" s="770" t="s">
        <v>518</v>
      </c>
      <c r="G805" s="770" t="s">
        <v>103</v>
      </c>
      <c r="H805" s="770">
        <v>2019.0</v>
      </c>
      <c r="I805" s="771">
        <v>81.70743913</v>
      </c>
      <c r="J805" s="771">
        <v>196.3596346</v>
      </c>
      <c r="K805" s="772">
        <v>23.47040489</v>
      </c>
      <c r="M805" s="769" t="s">
        <v>493</v>
      </c>
      <c r="N805" s="770" t="s">
        <v>636</v>
      </c>
      <c r="O805" s="770" t="s">
        <v>494</v>
      </c>
      <c r="P805" s="770" t="s">
        <v>505</v>
      </c>
      <c r="Q805" s="770" t="s">
        <v>518</v>
      </c>
      <c r="R805" s="770" t="s">
        <v>497</v>
      </c>
      <c r="S805" s="770">
        <v>2019.0</v>
      </c>
      <c r="T805" s="771">
        <v>382.6187091</v>
      </c>
      <c r="U805" s="771">
        <v>919.5107656</v>
      </c>
      <c r="V805" s="772">
        <v>109.9069573</v>
      </c>
      <c r="X805" s="769" t="s">
        <v>518</v>
      </c>
      <c r="Y805" s="770" t="s">
        <v>494</v>
      </c>
      <c r="Z805" s="770" t="s">
        <v>507</v>
      </c>
      <c r="AA805" s="770" t="s">
        <v>637</v>
      </c>
      <c r="AB805" s="770" t="s">
        <v>493</v>
      </c>
      <c r="AC805" s="770" t="s">
        <v>103</v>
      </c>
      <c r="AD805" s="770" t="s">
        <v>501</v>
      </c>
      <c r="AE805" s="784" t="s">
        <v>502</v>
      </c>
      <c r="AF805" s="771">
        <v>3424.737171</v>
      </c>
      <c r="AG805" s="771">
        <v>2014.271373</v>
      </c>
      <c r="AH805" s="771">
        <v>5199.812804</v>
      </c>
      <c r="AI805" s="772" t="s">
        <v>233</v>
      </c>
      <c r="AK805" s="769" t="s">
        <v>518</v>
      </c>
      <c r="AL805" s="770" t="s">
        <v>494</v>
      </c>
      <c r="AM805" s="770" t="s">
        <v>507</v>
      </c>
      <c r="AN805" s="770" t="s">
        <v>637</v>
      </c>
      <c r="AO805" s="770" t="s">
        <v>493</v>
      </c>
      <c r="AP805" s="770" t="s">
        <v>504</v>
      </c>
      <c r="AQ805" s="770" t="s">
        <v>501</v>
      </c>
      <c r="AR805" s="1010" t="s">
        <v>502</v>
      </c>
      <c r="AS805" s="771">
        <v>1968.926798</v>
      </c>
      <c r="AT805" s="771">
        <v>1158.031314</v>
      </c>
      <c r="AU805" s="771">
        <v>2989.44131</v>
      </c>
      <c r="AV805" s="989" t="s">
        <v>233</v>
      </c>
      <c r="AW805" s="714"/>
    </row>
    <row r="806">
      <c r="A806" s="761"/>
      <c r="B806" s="769" t="s">
        <v>493</v>
      </c>
      <c r="C806" s="770" t="s">
        <v>636</v>
      </c>
      <c r="D806" s="770" t="s">
        <v>494</v>
      </c>
      <c r="E806" s="770" t="s">
        <v>508</v>
      </c>
      <c r="F806" s="770" t="s">
        <v>518</v>
      </c>
      <c r="G806" s="770" t="s">
        <v>103</v>
      </c>
      <c r="H806" s="770">
        <v>2019.0</v>
      </c>
      <c r="I806" s="771">
        <v>2584.8969</v>
      </c>
      <c r="J806" s="771">
        <v>5481.368566</v>
      </c>
      <c r="K806" s="772">
        <v>1005.779585</v>
      </c>
      <c r="M806" s="769" t="s">
        <v>493</v>
      </c>
      <c r="N806" s="770" t="s">
        <v>636</v>
      </c>
      <c r="O806" s="770" t="s">
        <v>494</v>
      </c>
      <c r="P806" s="770" t="s">
        <v>508</v>
      </c>
      <c r="Q806" s="770" t="s">
        <v>518</v>
      </c>
      <c r="R806" s="770" t="s">
        <v>497</v>
      </c>
      <c r="S806" s="770">
        <v>2019.0</v>
      </c>
      <c r="T806" s="771">
        <v>262.8831222</v>
      </c>
      <c r="U806" s="771">
        <v>557.4532906</v>
      </c>
      <c r="V806" s="772">
        <v>102.2874365</v>
      </c>
      <c r="X806" s="769" t="s">
        <v>518</v>
      </c>
      <c r="Y806" s="770" t="s">
        <v>494</v>
      </c>
      <c r="Z806" s="770" t="s">
        <v>509</v>
      </c>
      <c r="AA806" s="770" t="s">
        <v>637</v>
      </c>
      <c r="AB806" s="770" t="s">
        <v>493</v>
      </c>
      <c r="AC806" s="770" t="s">
        <v>103</v>
      </c>
      <c r="AD806" s="770" t="s">
        <v>501</v>
      </c>
      <c r="AE806" s="784" t="s">
        <v>502</v>
      </c>
      <c r="AF806" s="771">
        <v>235.2251507</v>
      </c>
      <c r="AG806" s="771">
        <v>88.58527792</v>
      </c>
      <c r="AH806" s="771">
        <v>530.3756691</v>
      </c>
      <c r="AI806" s="772" t="s">
        <v>233</v>
      </c>
      <c r="AK806" s="769" t="s">
        <v>518</v>
      </c>
      <c r="AL806" s="770" t="s">
        <v>494</v>
      </c>
      <c r="AM806" s="770" t="s">
        <v>509</v>
      </c>
      <c r="AN806" s="770" t="s">
        <v>637</v>
      </c>
      <c r="AO806" s="770" t="s">
        <v>493</v>
      </c>
      <c r="AP806" s="770" t="s">
        <v>504</v>
      </c>
      <c r="AQ806" s="770" t="s">
        <v>501</v>
      </c>
      <c r="AR806" s="1010" t="s">
        <v>502</v>
      </c>
      <c r="AS806" s="771">
        <v>2085.155891</v>
      </c>
      <c r="AT806" s="771">
        <v>785.2651535</v>
      </c>
      <c r="AU806" s="771">
        <v>4701.520851</v>
      </c>
      <c r="AV806" s="989" t="s">
        <v>233</v>
      </c>
      <c r="AW806" s="714"/>
    </row>
    <row r="807">
      <c r="A807" s="761"/>
      <c r="B807" s="769" t="s">
        <v>493</v>
      </c>
      <c r="C807" s="770" t="s">
        <v>636</v>
      </c>
      <c r="D807" s="770" t="s">
        <v>494</v>
      </c>
      <c r="E807" s="770" t="s">
        <v>512</v>
      </c>
      <c r="F807" s="770" t="s">
        <v>518</v>
      </c>
      <c r="G807" s="770" t="s">
        <v>103</v>
      </c>
      <c r="H807" s="770">
        <v>2019.0</v>
      </c>
      <c r="I807" s="771">
        <v>120.0047605</v>
      </c>
      <c r="J807" s="771">
        <v>304.2989079</v>
      </c>
      <c r="K807" s="772">
        <v>31.52420166</v>
      </c>
      <c r="M807" s="769" t="s">
        <v>493</v>
      </c>
      <c r="N807" s="770" t="s">
        <v>636</v>
      </c>
      <c r="O807" s="770" t="s">
        <v>494</v>
      </c>
      <c r="P807" s="770" t="s">
        <v>512</v>
      </c>
      <c r="Q807" s="770" t="s">
        <v>518</v>
      </c>
      <c r="R807" s="770" t="s">
        <v>497</v>
      </c>
      <c r="S807" s="770">
        <v>2019.0</v>
      </c>
      <c r="T807" s="771">
        <v>190.0119055</v>
      </c>
      <c r="U807" s="771">
        <v>481.8176802</v>
      </c>
      <c r="V807" s="772">
        <v>49.91446673</v>
      </c>
      <c r="X807" s="769" t="s">
        <v>518</v>
      </c>
      <c r="Y807" s="770" t="s">
        <v>494</v>
      </c>
      <c r="Z807" s="770" t="s">
        <v>513</v>
      </c>
      <c r="AA807" s="770" t="s">
        <v>637</v>
      </c>
      <c r="AB807" s="770" t="s">
        <v>493</v>
      </c>
      <c r="AC807" s="770" t="s">
        <v>103</v>
      </c>
      <c r="AD807" s="770" t="s">
        <v>501</v>
      </c>
      <c r="AE807" s="784" t="s">
        <v>502</v>
      </c>
      <c r="AF807" s="771">
        <v>8156.621906</v>
      </c>
      <c r="AG807" s="771">
        <v>5310.600489</v>
      </c>
      <c r="AH807" s="771">
        <v>11483.19092</v>
      </c>
      <c r="AI807" s="772" t="s">
        <v>233</v>
      </c>
      <c r="AK807" s="769" t="s">
        <v>518</v>
      </c>
      <c r="AL807" s="770" t="s">
        <v>494</v>
      </c>
      <c r="AM807" s="770" t="s">
        <v>513</v>
      </c>
      <c r="AN807" s="770" t="s">
        <v>637</v>
      </c>
      <c r="AO807" s="770" t="s">
        <v>493</v>
      </c>
      <c r="AP807" s="770" t="s">
        <v>504</v>
      </c>
      <c r="AQ807" s="770" t="s">
        <v>501</v>
      </c>
      <c r="AR807" s="1010" t="s">
        <v>502</v>
      </c>
      <c r="AS807" s="771">
        <v>966.2606231</v>
      </c>
      <c r="AT807" s="771">
        <v>629.1114381</v>
      </c>
      <c r="AU807" s="771">
        <v>1360.337079</v>
      </c>
      <c r="AV807" s="989" t="s">
        <v>233</v>
      </c>
      <c r="AW807" s="714"/>
    </row>
    <row r="808">
      <c r="A808" s="761"/>
      <c r="B808" s="769" t="s">
        <v>493</v>
      </c>
      <c r="C808" s="770" t="s">
        <v>636</v>
      </c>
      <c r="D808" s="770" t="s">
        <v>494</v>
      </c>
      <c r="E808" s="770" t="s">
        <v>495</v>
      </c>
      <c r="F808" s="770" t="s">
        <v>519</v>
      </c>
      <c r="G808" s="770" t="s">
        <v>103</v>
      </c>
      <c r="H808" s="770">
        <v>2019.0</v>
      </c>
      <c r="I808" s="771">
        <v>24316.92247</v>
      </c>
      <c r="J808" s="771">
        <v>30125.2793</v>
      </c>
      <c r="K808" s="772">
        <v>19562.25621</v>
      </c>
      <c r="M808" s="769" t="s">
        <v>493</v>
      </c>
      <c r="N808" s="770" t="s">
        <v>636</v>
      </c>
      <c r="O808" s="770" t="s">
        <v>494</v>
      </c>
      <c r="P808" s="770" t="s">
        <v>495</v>
      </c>
      <c r="Q808" s="770" t="s">
        <v>519</v>
      </c>
      <c r="R808" s="770" t="s">
        <v>497</v>
      </c>
      <c r="S808" s="770">
        <v>2019.0</v>
      </c>
      <c r="T808" s="771">
        <v>476.3320309</v>
      </c>
      <c r="U808" s="771">
        <v>590.1090277</v>
      </c>
      <c r="V808" s="772">
        <v>383.1952519</v>
      </c>
      <c r="X808" s="769" t="s">
        <v>519</v>
      </c>
      <c r="Y808" s="770" t="s">
        <v>494</v>
      </c>
      <c r="Z808" s="770" t="s">
        <v>499</v>
      </c>
      <c r="AA808" s="770" t="s">
        <v>637</v>
      </c>
      <c r="AB808" s="770" t="s">
        <v>493</v>
      </c>
      <c r="AC808" s="770" t="s">
        <v>103</v>
      </c>
      <c r="AD808" s="770" t="s">
        <v>501</v>
      </c>
      <c r="AE808" s="784" t="s">
        <v>502</v>
      </c>
      <c r="AF808" s="771">
        <v>6324.707001</v>
      </c>
      <c r="AG808" s="771">
        <v>5212.300884</v>
      </c>
      <c r="AH808" s="771">
        <v>7668.490162</v>
      </c>
      <c r="AI808" s="772" t="s">
        <v>233</v>
      </c>
      <c r="AK808" s="769" t="s">
        <v>519</v>
      </c>
      <c r="AL808" s="770" t="s">
        <v>494</v>
      </c>
      <c r="AM808" s="770" t="s">
        <v>499</v>
      </c>
      <c r="AN808" s="770" t="s">
        <v>637</v>
      </c>
      <c r="AO808" s="770" t="s">
        <v>493</v>
      </c>
      <c r="AP808" s="770" t="s">
        <v>504</v>
      </c>
      <c r="AQ808" s="770" t="s">
        <v>501</v>
      </c>
      <c r="AR808" s="1010" t="s">
        <v>502</v>
      </c>
      <c r="AS808" s="771">
        <v>163933.0608</v>
      </c>
      <c r="AT808" s="771">
        <v>135100.0825</v>
      </c>
      <c r="AU808" s="771">
        <v>198763.2097</v>
      </c>
      <c r="AV808" s="989" t="s">
        <v>233</v>
      </c>
      <c r="AW808" s="714"/>
    </row>
    <row r="809">
      <c r="A809" s="761"/>
      <c r="B809" s="769" t="s">
        <v>493</v>
      </c>
      <c r="C809" s="770" t="s">
        <v>636</v>
      </c>
      <c r="D809" s="770" t="s">
        <v>494</v>
      </c>
      <c r="E809" s="770" t="s">
        <v>505</v>
      </c>
      <c r="F809" s="770" t="s">
        <v>519</v>
      </c>
      <c r="G809" s="770" t="s">
        <v>103</v>
      </c>
      <c r="H809" s="770">
        <v>2019.0</v>
      </c>
      <c r="I809" s="771">
        <v>20130.17297</v>
      </c>
      <c r="J809" s="771">
        <v>25080.11551</v>
      </c>
      <c r="K809" s="772">
        <v>16166.62014</v>
      </c>
      <c r="M809" s="769" t="s">
        <v>493</v>
      </c>
      <c r="N809" s="770" t="s">
        <v>636</v>
      </c>
      <c r="O809" s="770" t="s">
        <v>494</v>
      </c>
      <c r="P809" s="770" t="s">
        <v>505</v>
      </c>
      <c r="Q809" s="770" t="s">
        <v>519</v>
      </c>
      <c r="R809" s="770" t="s">
        <v>497</v>
      </c>
      <c r="S809" s="770">
        <v>2019.0</v>
      </c>
      <c r="T809" s="771">
        <v>94265.3555</v>
      </c>
      <c r="U809" s="771">
        <v>117444.8927</v>
      </c>
      <c r="V809" s="772">
        <v>75704.87333</v>
      </c>
      <c r="X809" s="769" t="s">
        <v>519</v>
      </c>
      <c r="Y809" s="770" t="s">
        <v>494</v>
      </c>
      <c r="Z809" s="770" t="s">
        <v>507</v>
      </c>
      <c r="AA809" s="770" t="s">
        <v>637</v>
      </c>
      <c r="AB809" s="770" t="s">
        <v>493</v>
      </c>
      <c r="AC809" s="770" t="s">
        <v>103</v>
      </c>
      <c r="AD809" s="770" t="s">
        <v>501</v>
      </c>
      <c r="AE809" s="784" t="s">
        <v>502</v>
      </c>
      <c r="AF809" s="771">
        <v>73.07474199</v>
      </c>
      <c r="AG809" s="771">
        <v>40.57168378</v>
      </c>
      <c r="AH809" s="771">
        <v>121.0754346</v>
      </c>
      <c r="AI809" s="772" t="s">
        <v>233</v>
      </c>
      <c r="AK809" s="769" t="s">
        <v>519</v>
      </c>
      <c r="AL809" s="770" t="s">
        <v>494</v>
      </c>
      <c r="AM809" s="770" t="s">
        <v>507</v>
      </c>
      <c r="AN809" s="770" t="s">
        <v>637</v>
      </c>
      <c r="AO809" s="770" t="s">
        <v>493</v>
      </c>
      <c r="AP809" s="770" t="s">
        <v>504</v>
      </c>
      <c r="AQ809" s="770" t="s">
        <v>501</v>
      </c>
      <c r="AR809" s="1010" t="s">
        <v>502</v>
      </c>
      <c r="AS809" s="771">
        <v>42.01163785</v>
      </c>
      <c r="AT809" s="771">
        <v>23.32519883</v>
      </c>
      <c r="AU809" s="771">
        <v>69.60787236</v>
      </c>
      <c r="AV809" s="989" t="s">
        <v>233</v>
      </c>
      <c r="AW809" s="714"/>
    </row>
    <row r="810">
      <c r="A810" s="761"/>
      <c r="B810" s="769" t="s">
        <v>493</v>
      </c>
      <c r="C810" s="770" t="s">
        <v>636</v>
      </c>
      <c r="D810" s="770" t="s">
        <v>494</v>
      </c>
      <c r="E810" s="770" t="s">
        <v>508</v>
      </c>
      <c r="F810" s="770" t="s">
        <v>519</v>
      </c>
      <c r="G810" s="770" t="s">
        <v>103</v>
      </c>
      <c r="H810" s="770">
        <v>2019.0</v>
      </c>
      <c r="I810" s="771">
        <v>1412.662205</v>
      </c>
      <c r="J810" s="771">
        <v>2261.282367</v>
      </c>
      <c r="K810" s="772">
        <v>830.387116</v>
      </c>
      <c r="M810" s="769" t="s">
        <v>493</v>
      </c>
      <c r="N810" s="770" t="s">
        <v>636</v>
      </c>
      <c r="O810" s="770" t="s">
        <v>494</v>
      </c>
      <c r="P810" s="770" t="s">
        <v>508</v>
      </c>
      <c r="Q810" s="770" t="s">
        <v>519</v>
      </c>
      <c r="R810" s="770" t="s">
        <v>497</v>
      </c>
      <c r="S810" s="770">
        <v>2019.0</v>
      </c>
      <c r="T810" s="771">
        <v>143.6672585</v>
      </c>
      <c r="U810" s="771">
        <v>229.971636</v>
      </c>
      <c r="V810" s="772">
        <v>84.45008299</v>
      </c>
      <c r="X810" s="769" t="s">
        <v>519</v>
      </c>
      <c r="Y810" s="770" t="s">
        <v>494</v>
      </c>
      <c r="Z810" s="770" t="s">
        <v>509</v>
      </c>
      <c r="AA810" s="770" t="s">
        <v>637</v>
      </c>
      <c r="AB810" s="770" t="s">
        <v>493</v>
      </c>
      <c r="AC810" s="770" t="s">
        <v>103</v>
      </c>
      <c r="AD810" s="770" t="s">
        <v>501</v>
      </c>
      <c r="AE810" s="784" t="s">
        <v>502</v>
      </c>
      <c r="AF810" s="771">
        <v>1267.923774</v>
      </c>
      <c r="AG810" s="771">
        <v>895.6677475</v>
      </c>
      <c r="AH810" s="771">
        <v>1659.551051</v>
      </c>
      <c r="AI810" s="772" t="s">
        <v>233</v>
      </c>
      <c r="AK810" s="769" t="s">
        <v>519</v>
      </c>
      <c r="AL810" s="770" t="s">
        <v>494</v>
      </c>
      <c r="AM810" s="770" t="s">
        <v>509</v>
      </c>
      <c r="AN810" s="770" t="s">
        <v>637</v>
      </c>
      <c r="AO810" s="770" t="s">
        <v>493</v>
      </c>
      <c r="AP810" s="770" t="s">
        <v>504</v>
      </c>
      <c r="AQ810" s="770" t="s">
        <v>501</v>
      </c>
      <c r="AR810" s="1010" t="s">
        <v>502</v>
      </c>
      <c r="AS810" s="771">
        <v>11239.524</v>
      </c>
      <c r="AT810" s="771">
        <v>7939.656428</v>
      </c>
      <c r="AU810" s="771">
        <v>14711.10823</v>
      </c>
      <c r="AV810" s="989" t="s">
        <v>233</v>
      </c>
      <c r="AW810" s="714"/>
    </row>
    <row r="811">
      <c r="A811" s="761"/>
      <c r="B811" s="769" t="s">
        <v>493</v>
      </c>
      <c r="C811" s="770" t="s">
        <v>636</v>
      </c>
      <c r="D811" s="770" t="s">
        <v>494</v>
      </c>
      <c r="E811" s="770" t="s">
        <v>512</v>
      </c>
      <c r="F811" s="770" t="s">
        <v>519</v>
      </c>
      <c r="G811" s="770" t="s">
        <v>103</v>
      </c>
      <c r="H811" s="770">
        <v>2019.0</v>
      </c>
      <c r="I811" s="771">
        <v>2707.050665</v>
      </c>
      <c r="J811" s="771">
        <v>3505.648765</v>
      </c>
      <c r="K811" s="772">
        <v>2011.061259</v>
      </c>
      <c r="M811" s="769" t="s">
        <v>493</v>
      </c>
      <c r="N811" s="770" t="s">
        <v>636</v>
      </c>
      <c r="O811" s="770" t="s">
        <v>494</v>
      </c>
      <c r="P811" s="770" t="s">
        <v>512</v>
      </c>
      <c r="Q811" s="770" t="s">
        <v>519</v>
      </c>
      <c r="R811" s="770" t="s">
        <v>497</v>
      </c>
      <c r="S811" s="770">
        <v>2019.0</v>
      </c>
      <c r="T811" s="771">
        <v>4286.262085</v>
      </c>
      <c r="U811" s="771">
        <v>5550.738145</v>
      </c>
      <c r="V811" s="772">
        <v>3184.253527</v>
      </c>
      <c r="X811" s="769" t="s">
        <v>519</v>
      </c>
      <c r="Y811" s="770" t="s">
        <v>494</v>
      </c>
      <c r="Z811" s="770" t="s">
        <v>513</v>
      </c>
      <c r="AA811" s="770" t="s">
        <v>637</v>
      </c>
      <c r="AB811" s="770" t="s">
        <v>493</v>
      </c>
      <c r="AC811" s="770" t="s">
        <v>103</v>
      </c>
      <c r="AD811" s="770" t="s">
        <v>501</v>
      </c>
      <c r="AE811" s="784" t="s">
        <v>502</v>
      </c>
      <c r="AF811" s="771">
        <v>7698.921695</v>
      </c>
      <c r="AG811" s="771">
        <v>6309.137079</v>
      </c>
      <c r="AH811" s="771">
        <v>9448.487269</v>
      </c>
      <c r="AI811" s="772" t="s">
        <v>233</v>
      </c>
      <c r="AK811" s="769" t="s">
        <v>519</v>
      </c>
      <c r="AL811" s="770" t="s">
        <v>494</v>
      </c>
      <c r="AM811" s="770" t="s">
        <v>513</v>
      </c>
      <c r="AN811" s="770" t="s">
        <v>637</v>
      </c>
      <c r="AO811" s="770" t="s">
        <v>493</v>
      </c>
      <c r="AP811" s="770" t="s">
        <v>504</v>
      </c>
      <c r="AQ811" s="770" t="s">
        <v>501</v>
      </c>
      <c r="AR811" s="1010" t="s">
        <v>502</v>
      </c>
      <c r="AS811" s="771">
        <v>912.0399302</v>
      </c>
      <c r="AT811" s="771">
        <v>747.4014114</v>
      </c>
      <c r="AU811" s="771">
        <v>1119.299301</v>
      </c>
      <c r="AV811" s="989" t="s">
        <v>233</v>
      </c>
      <c r="AW811" s="714"/>
    </row>
    <row r="812">
      <c r="A812" s="761"/>
      <c r="B812" s="769" t="s">
        <v>493</v>
      </c>
      <c r="C812" s="770" t="s">
        <v>636</v>
      </c>
      <c r="D812" s="770" t="s">
        <v>494</v>
      </c>
      <c r="E812" s="770" t="s">
        <v>495</v>
      </c>
      <c r="F812" s="770" t="s">
        <v>521</v>
      </c>
      <c r="G812" s="770" t="s">
        <v>103</v>
      </c>
      <c r="H812" s="770">
        <v>2019.0</v>
      </c>
      <c r="I812" s="771">
        <v>572.1740631</v>
      </c>
      <c r="J812" s="771">
        <v>1405.497174</v>
      </c>
      <c r="K812" s="772">
        <v>167.384729</v>
      </c>
      <c r="M812" s="769" t="s">
        <v>493</v>
      </c>
      <c r="N812" s="770" t="s">
        <v>636</v>
      </c>
      <c r="O812" s="770" t="s">
        <v>494</v>
      </c>
      <c r="P812" s="770" t="s">
        <v>495</v>
      </c>
      <c r="Q812" s="770" t="s">
        <v>521</v>
      </c>
      <c r="R812" s="770" t="s">
        <v>497</v>
      </c>
      <c r="S812" s="770">
        <v>2019.0</v>
      </c>
      <c r="T812" s="771">
        <v>11.20803152</v>
      </c>
      <c r="U812" s="771">
        <v>27.53158111</v>
      </c>
      <c r="V812" s="772">
        <v>3.278815731</v>
      </c>
      <c r="X812" s="769" t="s">
        <v>521</v>
      </c>
      <c r="Y812" s="770" t="s">
        <v>494</v>
      </c>
      <c r="Z812" s="770" t="s">
        <v>499</v>
      </c>
      <c r="AA812" s="770" t="s">
        <v>637</v>
      </c>
      <c r="AB812" s="770" t="s">
        <v>493</v>
      </c>
      <c r="AC812" s="770" t="s">
        <v>103</v>
      </c>
      <c r="AD812" s="770" t="s">
        <v>501</v>
      </c>
      <c r="AE812" s="784" t="s">
        <v>502</v>
      </c>
      <c r="AF812" s="771">
        <v>0.0</v>
      </c>
      <c r="AG812" s="771">
        <v>0.0</v>
      </c>
      <c r="AH812" s="771">
        <v>0.0</v>
      </c>
      <c r="AI812" s="772" t="s">
        <v>233</v>
      </c>
      <c r="AK812" s="769" t="s">
        <v>521</v>
      </c>
      <c r="AL812" s="770" t="s">
        <v>494</v>
      </c>
      <c r="AM812" s="770" t="s">
        <v>499</v>
      </c>
      <c r="AN812" s="770" t="s">
        <v>637</v>
      </c>
      <c r="AO812" s="770" t="s">
        <v>493</v>
      </c>
      <c r="AP812" s="770" t="s">
        <v>504</v>
      </c>
      <c r="AQ812" s="770" t="s">
        <v>501</v>
      </c>
      <c r="AR812" s="1010" t="s">
        <v>502</v>
      </c>
      <c r="AS812" s="771">
        <v>0.0</v>
      </c>
      <c r="AT812" s="771">
        <v>0.0</v>
      </c>
      <c r="AU812" s="771">
        <v>0.0</v>
      </c>
      <c r="AV812" s="989" t="s">
        <v>233</v>
      </c>
      <c r="AW812" s="714"/>
    </row>
    <row r="813">
      <c r="A813" s="761"/>
      <c r="B813" s="769" t="s">
        <v>493</v>
      </c>
      <c r="C813" s="770" t="s">
        <v>636</v>
      </c>
      <c r="D813" s="770" t="s">
        <v>494</v>
      </c>
      <c r="E813" s="770" t="s">
        <v>505</v>
      </c>
      <c r="F813" s="770" t="s">
        <v>521</v>
      </c>
      <c r="G813" s="770" t="s">
        <v>103</v>
      </c>
      <c r="H813" s="770">
        <v>2019.0</v>
      </c>
      <c r="I813" s="771">
        <v>0.0</v>
      </c>
      <c r="J813" s="771">
        <v>0.0</v>
      </c>
      <c r="K813" s="772">
        <v>0.0</v>
      </c>
      <c r="M813" s="769" t="s">
        <v>493</v>
      </c>
      <c r="N813" s="770" t="s">
        <v>636</v>
      </c>
      <c r="O813" s="770" t="s">
        <v>494</v>
      </c>
      <c r="P813" s="770" t="s">
        <v>505</v>
      </c>
      <c r="Q813" s="770" t="s">
        <v>521</v>
      </c>
      <c r="R813" s="770" t="s">
        <v>497</v>
      </c>
      <c r="S813" s="770">
        <v>2019.0</v>
      </c>
      <c r="T813" s="771">
        <v>0.0</v>
      </c>
      <c r="U813" s="771">
        <v>0.0</v>
      </c>
      <c r="V813" s="772">
        <v>0.0</v>
      </c>
      <c r="X813" s="769" t="s">
        <v>521</v>
      </c>
      <c r="Y813" s="770" t="s">
        <v>494</v>
      </c>
      <c r="Z813" s="770" t="s">
        <v>507</v>
      </c>
      <c r="AA813" s="770" t="s">
        <v>637</v>
      </c>
      <c r="AB813" s="770" t="s">
        <v>493</v>
      </c>
      <c r="AC813" s="770" t="s">
        <v>103</v>
      </c>
      <c r="AD813" s="770" t="s">
        <v>501</v>
      </c>
      <c r="AE813" s="784" t="s">
        <v>502</v>
      </c>
      <c r="AF813" s="771">
        <v>78.01792754</v>
      </c>
      <c r="AG813" s="771">
        <v>23.46113315</v>
      </c>
      <c r="AH813" s="771">
        <v>188.6950408</v>
      </c>
      <c r="AI813" s="772" t="s">
        <v>233</v>
      </c>
      <c r="AK813" s="769" t="s">
        <v>521</v>
      </c>
      <c r="AL813" s="770" t="s">
        <v>494</v>
      </c>
      <c r="AM813" s="770" t="s">
        <v>507</v>
      </c>
      <c r="AN813" s="770" t="s">
        <v>637</v>
      </c>
      <c r="AO813" s="770" t="s">
        <v>493</v>
      </c>
      <c r="AP813" s="770" t="s">
        <v>504</v>
      </c>
      <c r="AQ813" s="770" t="s">
        <v>501</v>
      </c>
      <c r="AR813" s="1010" t="s">
        <v>502</v>
      </c>
      <c r="AS813" s="771">
        <v>44.85354076</v>
      </c>
      <c r="AT813" s="771">
        <v>13.48811645</v>
      </c>
      <c r="AU813" s="771">
        <v>108.4832803</v>
      </c>
      <c r="AV813" s="989" t="s">
        <v>233</v>
      </c>
      <c r="AW813" s="714"/>
    </row>
    <row r="814">
      <c r="A814" s="761"/>
      <c r="B814" s="769" t="s">
        <v>493</v>
      </c>
      <c r="C814" s="770" t="s">
        <v>636</v>
      </c>
      <c r="D814" s="770" t="s">
        <v>494</v>
      </c>
      <c r="E814" s="770" t="s">
        <v>508</v>
      </c>
      <c r="F814" s="770" t="s">
        <v>521</v>
      </c>
      <c r="G814" s="770" t="s">
        <v>103</v>
      </c>
      <c r="H814" s="770">
        <v>2019.0</v>
      </c>
      <c r="I814" s="771">
        <v>196.1311857</v>
      </c>
      <c r="J814" s="771">
        <v>485.5958721</v>
      </c>
      <c r="K814" s="772">
        <v>57.57821955</v>
      </c>
      <c r="M814" s="769" t="s">
        <v>493</v>
      </c>
      <c r="N814" s="770" t="s">
        <v>636</v>
      </c>
      <c r="O814" s="770" t="s">
        <v>494</v>
      </c>
      <c r="P814" s="770" t="s">
        <v>508</v>
      </c>
      <c r="Q814" s="770" t="s">
        <v>521</v>
      </c>
      <c r="R814" s="770" t="s">
        <v>497</v>
      </c>
      <c r="S814" s="770">
        <v>2019.0</v>
      </c>
      <c r="T814" s="771">
        <v>19.94647387</v>
      </c>
      <c r="U814" s="771">
        <v>49.38493253</v>
      </c>
      <c r="V814" s="772">
        <v>5.855685049</v>
      </c>
      <c r="X814" s="769" t="s">
        <v>521</v>
      </c>
      <c r="Y814" s="770" t="s">
        <v>494</v>
      </c>
      <c r="Z814" s="770" t="s">
        <v>509</v>
      </c>
      <c r="AA814" s="770" t="s">
        <v>637</v>
      </c>
      <c r="AB814" s="770" t="s">
        <v>493</v>
      </c>
      <c r="AC814" s="770" t="s">
        <v>103</v>
      </c>
      <c r="AD814" s="770" t="s">
        <v>501</v>
      </c>
      <c r="AE814" s="784" t="s">
        <v>502</v>
      </c>
      <c r="AF814" s="771">
        <v>0.0</v>
      </c>
      <c r="AG814" s="771">
        <v>0.0</v>
      </c>
      <c r="AH814" s="771">
        <v>0.0</v>
      </c>
      <c r="AI814" s="772" t="s">
        <v>233</v>
      </c>
      <c r="AK814" s="769" t="s">
        <v>521</v>
      </c>
      <c r="AL814" s="770" t="s">
        <v>494</v>
      </c>
      <c r="AM814" s="770" t="s">
        <v>509</v>
      </c>
      <c r="AN814" s="770" t="s">
        <v>637</v>
      </c>
      <c r="AO814" s="770" t="s">
        <v>493</v>
      </c>
      <c r="AP814" s="770" t="s">
        <v>504</v>
      </c>
      <c r="AQ814" s="770" t="s">
        <v>501</v>
      </c>
      <c r="AR814" s="1010" t="s">
        <v>502</v>
      </c>
      <c r="AS814" s="771">
        <v>0.0</v>
      </c>
      <c r="AT814" s="771">
        <v>0.0</v>
      </c>
      <c r="AU814" s="771">
        <v>0.0</v>
      </c>
      <c r="AV814" s="989" t="s">
        <v>233</v>
      </c>
      <c r="AW814" s="714"/>
    </row>
    <row r="815">
      <c r="A815" s="761"/>
      <c r="B815" s="769" t="s">
        <v>493</v>
      </c>
      <c r="C815" s="770" t="s">
        <v>636</v>
      </c>
      <c r="D815" s="770" t="s">
        <v>494</v>
      </c>
      <c r="E815" s="770" t="s">
        <v>512</v>
      </c>
      <c r="F815" s="770" t="s">
        <v>521</v>
      </c>
      <c r="G815" s="770" t="s">
        <v>103</v>
      </c>
      <c r="H815" s="770">
        <v>2019.0</v>
      </c>
      <c r="I815" s="771">
        <v>0.0</v>
      </c>
      <c r="J815" s="771">
        <v>0.0</v>
      </c>
      <c r="K815" s="772">
        <v>0.0</v>
      </c>
      <c r="M815" s="769" t="s">
        <v>493</v>
      </c>
      <c r="N815" s="770" t="s">
        <v>636</v>
      </c>
      <c r="O815" s="770" t="s">
        <v>494</v>
      </c>
      <c r="P815" s="770" t="s">
        <v>512</v>
      </c>
      <c r="Q815" s="770" t="s">
        <v>521</v>
      </c>
      <c r="R815" s="770" t="s">
        <v>497</v>
      </c>
      <c r="S815" s="770">
        <v>2019.0</v>
      </c>
      <c r="T815" s="771">
        <v>0.0</v>
      </c>
      <c r="U815" s="771">
        <v>0.0</v>
      </c>
      <c r="V815" s="772">
        <v>0.0</v>
      </c>
      <c r="X815" s="769" t="s">
        <v>521</v>
      </c>
      <c r="Y815" s="770" t="s">
        <v>494</v>
      </c>
      <c r="Z815" s="770" t="s">
        <v>513</v>
      </c>
      <c r="AA815" s="770" t="s">
        <v>637</v>
      </c>
      <c r="AB815" s="770" t="s">
        <v>493</v>
      </c>
      <c r="AC815" s="770" t="s">
        <v>103</v>
      </c>
      <c r="AD815" s="770" t="s">
        <v>501</v>
      </c>
      <c r="AE815" s="784" t="s">
        <v>502</v>
      </c>
      <c r="AF815" s="771">
        <v>460.9271527</v>
      </c>
      <c r="AG815" s="771">
        <v>138.342224</v>
      </c>
      <c r="AH815" s="771">
        <v>1106.901448</v>
      </c>
      <c r="AI815" s="772" t="s">
        <v>233</v>
      </c>
      <c r="AK815" s="769" t="s">
        <v>521</v>
      </c>
      <c r="AL815" s="770" t="s">
        <v>494</v>
      </c>
      <c r="AM815" s="770" t="s">
        <v>513</v>
      </c>
      <c r="AN815" s="770" t="s">
        <v>637</v>
      </c>
      <c r="AO815" s="770" t="s">
        <v>493</v>
      </c>
      <c r="AP815" s="770" t="s">
        <v>504</v>
      </c>
      <c r="AQ815" s="770" t="s">
        <v>501</v>
      </c>
      <c r="AR815" s="1010" t="s">
        <v>502</v>
      </c>
      <c r="AS815" s="771">
        <v>54.60296712</v>
      </c>
      <c r="AT815" s="771">
        <v>16.38848105</v>
      </c>
      <c r="AU815" s="771">
        <v>131.1272356</v>
      </c>
      <c r="AV815" s="989" t="s">
        <v>233</v>
      </c>
      <c r="AW815" s="714"/>
    </row>
    <row r="816">
      <c r="A816" s="761"/>
      <c r="B816" s="769" t="s">
        <v>493</v>
      </c>
      <c r="C816" s="770" t="s">
        <v>636</v>
      </c>
      <c r="D816" s="770" t="s">
        <v>494</v>
      </c>
      <c r="E816" s="770" t="s">
        <v>495</v>
      </c>
      <c r="F816" s="770" t="s">
        <v>523</v>
      </c>
      <c r="G816" s="770" t="s">
        <v>103</v>
      </c>
      <c r="H816" s="770">
        <v>2019.0</v>
      </c>
      <c r="I816" s="771">
        <v>2043.962234</v>
      </c>
      <c r="J816" s="771">
        <v>3348.425307</v>
      </c>
      <c r="K816" s="772">
        <v>1173.885431</v>
      </c>
      <c r="M816" s="769" t="s">
        <v>493</v>
      </c>
      <c r="N816" s="770" t="s">
        <v>636</v>
      </c>
      <c r="O816" s="770" t="s">
        <v>494</v>
      </c>
      <c r="P816" s="770" t="s">
        <v>495</v>
      </c>
      <c r="Q816" s="770" t="s">
        <v>523</v>
      </c>
      <c r="R816" s="770" t="s">
        <v>497</v>
      </c>
      <c r="S816" s="770">
        <v>2019.0</v>
      </c>
      <c r="T816" s="771">
        <v>40.03815382</v>
      </c>
      <c r="U816" s="771">
        <v>65.59062845</v>
      </c>
      <c r="V816" s="772">
        <v>22.99465452</v>
      </c>
      <c r="X816" s="769" t="s">
        <v>523</v>
      </c>
      <c r="Y816" s="770" t="s">
        <v>494</v>
      </c>
      <c r="Z816" s="770" t="s">
        <v>507</v>
      </c>
      <c r="AA816" s="770" t="s">
        <v>637</v>
      </c>
      <c r="AB816" s="770" t="s">
        <v>493</v>
      </c>
      <c r="AC816" s="770" t="s">
        <v>103</v>
      </c>
      <c r="AD816" s="770" t="s">
        <v>501</v>
      </c>
      <c r="AE816" s="784" t="s">
        <v>502</v>
      </c>
      <c r="AF816" s="771">
        <v>270.5169291</v>
      </c>
      <c r="AG816" s="771">
        <v>135.1512976</v>
      </c>
      <c r="AH816" s="771">
        <v>503.1730075</v>
      </c>
      <c r="AI816" s="772" t="s">
        <v>233</v>
      </c>
      <c r="AK816" s="769" t="s">
        <v>523</v>
      </c>
      <c r="AL816" s="770" t="s">
        <v>494</v>
      </c>
      <c r="AM816" s="770" t="s">
        <v>507</v>
      </c>
      <c r="AN816" s="770" t="s">
        <v>637</v>
      </c>
      <c r="AO816" s="770" t="s">
        <v>493</v>
      </c>
      <c r="AP816" s="770" t="s">
        <v>504</v>
      </c>
      <c r="AQ816" s="770" t="s">
        <v>501</v>
      </c>
      <c r="AR816" s="1010" t="s">
        <v>502</v>
      </c>
      <c r="AS816" s="771">
        <v>155.5237685</v>
      </c>
      <c r="AT816" s="771">
        <v>77.70027257</v>
      </c>
      <c r="AU816" s="771">
        <v>289.2808321</v>
      </c>
      <c r="AV816" s="989" t="s">
        <v>233</v>
      </c>
      <c r="AW816" s="714"/>
    </row>
    <row r="817">
      <c r="A817" s="761"/>
      <c r="B817" s="769" t="s">
        <v>493</v>
      </c>
      <c r="C817" s="770" t="s">
        <v>636</v>
      </c>
      <c r="D817" s="770" t="s">
        <v>494</v>
      </c>
      <c r="E817" s="770" t="s">
        <v>505</v>
      </c>
      <c r="F817" s="770" t="s">
        <v>523</v>
      </c>
      <c r="G817" s="770" t="s">
        <v>103</v>
      </c>
      <c r="H817" s="770">
        <v>2019.0</v>
      </c>
      <c r="I817" s="771">
        <v>0.0</v>
      </c>
      <c r="J817" s="771">
        <v>0.0</v>
      </c>
      <c r="K817" s="772">
        <v>0.0</v>
      </c>
      <c r="M817" s="769" t="s">
        <v>493</v>
      </c>
      <c r="N817" s="770" t="s">
        <v>636</v>
      </c>
      <c r="O817" s="770" t="s">
        <v>494</v>
      </c>
      <c r="P817" s="770" t="s">
        <v>505</v>
      </c>
      <c r="Q817" s="770" t="s">
        <v>523</v>
      </c>
      <c r="R817" s="770" t="s">
        <v>497</v>
      </c>
      <c r="S817" s="770">
        <v>2019.0</v>
      </c>
      <c r="T817" s="771">
        <v>0.0</v>
      </c>
      <c r="U817" s="771">
        <v>0.0</v>
      </c>
      <c r="V817" s="772">
        <v>0.0</v>
      </c>
      <c r="X817" s="1016" t="s">
        <v>523</v>
      </c>
      <c r="Y817" s="1017" t="s">
        <v>494</v>
      </c>
      <c r="Z817" s="1017" t="s">
        <v>513</v>
      </c>
      <c r="AA817" s="1017" t="s">
        <v>637</v>
      </c>
      <c r="AB817" s="1017" t="s">
        <v>493</v>
      </c>
      <c r="AC817" s="1017" t="s">
        <v>103</v>
      </c>
      <c r="AD817" s="1017" t="s">
        <v>501</v>
      </c>
      <c r="AE817" s="1018" t="s">
        <v>502</v>
      </c>
      <c r="AF817" s="1019">
        <v>774.2278593</v>
      </c>
      <c r="AG817" s="1019">
        <v>464.771033</v>
      </c>
      <c r="AH817" s="1019">
        <v>1270.454859</v>
      </c>
      <c r="AI817" s="1020" t="s">
        <v>233</v>
      </c>
      <c r="AK817" s="1016" t="s">
        <v>523</v>
      </c>
      <c r="AL817" s="1017" t="s">
        <v>494</v>
      </c>
      <c r="AM817" s="1017" t="s">
        <v>513</v>
      </c>
      <c r="AN817" s="1017" t="s">
        <v>637</v>
      </c>
      <c r="AO817" s="1017" t="s">
        <v>493</v>
      </c>
      <c r="AP817" s="1017" t="s">
        <v>504</v>
      </c>
      <c r="AQ817" s="1017" t="s">
        <v>501</v>
      </c>
      <c r="AR817" s="1021" t="s">
        <v>502</v>
      </c>
      <c r="AS817" s="1019">
        <v>91.71761329</v>
      </c>
      <c r="AT817" s="1019">
        <v>55.05832599</v>
      </c>
      <c r="AU817" s="1019">
        <v>150.502318</v>
      </c>
      <c r="AV817" s="1022" t="s">
        <v>233</v>
      </c>
      <c r="AW817" s="714"/>
    </row>
    <row r="818">
      <c r="A818" s="761"/>
      <c r="B818" s="769" t="s">
        <v>493</v>
      </c>
      <c r="C818" s="770" t="s">
        <v>636</v>
      </c>
      <c r="D818" s="770" t="s">
        <v>494</v>
      </c>
      <c r="E818" s="770" t="s">
        <v>508</v>
      </c>
      <c r="F818" s="770" t="s">
        <v>523</v>
      </c>
      <c r="G818" s="770" t="s">
        <v>103</v>
      </c>
      <c r="H818" s="770">
        <v>2019.0</v>
      </c>
      <c r="I818" s="771">
        <v>1186.299523</v>
      </c>
      <c r="J818" s="771">
        <v>2175.809438</v>
      </c>
      <c r="K818" s="772">
        <v>622.2421503</v>
      </c>
      <c r="M818" s="769" t="s">
        <v>493</v>
      </c>
      <c r="N818" s="770" t="s">
        <v>636</v>
      </c>
      <c r="O818" s="770" t="s">
        <v>494</v>
      </c>
      <c r="P818" s="770" t="s">
        <v>508</v>
      </c>
      <c r="Q818" s="770" t="s">
        <v>523</v>
      </c>
      <c r="R818" s="770" t="s">
        <v>497</v>
      </c>
      <c r="S818" s="770">
        <v>2019.0</v>
      </c>
      <c r="T818" s="771">
        <v>120.6462519</v>
      </c>
      <c r="U818" s="771">
        <v>221.2790686</v>
      </c>
      <c r="V818" s="772">
        <v>63.28181185</v>
      </c>
      <c r="AK818" s="1023"/>
      <c r="AL818" s="1023"/>
      <c r="AM818" s="1023"/>
      <c r="AN818" s="1023"/>
      <c r="AO818" s="1023"/>
      <c r="AP818" s="1023"/>
      <c r="AQ818" s="1023"/>
      <c r="AR818" s="1024"/>
      <c r="AS818" s="1025"/>
      <c r="AT818" s="1025"/>
      <c r="AU818" s="1025"/>
      <c r="AV818" s="1023"/>
      <c r="AW818" s="714"/>
    </row>
    <row r="819">
      <c r="A819" s="761"/>
      <c r="B819" s="769" t="s">
        <v>493</v>
      </c>
      <c r="C819" s="770" t="s">
        <v>636</v>
      </c>
      <c r="D819" s="770" t="s">
        <v>494</v>
      </c>
      <c r="E819" s="770" t="s">
        <v>512</v>
      </c>
      <c r="F819" s="770" t="s">
        <v>523</v>
      </c>
      <c r="G819" s="770" t="s">
        <v>103</v>
      </c>
      <c r="H819" s="770">
        <v>2019.0</v>
      </c>
      <c r="I819" s="771">
        <v>0.0</v>
      </c>
      <c r="J819" s="771">
        <v>0.0</v>
      </c>
      <c r="K819" s="772">
        <v>0.0</v>
      </c>
      <c r="M819" s="769" t="s">
        <v>493</v>
      </c>
      <c r="N819" s="770" t="s">
        <v>636</v>
      </c>
      <c r="O819" s="770" t="s">
        <v>494</v>
      </c>
      <c r="P819" s="770" t="s">
        <v>512</v>
      </c>
      <c r="Q819" s="770" t="s">
        <v>523</v>
      </c>
      <c r="R819" s="770" t="s">
        <v>497</v>
      </c>
      <c r="S819" s="770">
        <v>2019.0</v>
      </c>
      <c r="T819" s="771">
        <v>0.0</v>
      </c>
      <c r="U819" s="771">
        <v>0.0</v>
      </c>
      <c r="V819" s="772">
        <v>0.0</v>
      </c>
      <c r="AW819" s="714"/>
    </row>
    <row r="820">
      <c r="A820" s="761"/>
      <c r="B820" s="769" t="s">
        <v>493</v>
      </c>
      <c r="C820" s="770" t="s">
        <v>640</v>
      </c>
      <c r="D820" s="770" t="s">
        <v>494</v>
      </c>
      <c r="E820" s="770" t="s">
        <v>495</v>
      </c>
      <c r="F820" s="770" t="s">
        <v>496</v>
      </c>
      <c r="G820" s="770" t="s">
        <v>103</v>
      </c>
      <c r="H820" s="770">
        <v>2019.0</v>
      </c>
      <c r="I820" s="771">
        <v>2197.244959</v>
      </c>
      <c r="J820" s="771">
        <v>2900.818771</v>
      </c>
      <c r="K820" s="772">
        <v>1680.634737</v>
      </c>
      <c r="M820" s="769" t="s">
        <v>493</v>
      </c>
      <c r="N820" s="770" t="s">
        <v>640</v>
      </c>
      <c r="O820" s="770" t="s">
        <v>494</v>
      </c>
      <c r="P820" s="770" t="s">
        <v>495</v>
      </c>
      <c r="Q820" s="770" t="s">
        <v>496</v>
      </c>
      <c r="R820" s="770" t="s">
        <v>497</v>
      </c>
      <c r="S820" s="770">
        <v>2019.0</v>
      </c>
      <c r="T820" s="771">
        <v>740.4094439</v>
      </c>
      <c r="U820" s="771">
        <v>977.4939315</v>
      </c>
      <c r="V820" s="772">
        <v>566.3264016</v>
      </c>
      <c r="AW820" s="714"/>
    </row>
    <row r="821">
      <c r="A821" s="761"/>
      <c r="B821" s="769" t="s">
        <v>493</v>
      </c>
      <c r="C821" s="770" t="s">
        <v>640</v>
      </c>
      <c r="D821" s="770" t="s">
        <v>494</v>
      </c>
      <c r="E821" s="770" t="s">
        <v>505</v>
      </c>
      <c r="F821" s="770" t="s">
        <v>496</v>
      </c>
      <c r="G821" s="770" t="s">
        <v>103</v>
      </c>
      <c r="H821" s="770">
        <v>2019.0</v>
      </c>
      <c r="I821" s="771">
        <v>855.5326196</v>
      </c>
      <c r="J821" s="771">
        <v>1123.018956</v>
      </c>
      <c r="K821" s="772">
        <v>657.3633891</v>
      </c>
      <c r="M821" s="769" t="s">
        <v>493</v>
      </c>
      <c r="N821" s="770" t="s">
        <v>640</v>
      </c>
      <c r="O821" s="770" t="s">
        <v>494</v>
      </c>
      <c r="P821" s="770" t="s">
        <v>505</v>
      </c>
      <c r="Q821" s="770" t="s">
        <v>496</v>
      </c>
      <c r="R821" s="770" t="s">
        <v>497</v>
      </c>
      <c r="S821" s="770">
        <v>2019.0</v>
      </c>
      <c r="T821" s="771">
        <v>71915.91786</v>
      </c>
      <c r="U821" s="771">
        <v>94400.7711</v>
      </c>
      <c r="V821" s="772">
        <v>55257.84805</v>
      </c>
      <c r="AW821" s="714"/>
    </row>
    <row r="822">
      <c r="A822" s="761"/>
      <c r="B822" s="769" t="s">
        <v>493</v>
      </c>
      <c r="C822" s="770" t="s">
        <v>640</v>
      </c>
      <c r="D822" s="770" t="s">
        <v>494</v>
      </c>
      <c r="E822" s="770" t="s">
        <v>508</v>
      </c>
      <c r="F822" s="770" t="s">
        <v>496</v>
      </c>
      <c r="G822" s="770" t="s">
        <v>103</v>
      </c>
      <c r="H822" s="770">
        <v>2019.0</v>
      </c>
      <c r="I822" s="771">
        <v>678.8777256</v>
      </c>
      <c r="J822" s="771">
        <v>883.4903941</v>
      </c>
      <c r="K822" s="772">
        <v>524.6612626</v>
      </c>
      <c r="M822" s="769" t="s">
        <v>493</v>
      </c>
      <c r="N822" s="770" t="s">
        <v>640</v>
      </c>
      <c r="O822" s="770" t="s">
        <v>494</v>
      </c>
      <c r="P822" s="770" t="s">
        <v>508</v>
      </c>
      <c r="Q822" s="770" t="s">
        <v>496</v>
      </c>
      <c r="R822" s="770" t="s">
        <v>497</v>
      </c>
      <c r="S822" s="770">
        <v>2019.0</v>
      </c>
      <c r="T822" s="771">
        <v>1209.565414</v>
      </c>
      <c r="U822" s="771">
        <v>1574.126509</v>
      </c>
      <c r="V822" s="772">
        <v>934.795904</v>
      </c>
      <c r="AW822" s="714"/>
    </row>
    <row r="823">
      <c r="A823" s="761"/>
      <c r="B823" s="769" t="s">
        <v>493</v>
      </c>
      <c r="C823" s="770" t="s">
        <v>640</v>
      </c>
      <c r="D823" s="770" t="s">
        <v>494</v>
      </c>
      <c r="E823" s="770" t="s">
        <v>512</v>
      </c>
      <c r="F823" s="770" t="s">
        <v>496</v>
      </c>
      <c r="G823" s="770" t="s">
        <v>103</v>
      </c>
      <c r="H823" s="770">
        <v>2019.0</v>
      </c>
      <c r="I823" s="771">
        <v>163.9089716</v>
      </c>
      <c r="J823" s="771">
        <v>251.4090198</v>
      </c>
      <c r="K823" s="772">
        <v>109.0929817</v>
      </c>
      <c r="M823" s="769" t="s">
        <v>493</v>
      </c>
      <c r="N823" s="770" t="s">
        <v>640</v>
      </c>
      <c r="O823" s="770" t="s">
        <v>494</v>
      </c>
      <c r="P823" s="770" t="s">
        <v>512</v>
      </c>
      <c r="Q823" s="770" t="s">
        <v>496</v>
      </c>
      <c r="R823" s="770" t="s">
        <v>497</v>
      </c>
      <c r="S823" s="770">
        <v>2019.0</v>
      </c>
      <c r="T823" s="771">
        <v>4632.300545</v>
      </c>
      <c r="U823" s="771">
        <v>7105.176294</v>
      </c>
      <c r="V823" s="772">
        <v>3083.122746</v>
      </c>
      <c r="AW823" s="714"/>
    </row>
    <row r="824">
      <c r="A824" s="761"/>
      <c r="B824" s="769" t="s">
        <v>493</v>
      </c>
      <c r="C824" s="770" t="s">
        <v>640</v>
      </c>
      <c r="D824" s="770" t="s">
        <v>494</v>
      </c>
      <c r="E824" s="770" t="s">
        <v>495</v>
      </c>
      <c r="F824" s="770" t="s">
        <v>514</v>
      </c>
      <c r="G824" s="770" t="s">
        <v>103</v>
      </c>
      <c r="H824" s="770">
        <v>2019.0</v>
      </c>
      <c r="I824" s="771">
        <v>1938.072609</v>
      </c>
      <c r="J824" s="771">
        <v>2570.079169</v>
      </c>
      <c r="K824" s="772">
        <v>1488.498774</v>
      </c>
      <c r="M824" s="769" t="s">
        <v>493</v>
      </c>
      <c r="N824" s="770" t="s">
        <v>640</v>
      </c>
      <c r="O824" s="770" t="s">
        <v>494</v>
      </c>
      <c r="P824" s="770" t="s">
        <v>495</v>
      </c>
      <c r="Q824" s="770" t="s">
        <v>514</v>
      </c>
      <c r="R824" s="770" t="s">
        <v>497</v>
      </c>
      <c r="S824" s="770">
        <v>2019.0</v>
      </c>
      <c r="T824" s="771">
        <v>653.0756877</v>
      </c>
      <c r="U824" s="771">
        <v>866.0440342</v>
      </c>
      <c r="V824" s="772">
        <v>501.5820131</v>
      </c>
      <c r="AW824" s="714"/>
    </row>
    <row r="825">
      <c r="A825" s="761"/>
      <c r="B825" s="769" t="s">
        <v>493</v>
      </c>
      <c r="C825" s="770" t="s">
        <v>640</v>
      </c>
      <c r="D825" s="770" t="s">
        <v>494</v>
      </c>
      <c r="E825" s="770" t="s">
        <v>505</v>
      </c>
      <c r="F825" s="770" t="s">
        <v>514</v>
      </c>
      <c r="G825" s="770" t="s">
        <v>103</v>
      </c>
      <c r="H825" s="770">
        <v>2019.0</v>
      </c>
      <c r="I825" s="771">
        <v>793.5097924</v>
      </c>
      <c r="J825" s="771">
        <v>1053.688856</v>
      </c>
      <c r="K825" s="772">
        <v>611.010862</v>
      </c>
      <c r="M825" s="769" t="s">
        <v>493</v>
      </c>
      <c r="N825" s="770" t="s">
        <v>640</v>
      </c>
      <c r="O825" s="770" t="s">
        <v>494</v>
      </c>
      <c r="P825" s="770" t="s">
        <v>505</v>
      </c>
      <c r="Q825" s="770" t="s">
        <v>514</v>
      </c>
      <c r="R825" s="770" t="s">
        <v>497</v>
      </c>
      <c r="S825" s="770">
        <v>2019.0</v>
      </c>
      <c r="T825" s="771">
        <v>66702.29018</v>
      </c>
      <c r="U825" s="771">
        <v>88572.89536</v>
      </c>
      <c r="V825" s="772">
        <v>51361.46297</v>
      </c>
      <c r="AW825" s="714"/>
    </row>
    <row r="826">
      <c r="A826" s="761"/>
      <c r="B826" s="769" t="s">
        <v>493</v>
      </c>
      <c r="C826" s="770" t="s">
        <v>640</v>
      </c>
      <c r="D826" s="770" t="s">
        <v>494</v>
      </c>
      <c r="E826" s="770" t="s">
        <v>508</v>
      </c>
      <c r="F826" s="770" t="s">
        <v>514</v>
      </c>
      <c r="G826" s="770" t="s">
        <v>103</v>
      </c>
      <c r="H826" s="770">
        <v>2019.0</v>
      </c>
      <c r="I826" s="771">
        <v>580.111705</v>
      </c>
      <c r="J826" s="771">
        <v>756.6373622</v>
      </c>
      <c r="K826" s="772">
        <v>448.6294408</v>
      </c>
      <c r="M826" s="769" t="s">
        <v>493</v>
      </c>
      <c r="N826" s="770" t="s">
        <v>640</v>
      </c>
      <c r="O826" s="770" t="s">
        <v>494</v>
      </c>
      <c r="P826" s="770" t="s">
        <v>508</v>
      </c>
      <c r="Q826" s="770" t="s">
        <v>514</v>
      </c>
      <c r="R826" s="770" t="s">
        <v>497</v>
      </c>
      <c r="S826" s="770">
        <v>2019.0</v>
      </c>
      <c r="T826" s="771">
        <v>1033.59269</v>
      </c>
      <c r="U826" s="771">
        <v>1348.110786</v>
      </c>
      <c r="V826" s="772">
        <v>799.3290024</v>
      </c>
      <c r="AW826" s="714"/>
    </row>
    <row r="827">
      <c r="A827" s="761"/>
      <c r="B827" s="769" t="s">
        <v>493</v>
      </c>
      <c r="C827" s="770" t="s">
        <v>640</v>
      </c>
      <c r="D827" s="770" t="s">
        <v>494</v>
      </c>
      <c r="E827" s="770" t="s">
        <v>512</v>
      </c>
      <c r="F827" s="770" t="s">
        <v>514</v>
      </c>
      <c r="G827" s="770" t="s">
        <v>103</v>
      </c>
      <c r="H827" s="770">
        <v>2019.0</v>
      </c>
      <c r="I827" s="771">
        <v>145.7744753</v>
      </c>
      <c r="J827" s="771">
        <v>224.4026403</v>
      </c>
      <c r="K827" s="772">
        <v>97.3884671</v>
      </c>
      <c r="M827" s="769" t="s">
        <v>493</v>
      </c>
      <c r="N827" s="770" t="s">
        <v>640</v>
      </c>
      <c r="O827" s="770" t="s">
        <v>494</v>
      </c>
      <c r="P827" s="770" t="s">
        <v>512</v>
      </c>
      <c r="Q827" s="770" t="s">
        <v>514</v>
      </c>
      <c r="R827" s="770" t="s">
        <v>497</v>
      </c>
      <c r="S827" s="770">
        <v>2019.0</v>
      </c>
      <c r="T827" s="771">
        <v>4119.7939</v>
      </c>
      <c r="U827" s="771">
        <v>6341.937618</v>
      </c>
      <c r="V827" s="772">
        <v>2752.336524</v>
      </c>
      <c r="AW827" s="714"/>
    </row>
    <row r="828">
      <c r="A828" s="761"/>
      <c r="B828" s="769" t="s">
        <v>493</v>
      </c>
      <c r="C828" s="770" t="s">
        <v>640</v>
      </c>
      <c r="D828" s="770" t="s">
        <v>494</v>
      </c>
      <c r="E828" s="770" t="s">
        <v>495</v>
      </c>
      <c r="F828" s="770" t="s">
        <v>518</v>
      </c>
      <c r="G828" s="770" t="s">
        <v>103</v>
      </c>
      <c r="H828" s="770">
        <v>2019.0</v>
      </c>
      <c r="I828" s="771">
        <v>190.0452198</v>
      </c>
      <c r="J828" s="771">
        <v>393.3592856</v>
      </c>
      <c r="K828" s="772">
        <v>81.95999363</v>
      </c>
      <c r="M828" s="769" t="s">
        <v>493</v>
      </c>
      <c r="N828" s="770" t="s">
        <v>640</v>
      </c>
      <c r="O828" s="770" t="s">
        <v>494</v>
      </c>
      <c r="P828" s="770" t="s">
        <v>495</v>
      </c>
      <c r="Q828" s="770" t="s">
        <v>518</v>
      </c>
      <c r="R828" s="770" t="s">
        <v>497</v>
      </c>
      <c r="S828" s="770">
        <v>2019.0</v>
      </c>
      <c r="T828" s="771">
        <v>64.03986726</v>
      </c>
      <c r="U828" s="771">
        <v>132.5509605</v>
      </c>
      <c r="V828" s="772">
        <v>27.61820117</v>
      </c>
      <c r="AW828" s="714"/>
    </row>
    <row r="829">
      <c r="A829" s="761"/>
      <c r="B829" s="769" t="s">
        <v>493</v>
      </c>
      <c r="C829" s="770" t="s">
        <v>640</v>
      </c>
      <c r="D829" s="770" t="s">
        <v>494</v>
      </c>
      <c r="E829" s="770" t="s">
        <v>505</v>
      </c>
      <c r="F829" s="770" t="s">
        <v>518</v>
      </c>
      <c r="G829" s="770" t="s">
        <v>103</v>
      </c>
      <c r="H829" s="770">
        <v>2019.0</v>
      </c>
      <c r="I829" s="771">
        <v>0.9627995551</v>
      </c>
      <c r="J829" s="771">
        <v>2.490146323</v>
      </c>
      <c r="K829" s="772">
        <v>0.3284384735</v>
      </c>
      <c r="M829" s="769" t="s">
        <v>493</v>
      </c>
      <c r="N829" s="770" t="s">
        <v>640</v>
      </c>
      <c r="O829" s="770" t="s">
        <v>494</v>
      </c>
      <c r="P829" s="770" t="s">
        <v>505</v>
      </c>
      <c r="Q829" s="770" t="s">
        <v>518</v>
      </c>
      <c r="R829" s="770" t="s">
        <v>497</v>
      </c>
      <c r="S829" s="770">
        <v>2019.0</v>
      </c>
      <c r="T829" s="771">
        <v>80.93275713</v>
      </c>
      <c r="U829" s="771">
        <v>209.3212513</v>
      </c>
      <c r="V829" s="772">
        <v>27.6084789</v>
      </c>
      <c r="AW829" s="714"/>
    </row>
    <row r="830">
      <c r="A830" s="761"/>
      <c r="B830" s="769" t="s">
        <v>493</v>
      </c>
      <c r="C830" s="770" t="s">
        <v>640</v>
      </c>
      <c r="D830" s="770" t="s">
        <v>494</v>
      </c>
      <c r="E830" s="770" t="s">
        <v>508</v>
      </c>
      <c r="F830" s="770" t="s">
        <v>518</v>
      </c>
      <c r="G830" s="770" t="s">
        <v>103</v>
      </c>
      <c r="H830" s="770">
        <v>2019.0</v>
      </c>
      <c r="I830" s="771">
        <v>140.6930986</v>
      </c>
      <c r="J830" s="771">
        <v>272.3919098</v>
      </c>
      <c r="K830" s="772">
        <v>57.40575447</v>
      </c>
      <c r="M830" s="769" t="s">
        <v>493</v>
      </c>
      <c r="N830" s="770" t="s">
        <v>640</v>
      </c>
      <c r="O830" s="770" t="s">
        <v>494</v>
      </c>
      <c r="P830" s="770" t="s">
        <v>508</v>
      </c>
      <c r="Q830" s="770" t="s">
        <v>518</v>
      </c>
      <c r="R830" s="770" t="s">
        <v>497</v>
      </c>
      <c r="S830" s="770">
        <v>2019.0</v>
      </c>
      <c r="T830" s="771">
        <v>250.6747527</v>
      </c>
      <c r="U830" s="771">
        <v>485.3242648</v>
      </c>
      <c r="V830" s="772">
        <v>102.2805912</v>
      </c>
      <c r="AW830" s="714"/>
    </row>
    <row r="831">
      <c r="A831" s="761"/>
      <c r="B831" s="769" t="s">
        <v>493</v>
      </c>
      <c r="C831" s="770" t="s">
        <v>640</v>
      </c>
      <c r="D831" s="770" t="s">
        <v>494</v>
      </c>
      <c r="E831" s="770" t="s">
        <v>512</v>
      </c>
      <c r="F831" s="770" t="s">
        <v>518</v>
      </c>
      <c r="G831" s="770" t="s">
        <v>103</v>
      </c>
      <c r="H831" s="770">
        <v>2019.0</v>
      </c>
      <c r="I831" s="771">
        <v>7.664366654</v>
      </c>
      <c r="J831" s="771">
        <v>20.3005468</v>
      </c>
      <c r="K831" s="772">
        <v>2.586583562</v>
      </c>
      <c r="M831" s="769" t="s">
        <v>493</v>
      </c>
      <c r="N831" s="770" t="s">
        <v>640</v>
      </c>
      <c r="O831" s="770" t="s">
        <v>494</v>
      </c>
      <c r="P831" s="770" t="s">
        <v>512</v>
      </c>
      <c r="Q831" s="770" t="s">
        <v>518</v>
      </c>
      <c r="R831" s="770" t="s">
        <v>497</v>
      </c>
      <c r="S831" s="770">
        <v>2019.0</v>
      </c>
      <c r="T831" s="771">
        <v>216.605897</v>
      </c>
      <c r="U831" s="771">
        <v>573.7223112</v>
      </c>
      <c r="V831" s="772">
        <v>73.10052847</v>
      </c>
      <c r="AW831" s="714"/>
    </row>
    <row r="832">
      <c r="A832" s="761"/>
      <c r="B832" s="769" t="s">
        <v>493</v>
      </c>
      <c r="C832" s="770" t="s">
        <v>640</v>
      </c>
      <c r="D832" s="770" t="s">
        <v>494</v>
      </c>
      <c r="E832" s="770" t="s">
        <v>495</v>
      </c>
      <c r="F832" s="770" t="s">
        <v>519</v>
      </c>
      <c r="G832" s="770" t="s">
        <v>103</v>
      </c>
      <c r="H832" s="770">
        <v>2019.0</v>
      </c>
      <c r="I832" s="771">
        <v>881.8211704</v>
      </c>
      <c r="J832" s="771">
        <v>1194.856135</v>
      </c>
      <c r="K832" s="772">
        <v>668.3686912</v>
      </c>
      <c r="M832" s="769" t="s">
        <v>493</v>
      </c>
      <c r="N832" s="770" t="s">
        <v>640</v>
      </c>
      <c r="O832" s="770" t="s">
        <v>494</v>
      </c>
      <c r="P832" s="770" t="s">
        <v>495</v>
      </c>
      <c r="Q832" s="770" t="s">
        <v>519</v>
      </c>
      <c r="R832" s="770" t="s">
        <v>497</v>
      </c>
      <c r="S832" s="770">
        <v>2019.0</v>
      </c>
      <c r="T832" s="771">
        <v>297.1488089</v>
      </c>
      <c r="U832" s="771">
        <v>402.6327438</v>
      </c>
      <c r="V832" s="772">
        <v>225.2213568</v>
      </c>
      <c r="AW832" s="714"/>
    </row>
    <row r="833">
      <c r="A833" s="761"/>
      <c r="B833" s="769" t="s">
        <v>493</v>
      </c>
      <c r="C833" s="770" t="s">
        <v>640</v>
      </c>
      <c r="D833" s="770" t="s">
        <v>494</v>
      </c>
      <c r="E833" s="770" t="s">
        <v>505</v>
      </c>
      <c r="F833" s="770" t="s">
        <v>519</v>
      </c>
      <c r="G833" s="770" t="s">
        <v>103</v>
      </c>
      <c r="H833" s="770">
        <v>2019.0</v>
      </c>
      <c r="I833" s="771">
        <v>720.033578</v>
      </c>
      <c r="J833" s="771">
        <v>951.6614422</v>
      </c>
      <c r="K833" s="772">
        <v>549.0226842</v>
      </c>
      <c r="M833" s="769" t="s">
        <v>493</v>
      </c>
      <c r="N833" s="770" t="s">
        <v>640</v>
      </c>
      <c r="O833" s="770" t="s">
        <v>494</v>
      </c>
      <c r="P833" s="770" t="s">
        <v>505</v>
      </c>
      <c r="Q833" s="770" t="s">
        <v>519</v>
      </c>
      <c r="R833" s="770" t="s">
        <v>497</v>
      </c>
      <c r="S833" s="770">
        <v>2019.0</v>
      </c>
      <c r="T833" s="771">
        <v>60525.89284</v>
      </c>
      <c r="U833" s="771">
        <v>79996.48937</v>
      </c>
      <c r="V833" s="772">
        <v>46150.74791</v>
      </c>
      <c r="AW833" s="714"/>
    </row>
    <row r="834">
      <c r="A834" s="761"/>
      <c r="B834" s="769" t="s">
        <v>493</v>
      </c>
      <c r="C834" s="770" t="s">
        <v>640</v>
      </c>
      <c r="D834" s="770" t="s">
        <v>494</v>
      </c>
      <c r="E834" s="770" t="s">
        <v>508</v>
      </c>
      <c r="F834" s="770" t="s">
        <v>519</v>
      </c>
      <c r="G834" s="770" t="s">
        <v>103</v>
      </c>
      <c r="H834" s="770">
        <v>2019.0</v>
      </c>
      <c r="I834" s="771">
        <v>55.01415137</v>
      </c>
      <c r="J834" s="771">
        <v>93.66618693</v>
      </c>
      <c r="K834" s="772">
        <v>29.42011593</v>
      </c>
      <c r="M834" s="769" t="s">
        <v>493</v>
      </c>
      <c r="N834" s="770" t="s">
        <v>640</v>
      </c>
      <c r="O834" s="770" t="s">
        <v>494</v>
      </c>
      <c r="P834" s="770" t="s">
        <v>508</v>
      </c>
      <c r="Q834" s="770" t="s">
        <v>519</v>
      </c>
      <c r="R834" s="770" t="s">
        <v>497</v>
      </c>
      <c r="S834" s="770">
        <v>2019.0</v>
      </c>
      <c r="T834" s="771">
        <v>98.01944041</v>
      </c>
      <c r="U834" s="771">
        <v>166.8862829</v>
      </c>
      <c r="V834" s="772">
        <v>52.41820928</v>
      </c>
      <c r="AW834" s="714"/>
    </row>
    <row r="835">
      <c r="A835" s="761"/>
      <c r="B835" s="769" t="s">
        <v>493</v>
      </c>
      <c r="C835" s="770" t="s">
        <v>640</v>
      </c>
      <c r="D835" s="770" t="s">
        <v>494</v>
      </c>
      <c r="E835" s="770" t="s">
        <v>512</v>
      </c>
      <c r="F835" s="770" t="s">
        <v>519</v>
      </c>
      <c r="G835" s="770" t="s">
        <v>103</v>
      </c>
      <c r="H835" s="770">
        <v>2019.0</v>
      </c>
      <c r="I835" s="771">
        <v>104.6685089</v>
      </c>
      <c r="J835" s="771">
        <v>162.4688897</v>
      </c>
      <c r="K835" s="772">
        <v>66.5346244</v>
      </c>
      <c r="M835" s="769" t="s">
        <v>493</v>
      </c>
      <c r="N835" s="770" t="s">
        <v>640</v>
      </c>
      <c r="O835" s="770" t="s">
        <v>494</v>
      </c>
      <c r="P835" s="770" t="s">
        <v>512</v>
      </c>
      <c r="Q835" s="770" t="s">
        <v>519</v>
      </c>
      <c r="R835" s="770" t="s">
        <v>497</v>
      </c>
      <c r="S835" s="770">
        <v>2019.0</v>
      </c>
      <c r="T835" s="771">
        <v>2958.080855</v>
      </c>
      <c r="U835" s="771">
        <v>4591.601783</v>
      </c>
      <c r="V835" s="772">
        <v>1880.363069</v>
      </c>
      <c r="AW835" s="714"/>
    </row>
    <row r="836">
      <c r="A836" s="761"/>
      <c r="B836" s="769" t="s">
        <v>493</v>
      </c>
      <c r="C836" s="770" t="s">
        <v>640</v>
      </c>
      <c r="D836" s="770" t="s">
        <v>494</v>
      </c>
      <c r="E836" s="770" t="s">
        <v>495</v>
      </c>
      <c r="F836" s="770" t="s">
        <v>521</v>
      </c>
      <c r="G836" s="770" t="s">
        <v>103</v>
      </c>
      <c r="H836" s="770">
        <v>2019.0</v>
      </c>
      <c r="I836" s="771">
        <v>0.8126395334</v>
      </c>
      <c r="J836" s="771">
        <v>2.374214193</v>
      </c>
      <c r="K836" s="772">
        <v>0.1435945224</v>
      </c>
      <c r="M836" s="769" t="s">
        <v>493</v>
      </c>
      <c r="N836" s="770" t="s">
        <v>640</v>
      </c>
      <c r="O836" s="770" t="s">
        <v>494</v>
      </c>
      <c r="P836" s="770" t="s">
        <v>495</v>
      </c>
      <c r="Q836" s="770" t="s">
        <v>521</v>
      </c>
      <c r="R836" s="770" t="s">
        <v>497</v>
      </c>
      <c r="S836" s="770">
        <v>2019.0</v>
      </c>
      <c r="T836" s="771">
        <v>0.2738365527</v>
      </c>
      <c r="U836" s="771">
        <v>0.8000430736</v>
      </c>
      <c r="V836" s="772">
        <v>0.04838729522</v>
      </c>
      <c r="AW836" s="714"/>
    </row>
    <row r="837">
      <c r="A837" s="761"/>
      <c r="B837" s="769" t="s">
        <v>493</v>
      </c>
      <c r="C837" s="770" t="s">
        <v>640</v>
      </c>
      <c r="D837" s="770" t="s">
        <v>494</v>
      </c>
      <c r="E837" s="770" t="s">
        <v>505</v>
      </c>
      <c r="F837" s="770" t="s">
        <v>521</v>
      </c>
      <c r="G837" s="770" t="s">
        <v>103</v>
      </c>
      <c r="H837" s="770">
        <v>2019.0</v>
      </c>
      <c r="I837" s="771">
        <v>0.0</v>
      </c>
      <c r="J837" s="771">
        <v>0.0</v>
      </c>
      <c r="K837" s="772">
        <v>0.0</v>
      </c>
      <c r="M837" s="769" t="s">
        <v>493</v>
      </c>
      <c r="N837" s="770" t="s">
        <v>640</v>
      </c>
      <c r="O837" s="770" t="s">
        <v>494</v>
      </c>
      <c r="P837" s="770" t="s">
        <v>505</v>
      </c>
      <c r="Q837" s="770" t="s">
        <v>521</v>
      </c>
      <c r="R837" s="770" t="s">
        <v>497</v>
      </c>
      <c r="S837" s="770">
        <v>2019.0</v>
      </c>
      <c r="T837" s="771">
        <v>0.0</v>
      </c>
      <c r="U837" s="771">
        <v>0.0</v>
      </c>
      <c r="V837" s="772">
        <v>0.0</v>
      </c>
      <c r="AW837" s="714"/>
    </row>
    <row r="838">
      <c r="A838" s="761"/>
      <c r="B838" s="769" t="s">
        <v>493</v>
      </c>
      <c r="C838" s="770" t="s">
        <v>640</v>
      </c>
      <c r="D838" s="770" t="s">
        <v>494</v>
      </c>
      <c r="E838" s="770" t="s">
        <v>508</v>
      </c>
      <c r="F838" s="770" t="s">
        <v>521</v>
      </c>
      <c r="G838" s="770" t="s">
        <v>103</v>
      </c>
      <c r="H838" s="770">
        <v>2019.0</v>
      </c>
      <c r="I838" s="771">
        <v>0.2206280068</v>
      </c>
      <c r="J838" s="771">
        <v>0.6878690961</v>
      </c>
      <c r="K838" s="772">
        <v>0.04332680487</v>
      </c>
      <c r="M838" s="769" t="s">
        <v>493</v>
      </c>
      <c r="N838" s="770" t="s">
        <v>640</v>
      </c>
      <c r="O838" s="770" t="s">
        <v>494</v>
      </c>
      <c r="P838" s="770" t="s">
        <v>508</v>
      </c>
      <c r="Q838" s="770" t="s">
        <v>521</v>
      </c>
      <c r="R838" s="770" t="s">
        <v>497</v>
      </c>
      <c r="S838" s="770">
        <v>2019.0</v>
      </c>
      <c r="T838" s="771">
        <v>0.3930958348</v>
      </c>
      <c r="U838" s="771">
        <v>1.225585457</v>
      </c>
      <c r="V838" s="772">
        <v>0.07719594072</v>
      </c>
      <c r="AW838" s="714"/>
    </row>
    <row r="839">
      <c r="A839" s="761"/>
      <c r="B839" s="769" t="s">
        <v>493</v>
      </c>
      <c r="C839" s="770" t="s">
        <v>640</v>
      </c>
      <c r="D839" s="770" t="s">
        <v>494</v>
      </c>
      <c r="E839" s="770" t="s">
        <v>512</v>
      </c>
      <c r="F839" s="770" t="s">
        <v>521</v>
      </c>
      <c r="G839" s="770" t="s">
        <v>103</v>
      </c>
      <c r="H839" s="770">
        <v>2019.0</v>
      </c>
      <c r="I839" s="771">
        <v>0.0</v>
      </c>
      <c r="J839" s="771">
        <v>0.0</v>
      </c>
      <c r="K839" s="772">
        <v>0.0</v>
      </c>
      <c r="M839" s="769" t="s">
        <v>493</v>
      </c>
      <c r="N839" s="770" t="s">
        <v>640</v>
      </c>
      <c r="O839" s="770" t="s">
        <v>494</v>
      </c>
      <c r="P839" s="770" t="s">
        <v>512</v>
      </c>
      <c r="Q839" s="770" t="s">
        <v>521</v>
      </c>
      <c r="R839" s="770" t="s">
        <v>497</v>
      </c>
      <c r="S839" s="770">
        <v>2019.0</v>
      </c>
      <c r="T839" s="771">
        <v>0.0</v>
      </c>
      <c r="U839" s="771">
        <v>0.0</v>
      </c>
      <c r="V839" s="772">
        <v>0.0</v>
      </c>
      <c r="AW839" s="714"/>
    </row>
    <row r="840">
      <c r="A840" s="761"/>
      <c r="B840" s="769" t="s">
        <v>493</v>
      </c>
      <c r="C840" s="770" t="s">
        <v>640</v>
      </c>
      <c r="D840" s="770" t="s">
        <v>494</v>
      </c>
      <c r="E840" s="770" t="s">
        <v>495</v>
      </c>
      <c r="F840" s="770" t="s">
        <v>523</v>
      </c>
      <c r="G840" s="770" t="s">
        <v>103</v>
      </c>
      <c r="H840" s="770">
        <v>2019.0</v>
      </c>
      <c r="I840" s="771">
        <v>104.2754548</v>
      </c>
      <c r="J840" s="771">
        <v>166.1055636</v>
      </c>
      <c r="K840" s="772">
        <v>54.02526347</v>
      </c>
      <c r="M840" s="769" t="s">
        <v>493</v>
      </c>
      <c r="N840" s="770" t="s">
        <v>640</v>
      </c>
      <c r="O840" s="770" t="s">
        <v>494</v>
      </c>
      <c r="P840" s="770" t="s">
        <v>495</v>
      </c>
      <c r="Q840" s="770" t="s">
        <v>523</v>
      </c>
      <c r="R840" s="770" t="s">
        <v>497</v>
      </c>
      <c r="S840" s="770">
        <v>2019.0</v>
      </c>
      <c r="T840" s="771">
        <v>35.13788082</v>
      </c>
      <c r="U840" s="771">
        <v>55.9728798</v>
      </c>
      <c r="V840" s="772">
        <v>18.20498671</v>
      </c>
      <c r="AW840" s="714"/>
    </row>
    <row r="841">
      <c r="A841" s="761"/>
      <c r="B841" s="769" t="s">
        <v>493</v>
      </c>
      <c r="C841" s="770" t="s">
        <v>640</v>
      </c>
      <c r="D841" s="770" t="s">
        <v>494</v>
      </c>
      <c r="E841" s="770" t="s">
        <v>505</v>
      </c>
      <c r="F841" s="770" t="s">
        <v>523</v>
      </c>
      <c r="G841" s="770" t="s">
        <v>103</v>
      </c>
      <c r="H841" s="770">
        <v>2019.0</v>
      </c>
      <c r="I841" s="771">
        <v>0.0</v>
      </c>
      <c r="J841" s="771">
        <v>0.0</v>
      </c>
      <c r="K841" s="772">
        <v>0.0</v>
      </c>
      <c r="M841" s="769" t="s">
        <v>493</v>
      </c>
      <c r="N841" s="770" t="s">
        <v>640</v>
      </c>
      <c r="O841" s="770" t="s">
        <v>494</v>
      </c>
      <c r="P841" s="770" t="s">
        <v>505</v>
      </c>
      <c r="Q841" s="770" t="s">
        <v>523</v>
      </c>
      <c r="R841" s="770" t="s">
        <v>497</v>
      </c>
      <c r="S841" s="770">
        <v>2019.0</v>
      </c>
      <c r="T841" s="771">
        <v>0.0</v>
      </c>
      <c r="U841" s="771">
        <v>0.0</v>
      </c>
      <c r="V841" s="772">
        <v>0.0</v>
      </c>
      <c r="AW841" s="714"/>
    </row>
    <row r="842">
      <c r="A842" s="761"/>
      <c r="B842" s="769" t="s">
        <v>493</v>
      </c>
      <c r="C842" s="770" t="s">
        <v>640</v>
      </c>
      <c r="D842" s="770" t="s">
        <v>494</v>
      </c>
      <c r="E842" s="770" t="s">
        <v>508</v>
      </c>
      <c r="F842" s="770" t="s">
        <v>523</v>
      </c>
      <c r="G842" s="770" t="s">
        <v>103</v>
      </c>
      <c r="H842" s="770">
        <v>2019.0</v>
      </c>
      <c r="I842" s="771">
        <v>48.43027554</v>
      </c>
      <c r="J842" s="771">
        <v>84.79034799</v>
      </c>
      <c r="K842" s="772">
        <v>24.3845702</v>
      </c>
      <c r="M842" s="769" t="s">
        <v>493</v>
      </c>
      <c r="N842" s="770" t="s">
        <v>640</v>
      </c>
      <c r="O842" s="770" t="s">
        <v>494</v>
      </c>
      <c r="P842" s="770" t="s">
        <v>508</v>
      </c>
      <c r="Q842" s="770" t="s">
        <v>523</v>
      </c>
      <c r="R842" s="770" t="s">
        <v>497</v>
      </c>
      <c r="S842" s="770">
        <v>2019.0</v>
      </c>
      <c r="T842" s="771">
        <v>86.28886184</v>
      </c>
      <c r="U842" s="771">
        <v>151.0720833</v>
      </c>
      <c r="V842" s="772">
        <v>43.44631091</v>
      </c>
      <c r="AW842" s="714"/>
    </row>
    <row r="843">
      <c r="A843" s="761"/>
      <c r="B843" s="769" t="s">
        <v>493</v>
      </c>
      <c r="C843" s="770" t="s">
        <v>640</v>
      </c>
      <c r="D843" s="770" t="s">
        <v>494</v>
      </c>
      <c r="E843" s="770" t="s">
        <v>512</v>
      </c>
      <c r="F843" s="770" t="s">
        <v>523</v>
      </c>
      <c r="G843" s="770" t="s">
        <v>103</v>
      </c>
      <c r="H843" s="770">
        <v>2019.0</v>
      </c>
      <c r="I843" s="771">
        <v>0.0</v>
      </c>
      <c r="J843" s="771">
        <v>0.0</v>
      </c>
      <c r="K843" s="772">
        <v>0.0</v>
      </c>
      <c r="M843" s="769" t="s">
        <v>493</v>
      </c>
      <c r="N843" s="770" t="s">
        <v>640</v>
      </c>
      <c r="O843" s="770" t="s">
        <v>494</v>
      </c>
      <c r="P843" s="770" t="s">
        <v>512</v>
      </c>
      <c r="Q843" s="770" t="s">
        <v>523</v>
      </c>
      <c r="R843" s="770" t="s">
        <v>497</v>
      </c>
      <c r="S843" s="770">
        <v>2019.0</v>
      </c>
      <c r="T843" s="771">
        <v>0.0</v>
      </c>
      <c r="U843" s="771">
        <v>0.0</v>
      </c>
      <c r="V843" s="772">
        <v>0.0</v>
      </c>
      <c r="AW843" s="714"/>
    </row>
    <row r="844">
      <c r="A844" s="761"/>
      <c r="B844" s="769" t="s">
        <v>493</v>
      </c>
      <c r="C844" s="770" t="s">
        <v>641</v>
      </c>
      <c r="D844" s="770" t="s">
        <v>494</v>
      </c>
      <c r="E844" s="770" t="s">
        <v>495</v>
      </c>
      <c r="F844" s="770" t="s">
        <v>496</v>
      </c>
      <c r="G844" s="770" t="s">
        <v>103</v>
      </c>
      <c r="H844" s="770">
        <v>2019.0</v>
      </c>
      <c r="I844" s="771">
        <v>17972.59761</v>
      </c>
      <c r="J844" s="771">
        <v>21777.14335</v>
      </c>
      <c r="K844" s="772">
        <v>14684.09279</v>
      </c>
      <c r="M844" s="769" t="s">
        <v>493</v>
      </c>
      <c r="N844" s="770" t="s">
        <v>641</v>
      </c>
      <c r="O844" s="770" t="s">
        <v>494</v>
      </c>
      <c r="P844" s="770" t="s">
        <v>495</v>
      </c>
      <c r="Q844" s="770" t="s">
        <v>496</v>
      </c>
      <c r="R844" s="770" t="s">
        <v>497</v>
      </c>
      <c r="S844" s="770">
        <v>2019.0</v>
      </c>
      <c r="T844" s="771">
        <v>599.892907</v>
      </c>
      <c r="U844" s="771">
        <v>726.8817848</v>
      </c>
      <c r="V844" s="772">
        <v>490.1285445</v>
      </c>
      <c r="AW844" s="714"/>
    </row>
    <row r="845">
      <c r="A845" s="761"/>
      <c r="B845" s="769" t="s">
        <v>493</v>
      </c>
      <c r="C845" s="770" t="s">
        <v>641</v>
      </c>
      <c r="D845" s="770" t="s">
        <v>494</v>
      </c>
      <c r="E845" s="770" t="s">
        <v>505</v>
      </c>
      <c r="F845" s="770" t="s">
        <v>496</v>
      </c>
      <c r="G845" s="770" t="s">
        <v>103</v>
      </c>
      <c r="H845" s="770">
        <v>2019.0</v>
      </c>
      <c r="I845" s="771">
        <v>9472.316404</v>
      </c>
      <c r="J845" s="771">
        <v>11360.81076</v>
      </c>
      <c r="K845" s="772">
        <v>7772.555416</v>
      </c>
      <c r="M845" s="769" t="s">
        <v>493</v>
      </c>
      <c r="N845" s="770" t="s">
        <v>641</v>
      </c>
      <c r="O845" s="770" t="s">
        <v>494</v>
      </c>
      <c r="P845" s="770" t="s">
        <v>505</v>
      </c>
      <c r="Q845" s="770" t="s">
        <v>496</v>
      </c>
      <c r="R845" s="770" t="s">
        <v>497</v>
      </c>
      <c r="S845" s="770">
        <v>2019.0</v>
      </c>
      <c r="T845" s="771">
        <v>80916.78231</v>
      </c>
      <c r="U845" s="771">
        <v>97049.14954</v>
      </c>
      <c r="V845" s="772">
        <v>66396.66031</v>
      </c>
      <c r="AW845" s="714"/>
    </row>
    <row r="846">
      <c r="A846" s="761"/>
      <c r="B846" s="769" t="s">
        <v>493</v>
      </c>
      <c r="C846" s="770" t="s">
        <v>641</v>
      </c>
      <c r="D846" s="770" t="s">
        <v>494</v>
      </c>
      <c r="E846" s="770" t="s">
        <v>508</v>
      </c>
      <c r="F846" s="770" t="s">
        <v>496</v>
      </c>
      <c r="G846" s="770" t="s">
        <v>103</v>
      </c>
      <c r="H846" s="770">
        <v>2019.0</v>
      </c>
      <c r="I846" s="771">
        <v>3986.092497</v>
      </c>
      <c r="J846" s="771">
        <v>5875.27642</v>
      </c>
      <c r="K846" s="772">
        <v>2613.652369</v>
      </c>
      <c r="M846" s="769" t="s">
        <v>493</v>
      </c>
      <c r="N846" s="770" t="s">
        <v>641</v>
      </c>
      <c r="O846" s="770" t="s">
        <v>494</v>
      </c>
      <c r="P846" s="770" t="s">
        <v>508</v>
      </c>
      <c r="Q846" s="770" t="s">
        <v>496</v>
      </c>
      <c r="R846" s="770" t="s">
        <v>497</v>
      </c>
      <c r="S846" s="770">
        <v>2019.0</v>
      </c>
      <c r="T846" s="771">
        <v>719.8155634</v>
      </c>
      <c r="U846" s="771">
        <v>1060.967705</v>
      </c>
      <c r="V846" s="772">
        <v>471.9779218</v>
      </c>
      <c r="AW846" s="714"/>
    </row>
    <row r="847">
      <c r="A847" s="761"/>
      <c r="B847" s="769" t="s">
        <v>493</v>
      </c>
      <c r="C847" s="770" t="s">
        <v>641</v>
      </c>
      <c r="D847" s="770" t="s">
        <v>494</v>
      </c>
      <c r="E847" s="770" t="s">
        <v>512</v>
      </c>
      <c r="F847" s="770" t="s">
        <v>496</v>
      </c>
      <c r="G847" s="770" t="s">
        <v>103</v>
      </c>
      <c r="H847" s="770">
        <v>2019.0</v>
      </c>
      <c r="I847" s="771">
        <v>2244.672243</v>
      </c>
      <c r="J847" s="771">
        <v>2690.011287</v>
      </c>
      <c r="K847" s="772">
        <v>1839.007054</v>
      </c>
      <c r="M847" s="769" t="s">
        <v>493</v>
      </c>
      <c r="N847" s="770" t="s">
        <v>641</v>
      </c>
      <c r="O847" s="770" t="s">
        <v>494</v>
      </c>
      <c r="P847" s="770" t="s">
        <v>512</v>
      </c>
      <c r="Q847" s="770" t="s">
        <v>496</v>
      </c>
      <c r="R847" s="770" t="s">
        <v>497</v>
      </c>
      <c r="S847" s="770">
        <v>2019.0</v>
      </c>
      <c r="T847" s="771">
        <v>6454.580254</v>
      </c>
      <c r="U847" s="771">
        <v>7735.157677</v>
      </c>
      <c r="V847" s="772">
        <v>5288.085445</v>
      </c>
      <c r="AW847" s="714"/>
    </row>
    <row r="848">
      <c r="A848" s="761"/>
      <c r="B848" s="769" t="s">
        <v>493</v>
      </c>
      <c r="C848" s="770" t="s">
        <v>641</v>
      </c>
      <c r="D848" s="770" t="s">
        <v>494</v>
      </c>
      <c r="E848" s="770" t="s">
        <v>495</v>
      </c>
      <c r="F848" s="770" t="s">
        <v>514</v>
      </c>
      <c r="G848" s="770" t="s">
        <v>103</v>
      </c>
      <c r="H848" s="770">
        <v>2019.0</v>
      </c>
      <c r="I848" s="771">
        <v>15304.90676</v>
      </c>
      <c r="J848" s="771">
        <v>18588.56211</v>
      </c>
      <c r="K848" s="772">
        <v>12359.99875</v>
      </c>
      <c r="M848" s="769" t="s">
        <v>493</v>
      </c>
      <c r="N848" s="770" t="s">
        <v>641</v>
      </c>
      <c r="O848" s="770" t="s">
        <v>494</v>
      </c>
      <c r="P848" s="770" t="s">
        <v>495</v>
      </c>
      <c r="Q848" s="770" t="s">
        <v>514</v>
      </c>
      <c r="R848" s="770" t="s">
        <v>497</v>
      </c>
      <c r="S848" s="770">
        <v>2019.0</v>
      </c>
      <c r="T848" s="771">
        <v>510.8501956</v>
      </c>
      <c r="U848" s="771">
        <v>620.4526915</v>
      </c>
      <c r="V848" s="772">
        <v>412.5544754</v>
      </c>
      <c r="AW848" s="714"/>
    </row>
    <row r="849">
      <c r="A849" s="761"/>
      <c r="B849" s="769" t="s">
        <v>493</v>
      </c>
      <c r="C849" s="770" t="s">
        <v>641</v>
      </c>
      <c r="D849" s="770" t="s">
        <v>494</v>
      </c>
      <c r="E849" s="770" t="s">
        <v>505</v>
      </c>
      <c r="F849" s="770" t="s">
        <v>514</v>
      </c>
      <c r="G849" s="770" t="s">
        <v>103</v>
      </c>
      <c r="H849" s="770">
        <v>2019.0</v>
      </c>
      <c r="I849" s="771">
        <v>8563.331364</v>
      </c>
      <c r="J849" s="771">
        <v>10347.02735</v>
      </c>
      <c r="K849" s="772">
        <v>6971.376404</v>
      </c>
      <c r="M849" s="769" t="s">
        <v>493</v>
      </c>
      <c r="N849" s="770" t="s">
        <v>641</v>
      </c>
      <c r="O849" s="770" t="s">
        <v>494</v>
      </c>
      <c r="P849" s="770" t="s">
        <v>505</v>
      </c>
      <c r="Q849" s="770" t="s">
        <v>514</v>
      </c>
      <c r="R849" s="770" t="s">
        <v>497</v>
      </c>
      <c r="S849" s="770">
        <v>2019.0</v>
      </c>
      <c r="T849" s="771">
        <v>73151.82372</v>
      </c>
      <c r="U849" s="771">
        <v>88388.95621</v>
      </c>
      <c r="V849" s="772">
        <v>59552.62924</v>
      </c>
      <c r="AW849" s="714"/>
    </row>
    <row r="850">
      <c r="A850" s="761"/>
      <c r="B850" s="769" t="s">
        <v>493</v>
      </c>
      <c r="C850" s="770" t="s">
        <v>641</v>
      </c>
      <c r="D850" s="770" t="s">
        <v>494</v>
      </c>
      <c r="E850" s="770" t="s">
        <v>508</v>
      </c>
      <c r="F850" s="770" t="s">
        <v>514</v>
      </c>
      <c r="G850" s="770" t="s">
        <v>103</v>
      </c>
      <c r="H850" s="770">
        <v>2019.0</v>
      </c>
      <c r="I850" s="771">
        <v>3096.387809</v>
      </c>
      <c r="J850" s="771">
        <v>4633.726977</v>
      </c>
      <c r="K850" s="772">
        <v>2049.723881</v>
      </c>
      <c r="M850" s="769" t="s">
        <v>493</v>
      </c>
      <c r="N850" s="770" t="s">
        <v>641</v>
      </c>
      <c r="O850" s="770" t="s">
        <v>494</v>
      </c>
      <c r="P850" s="770" t="s">
        <v>508</v>
      </c>
      <c r="Q850" s="770" t="s">
        <v>514</v>
      </c>
      <c r="R850" s="770" t="s">
        <v>497</v>
      </c>
      <c r="S850" s="770">
        <v>2019.0</v>
      </c>
      <c r="T850" s="771">
        <v>559.1511328</v>
      </c>
      <c r="U850" s="771">
        <v>836.766532</v>
      </c>
      <c r="V850" s="772">
        <v>370.1427278</v>
      </c>
      <c r="AW850" s="714"/>
    </row>
    <row r="851">
      <c r="A851" s="761"/>
      <c r="B851" s="769" t="s">
        <v>493</v>
      </c>
      <c r="C851" s="770" t="s">
        <v>641</v>
      </c>
      <c r="D851" s="770" t="s">
        <v>494</v>
      </c>
      <c r="E851" s="770" t="s">
        <v>512</v>
      </c>
      <c r="F851" s="770" t="s">
        <v>514</v>
      </c>
      <c r="G851" s="770" t="s">
        <v>103</v>
      </c>
      <c r="H851" s="770">
        <v>2019.0</v>
      </c>
      <c r="I851" s="771">
        <v>1943.834531</v>
      </c>
      <c r="J851" s="771">
        <v>2354.611157</v>
      </c>
      <c r="K851" s="772">
        <v>1575.772998</v>
      </c>
      <c r="M851" s="769" t="s">
        <v>493</v>
      </c>
      <c r="N851" s="770" t="s">
        <v>641</v>
      </c>
      <c r="O851" s="770" t="s">
        <v>494</v>
      </c>
      <c r="P851" s="770" t="s">
        <v>512</v>
      </c>
      <c r="Q851" s="770" t="s">
        <v>514</v>
      </c>
      <c r="R851" s="770" t="s">
        <v>497</v>
      </c>
      <c r="S851" s="770">
        <v>2019.0</v>
      </c>
      <c r="T851" s="771">
        <v>5589.518033</v>
      </c>
      <c r="U851" s="771">
        <v>6770.710835</v>
      </c>
      <c r="V851" s="772">
        <v>4531.152959</v>
      </c>
      <c r="AW851" s="714"/>
    </row>
    <row r="852">
      <c r="A852" s="761"/>
      <c r="B852" s="769" t="s">
        <v>493</v>
      </c>
      <c r="C852" s="770" t="s">
        <v>641</v>
      </c>
      <c r="D852" s="770" t="s">
        <v>494</v>
      </c>
      <c r="E852" s="770" t="s">
        <v>495</v>
      </c>
      <c r="F852" s="770" t="s">
        <v>518</v>
      </c>
      <c r="G852" s="770" t="s">
        <v>103</v>
      </c>
      <c r="H852" s="770">
        <v>2019.0</v>
      </c>
      <c r="I852" s="771">
        <v>710.4827802</v>
      </c>
      <c r="J852" s="771">
        <v>1211.479352</v>
      </c>
      <c r="K852" s="772">
        <v>399.395377</v>
      </c>
      <c r="M852" s="769" t="s">
        <v>493</v>
      </c>
      <c r="N852" s="770" t="s">
        <v>641</v>
      </c>
      <c r="O852" s="770" t="s">
        <v>494</v>
      </c>
      <c r="P852" s="770" t="s">
        <v>495</v>
      </c>
      <c r="Q852" s="770" t="s">
        <v>518</v>
      </c>
      <c r="R852" s="770" t="s">
        <v>497</v>
      </c>
      <c r="S852" s="770">
        <v>2019.0</v>
      </c>
      <c r="T852" s="771">
        <v>23.71463433</v>
      </c>
      <c r="U852" s="771">
        <v>40.43699669</v>
      </c>
      <c r="V852" s="772">
        <v>13.33109765</v>
      </c>
      <c r="AW852" s="714"/>
    </row>
    <row r="853">
      <c r="A853" s="761"/>
      <c r="B853" s="769" t="s">
        <v>493</v>
      </c>
      <c r="C853" s="770" t="s">
        <v>641</v>
      </c>
      <c r="D853" s="770" t="s">
        <v>494</v>
      </c>
      <c r="E853" s="770" t="s">
        <v>505</v>
      </c>
      <c r="F853" s="770" t="s">
        <v>518</v>
      </c>
      <c r="G853" s="770" t="s">
        <v>103</v>
      </c>
      <c r="H853" s="770">
        <v>2019.0</v>
      </c>
      <c r="I853" s="771">
        <v>50.84463293</v>
      </c>
      <c r="J853" s="771">
        <v>105.6800178</v>
      </c>
      <c r="K853" s="772">
        <v>20.4121828</v>
      </c>
      <c r="M853" s="769" t="s">
        <v>493</v>
      </c>
      <c r="N853" s="770" t="s">
        <v>641</v>
      </c>
      <c r="O853" s="770" t="s">
        <v>494</v>
      </c>
      <c r="P853" s="770" t="s">
        <v>505</v>
      </c>
      <c r="Q853" s="770" t="s">
        <v>518</v>
      </c>
      <c r="R853" s="770" t="s">
        <v>497</v>
      </c>
      <c r="S853" s="770">
        <v>2019.0</v>
      </c>
      <c r="T853" s="771">
        <v>434.3376973</v>
      </c>
      <c r="U853" s="771">
        <v>902.7661905</v>
      </c>
      <c r="V853" s="772">
        <v>174.3700359</v>
      </c>
      <c r="AW853" s="714"/>
    </row>
    <row r="854">
      <c r="A854" s="761"/>
      <c r="B854" s="769" t="s">
        <v>493</v>
      </c>
      <c r="C854" s="770" t="s">
        <v>641</v>
      </c>
      <c r="D854" s="770" t="s">
        <v>494</v>
      </c>
      <c r="E854" s="770" t="s">
        <v>508</v>
      </c>
      <c r="F854" s="770" t="s">
        <v>518</v>
      </c>
      <c r="G854" s="770" t="s">
        <v>103</v>
      </c>
      <c r="H854" s="770">
        <v>2019.0</v>
      </c>
      <c r="I854" s="771">
        <v>386.5673528</v>
      </c>
      <c r="J854" s="771">
        <v>809.8013318</v>
      </c>
      <c r="K854" s="772">
        <v>154.5085372</v>
      </c>
      <c r="M854" s="769" t="s">
        <v>493</v>
      </c>
      <c r="N854" s="770" t="s">
        <v>641</v>
      </c>
      <c r="O854" s="770" t="s">
        <v>494</v>
      </c>
      <c r="P854" s="770" t="s">
        <v>508</v>
      </c>
      <c r="Q854" s="770" t="s">
        <v>518</v>
      </c>
      <c r="R854" s="770" t="s">
        <v>497</v>
      </c>
      <c r="S854" s="770">
        <v>2019.0</v>
      </c>
      <c r="T854" s="771">
        <v>69.80700952</v>
      </c>
      <c r="U854" s="771">
        <v>146.2353426</v>
      </c>
      <c r="V854" s="772">
        <v>27.90142221</v>
      </c>
      <c r="AW854" s="714"/>
    </row>
    <row r="855">
      <c r="A855" s="761"/>
      <c r="B855" s="769" t="s">
        <v>493</v>
      </c>
      <c r="C855" s="770" t="s">
        <v>641</v>
      </c>
      <c r="D855" s="770" t="s">
        <v>494</v>
      </c>
      <c r="E855" s="770" t="s">
        <v>512</v>
      </c>
      <c r="F855" s="770" t="s">
        <v>518</v>
      </c>
      <c r="G855" s="770" t="s">
        <v>103</v>
      </c>
      <c r="H855" s="770">
        <v>2019.0</v>
      </c>
      <c r="I855" s="771">
        <v>58.13022595</v>
      </c>
      <c r="J855" s="771">
        <v>131.5657643</v>
      </c>
      <c r="K855" s="772">
        <v>18.48110582</v>
      </c>
      <c r="M855" s="769" t="s">
        <v>493</v>
      </c>
      <c r="N855" s="770" t="s">
        <v>641</v>
      </c>
      <c r="O855" s="770" t="s">
        <v>494</v>
      </c>
      <c r="P855" s="770" t="s">
        <v>512</v>
      </c>
      <c r="Q855" s="770" t="s">
        <v>518</v>
      </c>
      <c r="R855" s="770" t="s">
        <v>497</v>
      </c>
      <c r="S855" s="770">
        <v>2019.0</v>
      </c>
      <c r="T855" s="771">
        <v>167.1541178</v>
      </c>
      <c r="U855" s="771">
        <v>378.3188335</v>
      </c>
      <c r="V855" s="772">
        <v>53.14262743</v>
      </c>
      <c r="AW855" s="714"/>
    </row>
    <row r="856">
      <c r="A856" s="761"/>
      <c r="B856" s="769" t="s">
        <v>493</v>
      </c>
      <c r="C856" s="770" t="s">
        <v>641</v>
      </c>
      <c r="D856" s="770" t="s">
        <v>494</v>
      </c>
      <c r="E856" s="770" t="s">
        <v>495</v>
      </c>
      <c r="F856" s="770" t="s">
        <v>519</v>
      </c>
      <c r="G856" s="770" t="s">
        <v>103</v>
      </c>
      <c r="H856" s="770">
        <v>2019.0</v>
      </c>
      <c r="I856" s="771">
        <v>8397.25709</v>
      </c>
      <c r="J856" s="771">
        <v>10177.89007</v>
      </c>
      <c r="K856" s="772">
        <v>6751.797582</v>
      </c>
      <c r="M856" s="769" t="s">
        <v>493</v>
      </c>
      <c r="N856" s="770" t="s">
        <v>641</v>
      </c>
      <c r="O856" s="770" t="s">
        <v>494</v>
      </c>
      <c r="P856" s="770" t="s">
        <v>495</v>
      </c>
      <c r="Q856" s="770" t="s">
        <v>519</v>
      </c>
      <c r="R856" s="770" t="s">
        <v>497</v>
      </c>
      <c r="S856" s="770">
        <v>2019.0</v>
      </c>
      <c r="T856" s="771">
        <v>280.2853029</v>
      </c>
      <c r="U856" s="771">
        <v>339.7196216</v>
      </c>
      <c r="V856" s="772">
        <v>225.362831</v>
      </c>
      <c r="AW856" s="714"/>
    </row>
    <row r="857">
      <c r="A857" s="761"/>
      <c r="B857" s="769" t="s">
        <v>493</v>
      </c>
      <c r="C857" s="770" t="s">
        <v>641</v>
      </c>
      <c r="D857" s="770" t="s">
        <v>494</v>
      </c>
      <c r="E857" s="770" t="s">
        <v>505</v>
      </c>
      <c r="F857" s="770" t="s">
        <v>519</v>
      </c>
      <c r="G857" s="770" t="s">
        <v>103</v>
      </c>
      <c r="H857" s="770">
        <v>2019.0</v>
      </c>
      <c r="I857" s="771">
        <v>7157.023719</v>
      </c>
      <c r="J857" s="771">
        <v>8733.383058</v>
      </c>
      <c r="K857" s="772">
        <v>5757.120771</v>
      </c>
      <c r="M857" s="769" t="s">
        <v>493</v>
      </c>
      <c r="N857" s="770" t="s">
        <v>641</v>
      </c>
      <c r="O857" s="770" t="s">
        <v>494</v>
      </c>
      <c r="P857" s="770" t="s">
        <v>505</v>
      </c>
      <c r="Q857" s="770" t="s">
        <v>519</v>
      </c>
      <c r="R857" s="770" t="s">
        <v>497</v>
      </c>
      <c r="S857" s="770">
        <v>2019.0</v>
      </c>
      <c r="T857" s="771">
        <v>61138.51201</v>
      </c>
      <c r="U857" s="771">
        <v>74604.48169</v>
      </c>
      <c r="V857" s="772">
        <v>49179.91211</v>
      </c>
      <c r="AW857" s="714"/>
    </row>
    <row r="858">
      <c r="A858" s="761"/>
      <c r="B858" s="769" t="s">
        <v>493</v>
      </c>
      <c r="C858" s="770" t="s">
        <v>641</v>
      </c>
      <c r="D858" s="770" t="s">
        <v>494</v>
      </c>
      <c r="E858" s="770" t="s">
        <v>508</v>
      </c>
      <c r="F858" s="770" t="s">
        <v>519</v>
      </c>
      <c r="G858" s="770" t="s">
        <v>103</v>
      </c>
      <c r="H858" s="770">
        <v>2019.0</v>
      </c>
      <c r="I858" s="771">
        <v>177.2068749</v>
      </c>
      <c r="J858" s="771">
        <v>358.3705971</v>
      </c>
      <c r="K858" s="772">
        <v>87.56293938</v>
      </c>
      <c r="M858" s="769" t="s">
        <v>493</v>
      </c>
      <c r="N858" s="770" t="s">
        <v>641</v>
      </c>
      <c r="O858" s="770" t="s">
        <v>494</v>
      </c>
      <c r="P858" s="770" t="s">
        <v>508</v>
      </c>
      <c r="Q858" s="770" t="s">
        <v>519</v>
      </c>
      <c r="R858" s="770" t="s">
        <v>497</v>
      </c>
      <c r="S858" s="770">
        <v>2019.0</v>
      </c>
      <c r="T858" s="771">
        <v>32.0003278</v>
      </c>
      <c r="U858" s="771">
        <v>64.71518999</v>
      </c>
      <c r="V858" s="772">
        <v>15.81226893</v>
      </c>
      <c r="AW858" s="714"/>
    </row>
    <row r="859">
      <c r="A859" s="761"/>
      <c r="B859" s="769" t="s">
        <v>493</v>
      </c>
      <c r="C859" s="770" t="s">
        <v>641</v>
      </c>
      <c r="D859" s="770" t="s">
        <v>494</v>
      </c>
      <c r="E859" s="770" t="s">
        <v>512</v>
      </c>
      <c r="F859" s="770" t="s">
        <v>519</v>
      </c>
      <c r="G859" s="770" t="s">
        <v>103</v>
      </c>
      <c r="H859" s="770">
        <v>2019.0</v>
      </c>
      <c r="I859" s="771">
        <v>1055.209933</v>
      </c>
      <c r="J859" s="771">
        <v>1390.785945</v>
      </c>
      <c r="K859" s="772">
        <v>731.8789015</v>
      </c>
      <c r="M859" s="769" t="s">
        <v>493</v>
      </c>
      <c r="N859" s="770" t="s">
        <v>641</v>
      </c>
      <c r="O859" s="770" t="s">
        <v>494</v>
      </c>
      <c r="P859" s="770" t="s">
        <v>512</v>
      </c>
      <c r="Q859" s="770" t="s">
        <v>519</v>
      </c>
      <c r="R859" s="770" t="s">
        <v>497</v>
      </c>
      <c r="S859" s="770">
        <v>2019.0</v>
      </c>
      <c r="T859" s="771">
        <v>3034.268017</v>
      </c>
      <c r="U859" s="771">
        <v>3999.220611</v>
      </c>
      <c r="V859" s="772">
        <v>2104.526004</v>
      </c>
      <c r="AW859" s="714"/>
    </row>
    <row r="860">
      <c r="A860" s="761"/>
      <c r="B860" s="769" t="s">
        <v>493</v>
      </c>
      <c r="C860" s="770" t="s">
        <v>641</v>
      </c>
      <c r="D860" s="770" t="s">
        <v>494</v>
      </c>
      <c r="E860" s="770" t="s">
        <v>495</v>
      </c>
      <c r="F860" s="770" t="s">
        <v>521</v>
      </c>
      <c r="G860" s="770" t="s">
        <v>103</v>
      </c>
      <c r="H860" s="770">
        <v>2019.0</v>
      </c>
      <c r="I860" s="771">
        <v>544.2084891</v>
      </c>
      <c r="J860" s="771">
        <v>1119.052714</v>
      </c>
      <c r="K860" s="772">
        <v>191.399134</v>
      </c>
      <c r="M860" s="769" t="s">
        <v>493</v>
      </c>
      <c r="N860" s="770" t="s">
        <v>641</v>
      </c>
      <c r="O860" s="770" t="s">
        <v>494</v>
      </c>
      <c r="P860" s="770" t="s">
        <v>495</v>
      </c>
      <c r="Q860" s="770" t="s">
        <v>521</v>
      </c>
      <c r="R860" s="770" t="s">
        <v>497</v>
      </c>
      <c r="S860" s="770">
        <v>2019.0</v>
      </c>
      <c r="T860" s="771">
        <v>18.16469826</v>
      </c>
      <c r="U860" s="771">
        <v>37.35196216</v>
      </c>
      <c r="V860" s="772">
        <v>6.388558036</v>
      </c>
      <c r="AW860" s="714"/>
    </row>
    <row r="861">
      <c r="A861" s="761"/>
      <c r="B861" s="769" t="s">
        <v>493</v>
      </c>
      <c r="C861" s="770" t="s">
        <v>641</v>
      </c>
      <c r="D861" s="770" t="s">
        <v>494</v>
      </c>
      <c r="E861" s="770" t="s">
        <v>505</v>
      </c>
      <c r="F861" s="770" t="s">
        <v>521</v>
      </c>
      <c r="G861" s="770" t="s">
        <v>103</v>
      </c>
      <c r="H861" s="770">
        <v>2019.0</v>
      </c>
      <c r="I861" s="771">
        <v>0.0</v>
      </c>
      <c r="J861" s="771">
        <v>0.0</v>
      </c>
      <c r="K861" s="772">
        <v>0.0</v>
      </c>
      <c r="M861" s="769" t="s">
        <v>493</v>
      </c>
      <c r="N861" s="770" t="s">
        <v>641</v>
      </c>
      <c r="O861" s="770" t="s">
        <v>494</v>
      </c>
      <c r="P861" s="770" t="s">
        <v>505</v>
      </c>
      <c r="Q861" s="770" t="s">
        <v>521</v>
      </c>
      <c r="R861" s="770" t="s">
        <v>497</v>
      </c>
      <c r="S861" s="770">
        <v>2019.0</v>
      </c>
      <c r="T861" s="771">
        <v>0.0</v>
      </c>
      <c r="U861" s="771">
        <v>0.0</v>
      </c>
      <c r="V861" s="772">
        <v>0.0</v>
      </c>
      <c r="AW861" s="714"/>
    </row>
    <row r="862">
      <c r="A862" s="761"/>
      <c r="B862" s="769" t="s">
        <v>493</v>
      </c>
      <c r="C862" s="770" t="s">
        <v>641</v>
      </c>
      <c r="D862" s="770" t="s">
        <v>494</v>
      </c>
      <c r="E862" s="770" t="s">
        <v>508</v>
      </c>
      <c r="F862" s="770" t="s">
        <v>521</v>
      </c>
      <c r="G862" s="770" t="s">
        <v>103</v>
      </c>
      <c r="H862" s="770">
        <v>2019.0</v>
      </c>
      <c r="I862" s="771">
        <v>188.2797356</v>
      </c>
      <c r="J862" s="771">
        <v>423.481723</v>
      </c>
      <c r="K862" s="772">
        <v>59.43903977</v>
      </c>
      <c r="M862" s="769" t="s">
        <v>493</v>
      </c>
      <c r="N862" s="770" t="s">
        <v>641</v>
      </c>
      <c r="O862" s="770" t="s">
        <v>494</v>
      </c>
      <c r="P862" s="770" t="s">
        <v>508</v>
      </c>
      <c r="Q862" s="770" t="s">
        <v>521</v>
      </c>
      <c r="R862" s="770" t="s">
        <v>497</v>
      </c>
      <c r="S862" s="770">
        <v>2019.0</v>
      </c>
      <c r="T862" s="771">
        <v>33.99988437</v>
      </c>
      <c r="U862" s="771">
        <v>76.47307112</v>
      </c>
      <c r="V862" s="772">
        <v>10.73360589</v>
      </c>
      <c r="AW862" s="714"/>
    </row>
    <row r="863">
      <c r="A863" s="761"/>
      <c r="B863" s="769" t="s">
        <v>493</v>
      </c>
      <c r="C863" s="770" t="s">
        <v>641</v>
      </c>
      <c r="D863" s="770" t="s">
        <v>494</v>
      </c>
      <c r="E863" s="770" t="s">
        <v>512</v>
      </c>
      <c r="F863" s="770" t="s">
        <v>521</v>
      </c>
      <c r="G863" s="770" t="s">
        <v>103</v>
      </c>
      <c r="H863" s="770">
        <v>2019.0</v>
      </c>
      <c r="I863" s="771">
        <v>0.0</v>
      </c>
      <c r="J863" s="771">
        <v>0.0</v>
      </c>
      <c r="K863" s="772">
        <v>0.0</v>
      </c>
      <c r="M863" s="769" t="s">
        <v>493</v>
      </c>
      <c r="N863" s="770" t="s">
        <v>641</v>
      </c>
      <c r="O863" s="770" t="s">
        <v>494</v>
      </c>
      <c r="P863" s="770" t="s">
        <v>512</v>
      </c>
      <c r="Q863" s="770" t="s">
        <v>521</v>
      </c>
      <c r="R863" s="770" t="s">
        <v>497</v>
      </c>
      <c r="S863" s="770">
        <v>2019.0</v>
      </c>
      <c r="T863" s="771">
        <v>0.0</v>
      </c>
      <c r="U863" s="771">
        <v>0.0</v>
      </c>
      <c r="V863" s="772">
        <v>0.0</v>
      </c>
      <c r="AW863" s="714"/>
    </row>
    <row r="864">
      <c r="A864" s="761"/>
      <c r="B864" s="769" t="s">
        <v>493</v>
      </c>
      <c r="C864" s="770" t="s">
        <v>641</v>
      </c>
      <c r="D864" s="770" t="s">
        <v>494</v>
      </c>
      <c r="E864" s="770" t="s">
        <v>495</v>
      </c>
      <c r="F864" s="770" t="s">
        <v>523</v>
      </c>
      <c r="G864" s="770" t="s">
        <v>103</v>
      </c>
      <c r="H864" s="770">
        <v>2019.0</v>
      </c>
      <c r="I864" s="771">
        <v>292.5533585</v>
      </c>
      <c r="J864" s="771">
        <v>507.8719666</v>
      </c>
      <c r="K864" s="772">
        <v>155.02364</v>
      </c>
      <c r="M864" s="769" t="s">
        <v>493</v>
      </c>
      <c r="N864" s="770" t="s">
        <v>641</v>
      </c>
      <c r="O864" s="770" t="s">
        <v>494</v>
      </c>
      <c r="P864" s="770" t="s">
        <v>495</v>
      </c>
      <c r="Q864" s="770" t="s">
        <v>523</v>
      </c>
      <c r="R864" s="770" t="s">
        <v>497</v>
      </c>
      <c r="S864" s="770">
        <v>2019.0</v>
      </c>
      <c r="T864" s="771">
        <v>9.764903688</v>
      </c>
      <c r="U864" s="771">
        <v>16.95185064</v>
      </c>
      <c r="V864" s="772">
        <v>5.174409623</v>
      </c>
      <c r="AW864" s="714"/>
    </row>
    <row r="865">
      <c r="A865" s="761"/>
      <c r="B865" s="769" t="s">
        <v>493</v>
      </c>
      <c r="C865" s="770" t="s">
        <v>641</v>
      </c>
      <c r="D865" s="770" t="s">
        <v>494</v>
      </c>
      <c r="E865" s="770" t="s">
        <v>505</v>
      </c>
      <c r="F865" s="770" t="s">
        <v>523</v>
      </c>
      <c r="G865" s="770" t="s">
        <v>103</v>
      </c>
      <c r="H865" s="770">
        <v>2019.0</v>
      </c>
      <c r="I865" s="771">
        <v>0.0</v>
      </c>
      <c r="J865" s="771">
        <v>0.0</v>
      </c>
      <c r="K865" s="772">
        <v>0.0</v>
      </c>
      <c r="M865" s="769" t="s">
        <v>493</v>
      </c>
      <c r="N865" s="770" t="s">
        <v>641</v>
      </c>
      <c r="O865" s="770" t="s">
        <v>494</v>
      </c>
      <c r="P865" s="770" t="s">
        <v>505</v>
      </c>
      <c r="Q865" s="770" t="s">
        <v>523</v>
      </c>
      <c r="R865" s="770" t="s">
        <v>497</v>
      </c>
      <c r="S865" s="770">
        <v>2019.0</v>
      </c>
      <c r="T865" s="771">
        <v>0.0</v>
      </c>
      <c r="U865" s="771">
        <v>0.0</v>
      </c>
      <c r="V865" s="772">
        <v>0.0</v>
      </c>
      <c r="AW865" s="714"/>
    </row>
    <row r="866">
      <c r="A866" s="761"/>
      <c r="B866" s="769" t="s">
        <v>493</v>
      </c>
      <c r="C866" s="770" t="s">
        <v>641</v>
      </c>
      <c r="D866" s="770" t="s">
        <v>494</v>
      </c>
      <c r="E866" s="770" t="s">
        <v>508</v>
      </c>
      <c r="F866" s="770" t="s">
        <v>523</v>
      </c>
      <c r="G866" s="770" t="s">
        <v>103</v>
      </c>
      <c r="H866" s="770">
        <v>2019.0</v>
      </c>
      <c r="I866" s="771">
        <v>225.6725966</v>
      </c>
      <c r="J866" s="771">
        <v>429.942223</v>
      </c>
      <c r="K866" s="772">
        <v>108.9942734</v>
      </c>
      <c r="M866" s="769" t="s">
        <v>493</v>
      </c>
      <c r="N866" s="770" t="s">
        <v>641</v>
      </c>
      <c r="O866" s="770" t="s">
        <v>494</v>
      </c>
      <c r="P866" s="770" t="s">
        <v>508</v>
      </c>
      <c r="Q866" s="770" t="s">
        <v>523</v>
      </c>
      <c r="R866" s="770" t="s">
        <v>497</v>
      </c>
      <c r="S866" s="770">
        <v>2019.0</v>
      </c>
      <c r="T866" s="771">
        <v>40.75235269</v>
      </c>
      <c r="U866" s="771">
        <v>77.63971953</v>
      </c>
      <c r="V866" s="772">
        <v>19.68237675</v>
      </c>
      <c r="AW866" s="714"/>
    </row>
    <row r="867">
      <c r="A867" s="761"/>
      <c r="B867" s="769" t="s">
        <v>493</v>
      </c>
      <c r="C867" s="770" t="s">
        <v>641</v>
      </c>
      <c r="D867" s="770" t="s">
        <v>494</v>
      </c>
      <c r="E867" s="770" t="s">
        <v>512</v>
      </c>
      <c r="F867" s="770" t="s">
        <v>523</v>
      </c>
      <c r="G867" s="770" t="s">
        <v>103</v>
      </c>
      <c r="H867" s="770">
        <v>2019.0</v>
      </c>
      <c r="I867" s="771">
        <v>0.0</v>
      </c>
      <c r="J867" s="771">
        <v>0.0</v>
      </c>
      <c r="K867" s="772">
        <v>0.0</v>
      </c>
      <c r="M867" s="769" t="s">
        <v>493</v>
      </c>
      <c r="N867" s="770" t="s">
        <v>641</v>
      </c>
      <c r="O867" s="770" t="s">
        <v>494</v>
      </c>
      <c r="P867" s="770" t="s">
        <v>512</v>
      </c>
      <c r="Q867" s="770" t="s">
        <v>523</v>
      </c>
      <c r="R867" s="770" t="s">
        <v>497</v>
      </c>
      <c r="S867" s="770">
        <v>2019.0</v>
      </c>
      <c r="T867" s="771">
        <v>0.0</v>
      </c>
      <c r="U867" s="771">
        <v>0.0</v>
      </c>
      <c r="V867" s="772">
        <v>0.0</v>
      </c>
      <c r="AW867" s="714"/>
    </row>
    <row r="868">
      <c r="A868" s="761"/>
      <c r="B868" s="769" t="s">
        <v>493</v>
      </c>
      <c r="C868" s="770" t="s">
        <v>13</v>
      </c>
      <c r="D868" s="770" t="s">
        <v>494</v>
      </c>
      <c r="E868" s="770" t="s">
        <v>495</v>
      </c>
      <c r="F868" s="770" t="s">
        <v>496</v>
      </c>
      <c r="G868" s="770" t="s">
        <v>103</v>
      </c>
      <c r="H868" s="770">
        <v>2019.0</v>
      </c>
      <c r="I868" s="771">
        <v>120216.7235</v>
      </c>
      <c r="J868" s="771">
        <v>146534.6521</v>
      </c>
      <c r="K868" s="772">
        <v>99461.71454</v>
      </c>
      <c r="M868" s="769" t="s">
        <v>493</v>
      </c>
      <c r="N868" s="770" t="s">
        <v>13</v>
      </c>
      <c r="O868" s="770" t="s">
        <v>494</v>
      </c>
      <c r="P868" s="770" t="s">
        <v>495</v>
      </c>
      <c r="Q868" s="770" t="s">
        <v>496</v>
      </c>
      <c r="R868" s="770" t="s">
        <v>497</v>
      </c>
      <c r="S868" s="770">
        <v>2019.0</v>
      </c>
      <c r="T868" s="771">
        <v>2477.232682</v>
      </c>
      <c r="U868" s="771">
        <v>3019.550183</v>
      </c>
      <c r="V868" s="772">
        <v>2049.546875</v>
      </c>
      <c r="AW868" s="714"/>
    </row>
    <row r="869">
      <c r="A869" s="761"/>
      <c r="B869" s="769" t="s">
        <v>493</v>
      </c>
      <c r="C869" s="770" t="s">
        <v>13</v>
      </c>
      <c r="D869" s="770" t="s">
        <v>494</v>
      </c>
      <c r="E869" s="770" t="s">
        <v>505</v>
      </c>
      <c r="F869" s="770" t="s">
        <v>496</v>
      </c>
      <c r="G869" s="770" t="s">
        <v>103</v>
      </c>
      <c r="H869" s="770">
        <v>2019.0</v>
      </c>
      <c r="I869" s="771">
        <v>22912.70936</v>
      </c>
      <c r="J869" s="771">
        <v>26930.52197</v>
      </c>
      <c r="K869" s="772">
        <v>19527.76062</v>
      </c>
      <c r="M869" s="769" t="s">
        <v>493</v>
      </c>
      <c r="N869" s="770" t="s">
        <v>13</v>
      </c>
      <c r="O869" s="770" t="s">
        <v>494</v>
      </c>
      <c r="P869" s="770" t="s">
        <v>505</v>
      </c>
      <c r="Q869" s="770" t="s">
        <v>496</v>
      </c>
      <c r="R869" s="770" t="s">
        <v>497</v>
      </c>
      <c r="S869" s="770">
        <v>2019.0</v>
      </c>
      <c r="T869" s="771">
        <v>104915.4848</v>
      </c>
      <c r="U869" s="771">
        <v>123312.7311</v>
      </c>
      <c r="V869" s="772">
        <v>89416.07215</v>
      </c>
      <c r="AW869" s="714"/>
    </row>
    <row r="870">
      <c r="A870" s="761"/>
      <c r="B870" s="769" t="s">
        <v>493</v>
      </c>
      <c r="C870" s="770" t="s">
        <v>13</v>
      </c>
      <c r="D870" s="770" t="s">
        <v>494</v>
      </c>
      <c r="E870" s="770" t="s">
        <v>508</v>
      </c>
      <c r="F870" s="770" t="s">
        <v>496</v>
      </c>
      <c r="G870" s="770" t="s">
        <v>103</v>
      </c>
      <c r="H870" s="770">
        <v>2019.0</v>
      </c>
      <c r="I870" s="771">
        <v>30362.1489</v>
      </c>
      <c r="J870" s="771">
        <v>35434.77761</v>
      </c>
      <c r="K870" s="772">
        <v>26099.41518</v>
      </c>
      <c r="M870" s="769" t="s">
        <v>493</v>
      </c>
      <c r="N870" s="770" t="s">
        <v>13</v>
      </c>
      <c r="O870" s="770" t="s">
        <v>494</v>
      </c>
      <c r="P870" s="770" t="s">
        <v>508</v>
      </c>
      <c r="Q870" s="770" t="s">
        <v>496</v>
      </c>
      <c r="R870" s="770" t="s">
        <v>497</v>
      </c>
      <c r="S870" s="770">
        <v>2019.0</v>
      </c>
      <c r="T870" s="771">
        <v>3046.924824</v>
      </c>
      <c r="U870" s="771">
        <v>3555.977012</v>
      </c>
      <c r="V870" s="772">
        <v>2619.147817</v>
      </c>
      <c r="AW870" s="714"/>
    </row>
    <row r="871">
      <c r="A871" s="761"/>
      <c r="B871" s="769" t="s">
        <v>493</v>
      </c>
      <c r="C871" s="770" t="s">
        <v>13</v>
      </c>
      <c r="D871" s="770" t="s">
        <v>494</v>
      </c>
      <c r="E871" s="770" t="s">
        <v>512</v>
      </c>
      <c r="F871" s="770" t="s">
        <v>496</v>
      </c>
      <c r="G871" s="770" t="s">
        <v>103</v>
      </c>
      <c r="H871" s="770">
        <v>2019.0</v>
      </c>
      <c r="I871" s="771">
        <v>7653.323267</v>
      </c>
      <c r="J871" s="771">
        <v>11379.0434</v>
      </c>
      <c r="K871" s="772">
        <v>5049.129054</v>
      </c>
      <c r="M871" s="769" t="s">
        <v>493</v>
      </c>
      <c r="N871" s="770" t="s">
        <v>13</v>
      </c>
      <c r="O871" s="770" t="s">
        <v>494</v>
      </c>
      <c r="P871" s="770" t="s">
        <v>512</v>
      </c>
      <c r="Q871" s="770" t="s">
        <v>496</v>
      </c>
      <c r="R871" s="770" t="s">
        <v>497</v>
      </c>
      <c r="S871" s="770">
        <v>2019.0</v>
      </c>
      <c r="T871" s="771">
        <v>11860.39731</v>
      </c>
      <c r="U871" s="771">
        <v>17634.16636</v>
      </c>
      <c r="V871" s="772">
        <v>7824.663164</v>
      </c>
      <c r="AW871" s="714"/>
    </row>
    <row r="872">
      <c r="A872" s="761"/>
      <c r="B872" s="769" t="s">
        <v>493</v>
      </c>
      <c r="C872" s="770" t="s">
        <v>13</v>
      </c>
      <c r="D872" s="770" t="s">
        <v>494</v>
      </c>
      <c r="E872" s="770" t="s">
        <v>495</v>
      </c>
      <c r="F872" s="770" t="s">
        <v>514</v>
      </c>
      <c r="G872" s="770" t="s">
        <v>103</v>
      </c>
      <c r="H872" s="770">
        <v>2019.0</v>
      </c>
      <c r="I872" s="771">
        <v>106319.1525</v>
      </c>
      <c r="J872" s="771">
        <v>130455.6926</v>
      </c>
      <c r="K872" s="772">
        <v>86165.02482</v>
      </c>
      <c r="M872" s="769" t="s">
        <v>493</v>
      </c>
      <c r="N872" s="770" t="s">
        <v>13</v>
      </c>
      <c r="O872" s="770" t="s">
        <v>494</v>
      </c>
      <c r="P872" s="770" t="s">
        <v>495</v>
      </c>
      <c r="Q872" s="770" t="s">
        <v>514</v>
      </c>
      <c r="R872" s="770" t="s">
        <v>497</v>
      </c>
      <c r="S872" s="770">
        <v>2019.0</v>
      </c>
      <c r="T872" s="771">
        <v>2190.853915</v>
      </c>
      <c r="U872" s="771">
        <v>2688.220873</v>
      </c>
      <c r="V872" s="772">
        <v>1775.550101</v>
      </c>
      <c r="AW872" s="714"/>
    </row>
    <row r="873">
      <c r="A873" s="761"/>
      <c r="B873" s="769" t="s">
        <v>493</v>
      </c>
      <c r="C873" s="770" t="s">
        <v>13</v>
      </c>
      <c r="D873" s="770" t="s">
        <v>494</v>
      </c>
      <c r="E873" s="770" t="s">
        <v>505</v>
      </c>
      <c r="F873" s="770" t="s">
        <v>514</v>
      </c>
      <c r="G873" s="770" t="s">
        <v>103</v>
      </c>
      <c r="H873" s="770">
        <v>2019.0</v>
      </c>
      <c r="I873" s="771">
        <v>21199.59032</v>
      </c>
      <c r="J873" s="771">
        <v>25040.28663</v>
      </c>
      <c r="K873" s="772">
        <v>17979.0153</v>
      </c>
      <c r="M873" s="769" t="s">
        <v>493</v>
      </c>
      <c r="N873" s="770" t="s">
        <v>13</v>
      </c>
      <c r="O873" s="770" t="s">
        <v>494</v>
      </c>
      <c r="P873" s="770" t="s">
        <v>505</v>
      </c>
      <c r="Q873" s="770" t="s">
        <v>514</v>
      </c>
      <c r="R873" s="770" t="s">
        <v>497</v>
      </c>
      <c r="S873" s="770">
        <v>2019.0</v>
      </c>
      <c r="T873" s="771">
        <v>97071.24814</v>
      </c>
      <c r="U873" s="771">
        <v>114657.493</v>
      </c>
      <c r="V873" s="772">
        <v>82324.48974</v>
      </c>
      <c r="AW873" s="714"/>
    </row>
    <row r="874">
      <c r="A874" s="761"/>
      <c r="B874" s="769" t="s">
        <v>493</v>
      </c>
      <c r="C874" s="770" t="s">
        <v>13</v>
      </c>
      <c r="D874" s="770" t="s">
        <v>494</v>
      </c>
      <c r="E874" s="770" t="s">
        <v>508</v>
      </c>
      <c r="F874" s="770" t="s">
        <v>514</v>
      </c>
      <c r="G874" s="770" t="s">
        <v>103</v>
      </c>
      <c r="H874" s="770">
        <v>2019.0</v>
      </c>
      <c r="I874" s="771">
        <v>26673.13569</v>
      </c>
      <c r="J874" s="771">
        <v>31627.61849</v>
      </c>
      <c r="K874" s="772">
        <v>22384.01146</v>
      </c>
      <c r="M874" s="769" t="s">
        <v>493</v>
      </c>
      <c r="N874" s="770" t="s">
        <v>13</v>
      </c>
      <c r="O874" s="770" t="s">
        <v>494</v>
      </c>
      <c r="P874" s="770" t="s">
        <v>508</v>
      </c>
      <c r="Q874" s="770" t="s">
        <v>514</v>
      </c>
      <c r="R874" s="770" t="s">
        <v>497</v>
      </c>
      <c r="S874" s="770">
        <v>2019.0</v>
      </c>
      <c r="T874" s="771">
        <v>2676.722241</v>
      </c>
      <c r="U874" s="771">
        <v>3173.918164</v>
      </c>
      <c r="V874" s="772">
        <v>2246.296875</v>
      </c>
      <c r="AW874" s="714"/>
    </row>
    <row r="875">
      <c r="A875" s="761"/>
      <c r="B875" s="769" t="s">
        <v>493</v>
      </c>
      <c r="C875" s="770" t="s">
        <v>13</v>
      </c>
      <c r="D875" s="770" t="s">
        <v>494</v>
      </c>
      <c r="E875" s="770" t="s">
        <v>512</v>
      </c>
      <c r="F875" s="770" t="s">
        <v>514</v>
      </c>
      <c r="G875" s="770" t="s">
        <v>103</v>
      </c>
      <c r="H875" s="770">
        <v>2019.0</v>
      </c>
      <c r="I875" s="771">
        <v>6872.931093</v>
      </c>
      <c r="J875" s="771">
        <v>10201.99433</v>
      </c>
      <c r="K875" s="772">
        <v>4454.162027</v>
      </c>
      <c r="M875" s="769" t="s">
        <v>493</v>
      </c>
      <c r="N875" s="770" t="s">
        <v>13</v>
      </c>
      <c r="O875" s="770" t="s">
        <v>494</v>
      </c>
      <c r="P875" s="770" t="s">
        <v>512</v>
      </c>
      <c r="Q875" s="770" t="s">
        <v>514</v>
      </c>
      <c r="R875" s="770" t="s">
        <v>497</v>
      </c>
      <c r="S875" s="770">
        <v>2019.0</v>
      </c>
      <c r="T875" s="771">
        <v>10651.01925</v>
      </c>
      <c r="U875" s="771">
        <v>15810.08692</v>
      </c>
      <c r="V875" s="772">
        <v>6902.639477</v>
      </c>
      <c r="AW875" s="714"/>
    </row>
    <row r="876">
      <c r="A876" s="761"/>
      <c r="B876" s="769" t="s">
        <v>493</v>
      </c>
      <c r="C876" s="770" t="s">
        <v>13</v>
      </c>
      <c r="D876" s="770" t="s">
        <v>494</v>
      </c>
      <c r="E876" s="770" t="s">
        <v>495</v>
      </c>
      <c r="F876" s="770" t="s">
        <v>518</v>
      </c>
      <c r="G876" s="770" t="s">
        <v>103</v>
      </c>
      <c r="H876" s="770">
        <v>2019.0</v>
      </c>
      <c r="I876" s="771">
        <v>22975.32483</v>
      </c>
      <c r="J876" s="771">
        <v>36821.37347</v>
      </c>
      <c r="K876" s="772">
        <v>12310.58507</v>
      </c>
      <c r="M876" s="769" t="s">
        <v>493</v>
      </c>
      <c r="N876" s="770" t="s">
        <v>13</v>
      </c>
      <c r="O876" s="770" t="s">
        <v>494</v>
      </c>
      <c r="P876" s="770" t="s">
        <v>495</v>
      </c>
      <c r="Q876" s="770" t="s">
        <v>518</v>
      </c>
      <c r="R876" s="770" t="s">
        <v>497</v>
      </c>
      <c r="S876" s="770">
        <v>2019.0</v>
      </c>
      <c r="T876" s="771">
        <v>473.4385027</v>
      </c>
      <c r="U876" s="771">
        <v>758.7555801</v>
      </c>
      <c r="V876" s="772">
        <v>253.6767164</v>
      </c>
      <c r="AW876" s="714"/>
    </row>
    <row r="877">
      <c r="A877" s="761"/>
      <c r="B877" s="769" t="s">
        <v>493</v>
      </c>
      <c r="C877" s="770" t="s">
        <v>13</v>
      </c>
      <c r="D877" s="770" t="s">
        <v>494</v>
      </c>
      <c r="E877" s="770" t="s">
        <v>505</v>
      </c>
      <c r="F877" s="770" t="s">
        <v>518</v>
      </c>
      <c r="G877" s="770" t="s">
        <v>103</v>
      </c>
      <c r="H877" s="770">
        <v>2019.0</v>
      </c>
      <c r="I877" s="771">
        <v>284.0441729</v>
      </c>
      <c r="J877" s="771">
        <v>527.3244388</v>
      </c>
      <c r="K877" s="772">
        <v>136.4573362</v>
      </c>
      <c r="M877" s="769" t="s">
        <v>493</v>
      </c>
      <c r="N877" s="770" t="s">
        <v>13</v>
      </c>
      <c r="O877" s="770" t="s">
        <v>494</v>
      </c>
      <c r="P877" s="770" t="s">
        <v>505</v>
      </c>
      <c r="Q877" s="770" t="s">
        <v>518</v>
      </c>
      <c r="R877" s="770" t="s">
        <v>497</v>
      </c>
      <c r="S877" s="770">
        <v>2019.0</v>
      </c>
      <c r="T877" s="771">
        <v>1300.615813</v>
      </c>
      <c r="U877" s="771">
        <v>2414.576918</v>
      </c>
      <c r="V877" s="772">
        <v>624.8273549</v>
      </c>
      <c r="AW877" s="714"/>
    </row>
    <row r="878">
      <c r="A878" s="761"/>
      <c r="B878" s="769" t="s">
        <v>493</v>
      </c>
      <c r="C878" s="770" t="s">
        <v>13</v>
      </c>
      <c r="D878" s="770" t="s">
        <v>494</v>
      </c>
      <c r="E878" s="770" t="s">
        <v>508</v>
      </c>
      <c r="F878" s="770" t="s">
        <v>518</v>
      </c>
      <c r="G878" s="770" t="s">
        <v>103</v>
      </c>
      <c r="H878" s="770">
        <v>2019.0</v>
      </c>
      <c r="I878" s="771">
        <v>8339.273184</v>
      </c>
      <c r="J878" s="771">
        <v>13968.94195</v>
      </c>
      <c r="K878" s="772">
        <v>4051.506685</v>
      </c>
      <c r="M878" s="769" t="s">
        <v>493</v>
      </c>
      <c r="N878" s="770" t="s">
        <v>13</v>
      </c>
      <c r="O878" s="770" t="s">
        <v>494</v>
      </c>
      <c r="P878" s="770" t="s">
        <v>508</v>
      </c>
      <c r="Q878" s="770" t="s">
        <v>518</v>
      </c>
      <c r="R878" s="770" t="s">
        <v>497</v>
      </c>
      <c r="S878" s="770">
        <v>2019.0</v>
      </c>
      <c r="T878" s="771">
        <v>836.8689108</v>
      </c>
      <c r="U878" s="771">
        <v>1401.821595</v>
      </c>
      <c r="V878" s="772">
        <v>406.5797956</v>
      </c>
      <c r="AW878" s="714"/>
    </row>
    <row r="879">
      <c r="A879" s="761"/>
      <c r="B879" s="769" t="s">
        <v>493</v>
      </c>
      <c r="C879" s="770" t="s">
        <v>13</v>
      </c>
      <c r="D879" s="770" t="s">
        <v>494</v>
      </c>
      <c r="E879" s="770" t="s">
        <v>512</v>
      </c>
      <c r="F879" s="770" t="s">
        <v>518</v>
      </c>
      <c r="G879" s="770" t="s">
        <v>103</v>
      </c>
      <c r="H879" s="770">
        <v>2019.0</v>
      </c>
      <c r="I879" s="771">
        <v>846.965731</v>
      </c>
      <c r="J879" s="771">
        <v>1856.466509</v>
      </c>
      <c r="K879" s="772">
        <v>274.867394</v>
      </c>
      <c r="M879" s="769" t="s">
        <v>493</v>
      </c>
      <c r="N879" s="770" t="s">
        <v>13</v>
      </c>
      <c r="O879" s="770" t="s">
        <v>494</v>
      </c>
      <c r="P879" s="770" t="s">
        <v>512</v>
      </c>
      <c r="Q879" s="770" t="s">
        <v>518</v>
      </c>
      <c r="R879" s="770" t="s">
        <v>497</v>
      </c>
      <c r="S879" s="770">
        <v>2019.0</v>
      </c>
      <c r="T879" s="771">
        <v>1312.547468</v>
      </c>
      <c r="U879" s="771">
        <v>2876.976396</v>
      </c>
      <c r="V879" s="772">
        <v>425.9635176</v>
      </c>
      <c r="AW879" s="714"/>
    </row>
    <row r="880">
      <c r="A880" s="761"/>
      <c r="B880" s="769" t="s">
        <v>493</v>
      </c>
      <c r="C880" s="770" t="s">
        <v>13</v>
      </c>
      <c r="D880" s="770" t="s">
        <v>494</v>
      </c>
      <c r="E880" s="770" t="s">
        <v>495</v>
      </c>
      <c r="F880" s="770" t="s">
        <v>519</v>
      </c>
      <c r="G880" s="770" t="s">
        <v>103</v>
      </c>
      <c r="H880" s="770">
        <v>2019.0</v>
      </c>
      <c r="I880" s="771">
        <v>22545.62864</v>
      </c>
      <c r="J880" s="771">
        <v>26621.26132</v>
      </c>
      <c r="K880" s="772">
        <v>18959.27574</v>
      </c>
      <c r="M880" s="769" t="s">
        <v>493</v>
      </c>
      <c r="N880" s="770" t="s">
        <v>13</v>
      </c>
      <c r="O880" s="770" t="s">
        <v>494</v>
      </c>
      <c r="P880" s="770" t="s">
        <v>495</v>
      </c>
      <c r="Q880" s="770" t="s">
        <v>519</v>
      </c>
      <c r="R880" s="770" t="s">
        <v>497</v>
      </c>
      <c r="S880" s="770">
        <v>2019.0</v>
      </c>
      <c r="T880" s="771">
        <v>464.5840153</v>
      </c>
      <c r="U880" s="771">
        <v>548.5680916</v>
      </c>
      <c r="V880" s="772">
        <v>390.682229</v>
      </c>
      <c r="AW880" s="714"/>
    </row>
    <row r="881">
      <c r="A881" s="761"/>
      <c r="B881" s="769" t="s">
        <v>493</v>
      </c>
      <c r="C881" s="770" t="s">
        <v>13</v>
      </c>
      <c r="D881" s="770" t="s">
        <v>494</v>
      </c>
      <c r="E881" s="770" t="s">
        <v>505</v>
      </c>
      <c r="F881" s="770" t="s">
        <v>519</v>
      </c>
      <c r="G881" s="770" t="s">
        <v>103</v>
      </c>
      <c r="H881" s="770">
        <v>2019.0</v>
      </c>
      <c r="I881" s="771">
        <v>18489.44217</v>
      </c>
      <c r="J881" s="771">
        <v>21855.32462</v>
      </c>
      <c r="K881" s="772">
        <v>15451.64304</v>
      </c>
      <c r="M881" s="769" t="s">
        <v>493</v>
      </c>
      <c r="N881" s="770" t="s">
        <v>13</v>
      </c>
      <c r="O881" s="770" t="s">
        <v>494</v>
      </c>
      <c r="P881" s="770" t="s">
        <v>505</v>
      </c>
      <c r="Q881" s="770" t="s">
        <v>519</v>
      </c>
      <c r="R881" s="770" t="s">
        <v>497</v>
      </c>
      <c r="S881" s="770">
        <v>2019.0</v>
      </c>
      <c r="T881" s="771">
        <v>84661.69403</v>
      </c>
      <c r="U881" s="771">
        <v>100073.8037</v>
      </c>
      <c r="V881" s="772">
        <v>70751.85195</v>
      </c>
      <c r="AW881" s="714"/>
    </row>
    <row r="882">
      <c r="A882" s="761"/>
      <c r="B882" s="769" t="s">
        <v>493</v>
      </c>
      <c r="C882" s="770" t="s">
        <v>13</v>
      </c>
      <c r="D882" s="770" t="s">
        <v>494</v>
      </c>
      <c r="E882" s="770" t="s">
        <v>508</v>
      </c>
      <c r="F882" s="770" t="s">
        <v>519</v>
      </c>
      <c r="G882" s="770" t="s">
        <v>103</v>
      </c>
      <c r="H882" s="770">
        <v>2019.0</v>
      </c>
      <c r="I882" s="771">
        <v>421.2773139</v>
      </c>
      <c r="J882" s="771">
        <v>697.2085999</v>
      </c>
      <c r="K882" s="772">
        <v>243.0367002</v>
      </c>
      <c r="M882" s="769" t="s">
        <v>493</v>
      </c>
      <c r="N882" s="770" t="s">
        <v>13</v>
      </c>
      <c r="O882" s="770" t="s">
        <v>494</v>
      </c>
      <c r="P882" s="770" t="s">
        <v>508</v>
      </c>
      <c r="Q882" s="770" t="s">
        <v>519</v>
      </c>
      <c r="R882" s="770" t="s">
        <v>497</v>
      </c>
      <c r="S882" s="770">
        <v>2019.0</v>
      </c>
      <c r="T882" s="771">
        <v>42.27633261</v>
      </c>
      <c r="U882" s="771">
        <v>69.96679312</v>
      </c>
      <c r="V882" s="772">
        <v>24.3893987</v>
      </c>
      <c r="AW882" s="714"/>
    </row>
    <row r="883">
      <c r="A883" s="761"/>
      <c r="B883" s="769" t="s">
        <v>493</v>
      </c>
      <c r="C883" s="770" t="s">
        <v>13</v>
      </c>
      <c r="D883" s="770" t="s">
        <v>494</v>
      </c>
      <c r="E883" s="770" t="s">
        <v>512</v>
      </c>
      <c r="F883" s="770" t="s">
        <v>519</v>
      </c>
      <c r="G883" s="770" t="s">
        <v>103</v>
      </c>
      <c r="H883" s="770">
        <v>2019.0</v>
      </c>
      <c r="I883" s="771">
        <v>3507.607149</v>
      </c>
      <c r="J883" s="771">
        <v>5454.059241</v>
      </c>
      <c r="K883" s="772">
        <v>2042.755358</v>
      </c>
      <c r="M883" s="769" t="s">
        <v>493</v>
      </c>
      <c r="N883" s="770" t="s">
        <v>13</v>
      </c>
      <c r="O883" s="770" t="s">
        <v>494</v>
      </c>
      <c r="P883" s="770" t="s">
        <v>512</v>
      </c>
      <c r="Q883" s="770" t="s">
        <v>519</v>
      </c>
      <c r="R883" s="770" t="s">
        <v>497</v>
      </c>
      <c r="S883" s="770">
        <v>2019.0</v>
      </c>
      <c r="T883" s="771">
        <v>5435.758159</v>
      </c>
      <c r="U883" s="771">
        <v>8452.18571</v>
      </c>
      <c r="V883" s="772">
        <v>3165.669253</v>
      </c>
      <c r="AW883" s="714"/>
    </row>
    <row r="884">
      <c r="A884" s="761"/>
      <c r="B884" s="769" t="s">
        <v>493</v>
      </c>
      <c r="C884" s="770" t="s">
        <v>13</v>
      </c>
      <c r="D884" s="770" t="s">
        <v>494</v>
      </c>
      <c r="E884" s="770" t="s">
        <v>495</v>
      </c>
      <c r="F884" s="770" t="s">
        <v>521</v>
      </c>
      <c r="G884" s="770" t="s">
        <v>103</v>
      </c>
      <c r="H884" s="770">
        <v>2019.0</v>
      </c>
      <c r="I884" s="771">
        <v>9653.753707</v>
      </c>
      <c r="J884" s="771">
        <v>20735.08446</v>
      </c>
      <c r="K884" s="772">
        <v>2944.429559</v>
      </c>
      <c r="M884" s="769" t="s">
        <v>493</v>
      </c>
      <c r="N884" s="770" t="s">
        <v>13</v>
      </c>
      <c r="O884" s="770" t="s">
        <v>494</v>
      </c>
      <c r="P884" s="770" t="s">
        <v>495</v>
      </c>
      <c r="Q884" s="770" t="s">
        <v>521</v>
      </c>
      <c r="R884" s="770" t="s">
        <v>497</v>
      </c>
      <c r="S884" s="770">
        <v>2019.0</v>
      </c>
      <c r="T884" s="771">
        <v>198.9290133</v>
      </c>
      <c r="U884" s="771">
        <v>427.275236</v>
      </c>
      <c r="V884" s="772">
        <v>60.67406368</v>
      </c>
      <c r="AW884" s="714"/>
    </row>
    <row r="885">
      <c r="A885" s="761"/>
      <c r="B885" s="769" t="s">
        <v>493</v>
      </c>
      <c r="C885" s="770" t="s">
        <v>13</v>
      </c>
      <c r="D885" s="770" t="s">
        <v>494</v>
      </c>
      <c r="E885" s="770" t="s">
        <v>505</v>
      </c>
      <c r="F885" s="770" t="s">
        <v>521</v>
      </c>
      <c r="G885" s="770" t="s">
        <v>103</v>
      </c>
      <c r="H885" s="770">
        <v>2019.0</v>
      </c>
      <c r="I885" s="771">
        <v>0.0</v>
      </c>
      <c r="J885" s="771">
        <v>0.0</v>
      </c>
      <c r="K885" s="772">
        <v>0.0</v>
      </c>
      <c r="M885" s="769" t="s">
        <v>493</v>
      </c>
      <c r="N885" s="770" t="s">
        <v>13</v>
      </c>
      <c r="O885" s="770" t="s">
        <v>494</v>
      </c>
      <c r="P885" s="770" t="s">
        <v>505</v>
      </c>
      <c r="Q885" s="770" t="s">
        <v>521</v>
      </c>
      <c r="R885" s="770" t="s">
        <v>497</v>
      </c>
      <c r="S885" s="770">
        <v>2019.0</v>
      </c>
      <c r="T885" s="771">
        <v>0.0</v>
      </c>
      <c r="U885" s="771">
        <v>0.0</v>
      </c>
      <c r="V885" s="772">
        <v>0.0</v>
      </c>
      <c r="AW885" s="714"/>
    </row>
    <row r="886">
      <c r="A886" s="761"/>
      <c r="B886" s="769" t="s">
        <v>493</v>
      </c>
      <c r="C886" s="770" t="s">
        <v>13</v>
      </c>
      <c r="D886" s="770" t="s">
        <v>494</v>
      </c>
      <c r="E886" s="770" t="s">
        <v>508</v>
      </c>
      <c r="F886" s="770" t="s">
        <v>521</v>
      </c>
      <c r="G886" s="770" t="s">
        <v>103</v>
      </c>
      <c r="H886" s="770">
        <v>2019.0</v>
      </c>
      <c r="I886" s="771">
        <v>2535.959019</v>
      </c>
      <c r="J886" s="771">
        <v>5649.592917</v>
      </c>
      <c r="K886" s="772">
        <v>798.5678436</v>
      </c>
      <c r="M886" s="769" t="s">
        <v>493</v>
      </c>
      <c r="N886" s="770" t="s">
        <v>13</v>
      </c>
      <c r="O886" s="770" t="s">
        <v>494</v>
      </c>
      <c r="P886" s="770" t="s">
        <v>508</v>
      </c>
      <c r="Q886" s="770" t="s">
        <v>521</v>
      </c>
      <c r="R886" s="770" t="s">
        <v>497</v>
      </c>
      <c r="S886" s="770">
        <v>2019.0</v>
      </c>
      <c r="T886" s="771">
        <v>254.4904352</v>
      </c>
      <c r="U886" s="771">
        <v>566.9521272</v>
      </c>
      <c r="V886" s="772">
        <v>80.13847091</v>
      </c>
      <c r="AW886" s="714"/>
    </row>
    <row r="887">
      <c r="A887" s="761"/>
      <c r="B887" s="769" t="s">
        <v>493</v>
      </c>
      <c r="C887" s="770" t="s">
        <v>13</v>
      </c>
      <c r="D887" s="770" t="s">
        <v>494</v>
      </c>
      <c r="E887" s="770" t="s">
        <v>512</v>
      </c>
      <c r="F887" s="770" t="s">
        <v>521</v>
      </c>
      <c r="G887" s="770" t="s">
        <v>103</v>
      </c>
      <c r="H887" s="770">
        <v>2019.0</v>
      </c>
      <c r="I887" s="771">
        <v>0.0</v>
      </c>
      <c r="J887" s="771">
        <v>0.0</v>
      </c>
      <c r="K887" s="772">
        <v>0.0</v>
      </c>
      <c r="M887" s="769" t="s">
        <v>493</v>
      </c>
      <c r="N887" s="770" t="s">
        <v>13</v>
      </c>
      <c r="O887" s="770" t="s">
        <v>494</v>
      </c>
      <c r="P887" s="770" t="s">
        <v>512</v>
      </c>
      <c r="Q887" s="770" t="s">
        <v>521</v>
      </c>
      <c r="R887" s="770" t="s">
        <v>497</v>
      </c>
      <c r="S887" s="770">
        <v>2019.0</v>
      </c>
      <c r="T887" s="771">
        <v>0.0</v>
      </c>
      <c r="U887" s="771">
        <v>0.0</v>
      </c>
      <c r="V887" s="772">
        <v>0.0</v>
      </c>
      <c r="AW887" s="714"/>
    </row>
    <row r="888">
      <c r="A888" s="761"/>
      <c r="B888" s="769" t="s">
        <v>493</v>
      </c>
      <c r="C888" s="770" t="s">
        <v>13</v>
      </c>
      <c r="D888" s="770" t="s">
        <v>494</v>
      </c>
      <c r="E888" s="770" t="s">
        <v>495</v>
      </c>
      <c r="F888" s="770" t="s">
        <v>523</v>
      </c>
      <c r="G888" s="770" t="s">
        <v>103</v>
      </c>
      <c r="H888" s="770">
        <v>2019.0</v>
      </c>
      <c r="I888" s="771">
        <v>2170.903038</v>
      </c>
      <c r="J888" s="771">
        <v>3679.886501</v>
      </c>
      <c r="K888" s="772">
        <v>1170.43745</v>
      </c>
      <c r="M888" s="769" t="s">
        <v>493</v>
      </c>
      <c r="N888" s="770" t="s">
        <v>13</v>
      </c>
      <c r="O888" s="770" t="s">
        <v>494</v>
      </c>
      <c r="P888" s="770" t="s">
        <v>495</v>
      </c>
      <c r="Q888" s="770" t="s">
        <v>523</v>
      </c>
      <c r="R888" s="770" t="s">
        <v>497</v>
      </c>
      <c r="S888" s="770">
        <v>2019.0</v>
      </c>
      <c r="T888" s="771">
        <v>44.73447453</v>
      </c>
      <c r="U888" s="771">
        <v>75.82917621</v>
      </c>
      <c r="V888" s="772">
        <v>24.11849051</v>
      </c>
      <c r="AW888" s="714"/>
    </row>
    <row r="889">
      <c r="A889" s="761"/>
      <c r="B889" s="769" t="s">
        <v>493</v>
      </c>
      <c r="C889" s="770" t="s">
        <v>13</v>
      </c>
      <c r="D889" s="770" t="s">
        <v>494</v>
      </c>
      <c r="E889" s="770" t="s">
        <v>505</v>
      </c>
      <c r="F889" s="770" t="s">
        <v>523</v>
      </c>
      <c r="G889" s="770" t="s">
        <v>103</v>
      </c>
      <c r="H889" s="770">
        <v>2019.0</v>
      </c>
      <c r="I889" s="771">
        <v>0.0</v>
      </c>
      <c r="J889" s="771">
        <v>0.0</v>
      </c>
      <c r="K889" s="772">
        <v>0.0</v>
      </c>
      <c r="M889" s="769" t="s">
        <v>493</v>
      </c>
      <c r="N889" s="770" t="s">
        <v>13</v>
      </c>
      <c r="O889" s="770" t="s">
        <v>494</v>
      </c>
      <c r="P889" s="770" t="s">
        <v>505</v>
      </c>
      <c r="Q889" s="770" t="s">
        <v>523</v>
      </c>
      <c r="R889" s="770" t="s">
        <v>497</v>
      </c>
      <c r="S889" s="770">
        <v>2019.0</v>
      </c>
      <c r="T889" s="771">
        <v>0.0</v>
      </c>
      <c r="U889" s="771">
        <v>0.0</v>
      </c>
      <c r="V889" s="772">
        <v>0.0</v>
      </c>
      <c r="AW889" s="714"/>
    </row>
    <row r="890">
      <c r="A890" s="761"/>
      <c r="B890" s="769" t="s">
        <v>493</v>
      </c>
      <c r="C890" s="770" t="s">
        <v>13</v>
      </c>
      <c r="D890" s="770" t="s">
        <v>494</v>
      </c>
      <c r="E890" s="770" t="s">
        <v>508</v>
      </c>
      <c r="F890" s="770" t="s">
        <v>523</v>
      </c>
      <c r="G890" s="770" t="s">
        <v>103</v>
      </c>
      <c r="H890" s="770">
        <v>2019.0</v>
      </c>
      <c r="I890" s="771">
        <v>666.9676364</v>
      </c>
      <c r="J890" s="771">
        <v>1276.888778</v>
      </c>
      <c r="K890" s="772">
        <v>323.32821</v>
      </c>
      <c r="M890" s="769" t="s">
        <v>493</v>
      </c>
      <c r="N890" s="770" t="s">
        <v>13</v>
      </c>
      <c r="O890" s="770" t="s">
        <v>494</v>
      </c>
      <c r="P890" s="770" t="s">
        <v>508</v>
      </c>
      <c r="Q890" s="770" t="s">
        <v>523</v>
      </c>
      <c r="R890" s="770" t="s">
        <v>497</v>
      </c>
      <c r="S890" s="770">
        <v>2019.0</v>
      </c>
      <c r="T890" s="771">
        <v>66.93202957</v>
      </c>
      <c r="U890" s="771">
        <v>128.1392871</v>
      </c>
      <c r="V890" s="772">
        <v>32.44687168</v>
      </c>
      <c r="AW890" s="714"/>
    </row>
    <row r="891">
      <c r="A891" s="761"/>
      <c r="B891" s="769" t="s">
        <v>493</v>
      </c>
      <c r="C891" s="770" t="s">
        <v>13</v>
      </c>
      <c r="D891" s="770" t="s">
        <v>494</v>
      </c>
      <c r="E891" s="770" t="s">
        <v>512</v>
      </c>
      <c r="F891" s="770" t="s">
        <v>523</v>
      </c>
      <c r="G891" s="770" t="s">
        <v>103</v>
      </c>
      <c r="H891" s="770">
        <v>2019.0</v>
      </c>
      <c r="I891" s="771">
        <v>0.0</v>
      </c>
      <c r="J891" s="771">
        <v>0.0</v>
      </c>
      <c r="K891" s="772">
        <v>0.0</v>
      </c>
      <c r="M891" s="769" t="s">
        <v>493</v>
      </c>
      <c r="N891" s="770" t="s">
        <v>13</v>
      </c>
      <c r="O891" s="770" t="s">
        <v>494</v>
      </c>
      <c r="P891" s="770" t="s">
        <v>512</v>
      </c>
      <c r="Q891" s="770" t="s">
        <v>523</v>
      </c>
      <c r="R891" s="770" t="s">
        <v>497</v>
      </c>
      <c r="S891" s="770">
        <v>2019.0</v>
      </c>
      <c r="T891" s="771">
        <v>0.0</v>
      </c>
      <c r="U891" s="771">
        <v>0.0</v>
      </c>
      <c r="V891" s="772">
        <v>0.0</v>
      </c>
      <c r="AW891" s="714"/>
    </row>
    <row r="892">
      <c r="A892" s="761"/>
      <c r="B892" s="769" t="s">
        <v>493</v>
      </c>
      <c r="C892" s="770" t="s">
        <v>14</v>
      </c>
      <c r="D892" s="770" t="s">
        <v>494</v>
      </c>
      <c r="E892" s="770" t="s">
        <v>495</v>
      </c>
      <c r="F892" s="770" t="s">
        <v>496</v>
      </c>
      <c r="G892" s="770" t="s">
        <v>103</v>
      </c>
      <c r="H892" s="770">
        <v>2019.0</v>
      </c>
      <c r="I892" s="771">
        <v>773095.3338</v>
      </c>
      <c r="J892" s="771">
        <v>956700.7762</v>
      </c>
      <c r="K892" s="772">
        <v>627658.8105</v>
      </c>
      <c r="M892" s="769" t="s">
        <v>493</v>
      </c>
      <c r="N892" s="770" t="s">
        <v>14</v>
      </c>
      <c r="O892" s="770" t="s">
        <v>494</v>
      </c>
      <c r="P892" s="770" t="s">
        <v>495</v>
      </c>
      <c r="Q892" s="770" t="s">
        <v>496</v>
      </c>
      <c r="R892" s="770" t="s">
        <v>497</v>
      </c>
      <c r="S892" s="770">
        <v>2019.0</v>
      </c>
      <c r="T892" s="771">
        <v>2306.257641</v>
      </c>
      <c r="U892" s="771">
        <v>2853.979812</v>
      </c>
      <c r="V892" s="772">
        <v>1872.398997</v>
      </c>
      <c r="AW892" s="714"/>
    </row>
    <row r="893">
      <c r="A893" s="761"/>
      <c r="B893" s="769" t="s">
        <v>493</v>
      </c>
      <c r="C893" s="770" t="s">
        <v>14</v>
      </c>
      <c r="D893" s="770" t="s">
        <v>494</v>
      </c>
      <c r="E893" s="770" t="s">
        <v>505</v>
      </c>
      <c r="F893" s="770" t="s">
        <v>496</v>
      </c>
      <c r="G893" s="770" t="s">
        <v>103</v>
      </c>
      <c r="H893" s="770">
        <v>2019.0</v>
      </c>
      <c r="I893" s="771">
        <v>222358.2323</v>
      </c>
      <c r="J893" s="771">
        <v>277977.2049</v>
      </c>
      <c r="K893" s="772">
        <v>179734.6408</v>
      </c>
      <c r="M893" s="769" t="s">
        <v>493</v>
      </c>
      <c r="N893" s="770" t="s">
        <v>14</v>
      </c>
      <c r="O893" s="770" t="s">
        <v>494</v>
      </c>
      <c r="P893" s="770" t="s">
        <v>505</v>
      </c>
      <c r="Q893" s="770" t="s">
        <v>496</v>
      </c>
      <c r="R893" s="770" t="s">
        <v>497</v>
      </c>
      <c r="S893" s="770">
        <v>2019.0</v>
      </c>
      <c r="T893" s="771">
        <v>155165.7554</v>
      </c>
      <c r="U893" s="771">
        <v>193977.7203</v>
      </c>
      <c r="V893" s="772">
        <v>125422.2118</v>
      </c>
      <c r="AW893" s="714"/>
    </row>
    <row r="894">
      <c r="A894" s="761"/>
      <c r="B894" s="769" t="s">
        <v>493</v>
      </c>
      <c r="C894" s="770" t="s">
        <v>14</v>
      </c>
      <c r="D894" s="770" t="s">
        <v>494</v>
      </c>
      <c r="E894" s="770" t="s">
        <v>508</v>
      </c>
      <c r="F894" s="770" t="s">
        <v>496</v>
      </c>
      <c r="G894" s="770" t="s">
        <v>103</v>
      </c>
      <c r="H894" s="770">
        <v>2019.0</v>
      </c>
      <c r="I894" s="771">
        <v>207644.6399</v>
      </c>
      <c r="J894" s="771">
        <v>257453.1032</v>
      </c>
      <c r="K894" s="772">
        <v>168330.9991</v>
      </c>
      <c r="M894" s="769" t="s">
        <v>493</v>
      </c>
      <c r="N894" s="770" t="s">
        <v>14</v>
      </c>
      <c r="O894" s="770" t="s">
        <v>494</v>
      </c>
      <c r="P894" s="770" t="s">
        <v>508</v>
      </c>
      <c r="Q894" s="770" t="s">
        <v>496</v>
      </c>
      <c r="R894" s="770" t="s">
        <v>497</v>
      </c>
      <c r="S894" s="770">
        <v>2019.0</v>
      </c>
      <c r="T894" s="771">
        <v>3167.372902</v>
      </c>
      <c r="U894" s="771">
        <v>3927.141982</v>
      </c>
      <c r="V894" s="772">
        <v>2567.689902</v>
      </c>
      <c r="AW894" s="714"/>
    </row>
    <row r="895">
      <c r="A895" s="761"/>
      <c r="B895" s="769" t="s">
        <v>493</v>
      </c>
      <c r="C895" s="770" t="s">
        <v>14</v>
      </c>
      <c r="D895" s="770" t="s">
        <v>494</v>
      </c>
      <c r="E895" s="770" t="s">
        <v>512</v>
      </c>
      <c r="F895" s="770" t="s">
        <v>496</v>
      </c>
      <c r="G895" s="770" t="s">
        <v>103</v>
      </c>
      <c r="H895" s="770">
        <v>2019.0</v>
      </c>
      <c r="I895" s="771">
        <v>54828.78412</v>
      </c>
      <c r="J895" s="771">
        <v>68294.76631</v>
      </c>
      <c r="K895" s="772">
        <v>44342.62927</v>
      </c>
      <c r="M895" s="769" t="s">
        <v>493</v>
      </c>
      <c r="N895" s="770" t="s">
        <v>14</v>
      </c>
      <c r="O895" s="770" t="s">
        <v>494</v>
      </c>
      <c r="P895" s="770" t="s">
        <v>512</v>
      </c>
      <c r="Q895" s="770" t="s">
        <v>496</v>
      </c>
      <c r="R895" s="770" t="s">
        <v>497</v>
      </c>
      <c r="S895" s="770">
        <v>2019.0</v>
      </c>
      <c r="T895" s="771">
        <v>13007.22304</v>
      </c>
      <c r="U895" s="771">
        <v>16201.8048</v>
      </c>
      <c r="V895" s="772">
        <v>10519.55607</v>
      </c>
      <c r="AW895" s="714"/>
    </row>
    <row r="896">
      <c r="A896" s="761"/>
      <c r="B896" s="769" t="s">
        <v>493</v>
      </c>
      <c r="C896" s="770" t="s">
        <v>14</v>
      </c>
      <c r="D896" s="770" t="s">
        <v>494</v>
      </c>
      <c r="E896" s="770" t="s">
        <v>495</v>
      </c>
      <c r="F896" s="770" t="s">
        <v>514</v>
      </c>
      <c r="G896" s="770" t="s">
        <v>103</v>
      </c>
      <c r="H896" s="770">
        <v>2019.0</v>
      </c>
      <c r="I896" s="771">
        <v>676402.9018</v>
      </c>
      <c r="J896" s="771">
        <v>848651.7383</v>
      </c>
      <c r="K896" s="772">
        <v>539207.3724</v>
      </c>
      <c r="M896" s="769" t="s">
        <v>493</v>
      </c>
      <c r="N896" s="770" t="s">
        <v>14</v>
      </c>
      <c r="O896" s="770" t="s">
        <v>494</v>
      </c>
      <c r="P896" s="770" t="s">
        <v>495</v>
      </c>
      <c r="Q896" s="770" t="s">
        <v>514</v>
      </c>
      <c r="R896" s="770" t="s">
        <v>497</v>
      </c>
      <c r="S896" s="770">
        <v>2019.0</v>
      </c>
      <c r="T896" s="771">
        <v>2017.809826</v>
      </c>
      <c r="U896" s="771">
        <v>2531.653562</v>
      </c>
      <c r="V896" s="772">
        <v>1608.535284</v>
      </c>
      <c r="AW896" s="714"/>
    </row>
    <row r="897">
      <c r="A897" s="761"/>
      <c r="B897" s="769" t="s">
        <v>493</v>
      </c>
      <c r="C897" s="770" t="s">
        <v>14</v>
      </c>
      <c r="D897" s="770" t="s">
        <v>494</v>
      </c>
      <c r="E897" s="770" t="s">
        <v>505</v>
      </c>
      <c r="F897" s="770" t="s">
        <v>514</v>
      </c>
      <c r="G897" s="770" t="s">
        <v>103</v>
      </c>
      <c r="H897" s="770">
        <v>2019.0</v>
      </c>
      <c r="I897" s="771">
        <v>205607.957</v>
      </c>
      <c r="J897" s="771">
        <v>257339.7163</v>
      </c>
      <c r="K897" s="772">
        <v>163724.4827</v>
      </c>
      <c r="M897" s="769" t="s">
        <v>493</v>
      </c>
      <c r="N897" s="770" t="s">
        <v>14</v>
      </c>
      <c r="O897" s="770" t="s">
        <v>494</v>
      </c>
      <c r="P897" s="770" t="s">
        <v>505</v>
      </c>
      <c r="Q897" s="770" t="s">
        <v>514</v>
      </c>
      <c r="R897" s="770" t="s">
        <v>497</v>
      </c>
      <c r="S897" s="770">
        <v>2019.0</v>
      </c>
      <c r="T897" s="771">
        <v>143477.0984</v>
      </c>
      <c r="U897" s="771">
        <v>179576.4927</v>
      </c>
      <c r="V897" s="772">
        <v>114250.0225</v>
      </c>
      <c r="AW897" s="714"/>
    </row>
    <row r="898">
      <c r="A898" s="761"/>
      <c r="B898" s="769" t="s">
        <v>493</v>
      </c>
      <c r="C898" s="770" t="s">
        <v>14</v>
      </c>
      <c r="D898" s="770" t="s">
        <v>494</v>
      </c>
      <c r="E898" s="770" t="s">
        <v>508</v>
      </c>
      <c r="F898" s="770" t="s">
        <v>514</v>
      </c>
      <c r="G898" s="770" t="s">
        <v>103</v>
      </c>
      <c r="H898" s="770">
        <v>2019.0</v>
      </c>
      <c r="I898" s="771">
        <v>176850.9145</v>
      </c>
      <c r="J898" s="771">
        <v>224166.9247</v>
      </c>
      <c r="K898" s="772">
        <v>140009.1442</v>
      </c>
      <c r="M898" s="769" t="s">
        <v>493</v>
      </c>
      <c r="N898" s="770" t="s">
        <v>14</v>
      </c>
      <c r="O898" s="770" t="s">
        <v>494</v>
      </c>
      <c r="P898" s="770" t="s">
        <v>508</v>
      </c>
      <c r="Q898" s="770" t="s">
        <v>514</v>
      </c>
      <c r="R898" s="770" t="s">
        <v>497</v>
      </c>
      <c r="S898" s="770">
        <v>2019.0</v>
      </c>
      <c r="T898" s="771">
        <v>2697.651114</v>
      </c>
      <c r="U898" s="771">
        <v>3419.400776</v>
      </c>
      <c r="V898" s="772">
        <v>2135.67357</v>
      </c>
      <c r="AW898" s="714"/>
    </row>
    <row r="899">
      <c r="A899" s="761"/>
      <c r="B899" s="769" t="s">
        <v>493</v>
      </c>
      <c r="C899" s="770" t="s">
        <v>14</v>
      </c>
      <c r="D899" s="770" t="s">
        <v>494</v>
      </c>
      <c r="E899" s="770" t="s">
        <v>512</v>
      </c>
      <c r="F899" s="770" t="s">
        <v>514</v>
      </c>
      <c r="G899" s="770" t="s">
        <v>103</v>
      </c>
      <c r="H899" s="770">
        <v>2019.0</v>
      </c>
      <c r="I899" s="771">
        <v>48563.91883</v>
      </c>
      <c r="J899" s="771">
        <v>60993.0858</v>
      </c>
      <c r="K899" s="772">
        <v>38707.19921</v>
      </c>
      <c r="M899" s="769" t="s">
        <v>493</v>
      </c>
      <c r="N899" s="770" t="s">
        <v>14</v>
      </c>
      <c r="O899" s="770" t="s">
        <v>494</v>
      </c>
      <c r="P899" s="770" t="s">
        <v>512</v>
      </c>
      <c r="Q899" s="770" t="s">
        <v>514</v>
      </c>
      <c r="R899" s="770" t="s">
        <v>497</v>
      </c>
      <c r="S899" s="770">
        <v>2019.0</v>
      </c>
      <c r="T899" s="771">
        <v>11520.98727</v>
      </c>
      <c r="U899" s="771">
        <v>14469.60175</v>
      </c>
      <c r="V899" s="772">
        <v>9182.643412</v>
      </c>
      <c r="AW899" s="714"/>
    </row>
    <row r="900">
      <c r="A900" s="761"/>
      <c r="B900" s="769" t="s">
        <v>493</v>
      </c>
      <c r="C900" s="770" t="s">
        <v>14</v>
      </c>
      <c r="D900" s="770" t="s">
        <v>494</v>
      </c>
      <c r="E900" s="770" t="s">
        <v>495</v>
      </c>
      <c r="F900" s="770" t="s">
        <v>518</v>
      </c>
      <c r="G900" s="770" t="s">
        <v>103</v>
      </c>
      <c r="H900" s="770">
        <v>2019.0</v>
      </c>
      <c r="I900" s="771">
        <v>132554.9458</v>
      </c>
      <c r="J900" s="771">
        <v>178645.071</v>
      </c>
      <c r="K900" s="772">
        <v>97355.69651</v>
      </c>
      <c r="M900" s="769" t="s">
        <v>493</v>
      </c>
      <c r="N900" s="770" t="s">
        <v>14</v>
      </c>
      <c r="O900" s="770" t="s">
        <v>494</v>
      </c>
      <c r="P900" s="770" t="s">
        <v>495</v>
      </c>
      <c r="Q900" s="770" t="s">
        <v>518</v>
      </c>
      <c r="R900" s="770" t="s">
        <v>497</v>
      </c>
      <c r="S900" s="770">
        <v>2019.0</v>
      </c>
      <c r="T900" s="771">
        <v>395.4309945</v>
      </c>
      <c r="U900" s="771">
        <v>532.9246499</v>
      </c>
      <c r="V900" s="772">
        <v>290.4264314</v>
      </c>
      <c r="AW900" s="714"/>
    </row>
    <row r="901">
      <c r="A901" s="761"/>
      <c r="B901" s="769" t="s">
        <v>493</v>
      </c>
      <c r="C901" s="770" t="s">
        <v>14</v>
      </c>
      <c r="D901" s="770" t="s">
        <v>494</v>
      </c>
      <c r="E901" s="770" t="s">
        <v>505</v>
      </c>
      <c r="F901" s="770" t="s">
        <v>518</v>
      </c>
      <c r="G901" s="770" t="s">
        <v>103</v>
      </c>
      <c r="H901" s="770">
        <v>2019.0</v>
      </c>
      <c r="I901" s="771">
        <v>1991.044492</v>
      </c>
      <c r="J901" s="771">
        <v>2762.666075</v>
      </c>
      <c r="K901" s="772">
        <v>1440.157769</v>
      </c>
      <c r="M901" s="769" t="s">
        <v>493</v>
      </c>
      <c r="N901" s="770" t="s">
        <v>14</v>
      </c>
      <c r="O901" s="770" t="s">
        <v>494</v>
      </c>
      <c r="P901" s="770" t="s">
        <v>505</v>
      </c>
      <c r="Q901" s="770" t="s">
        <v>518</v>
      </c>
      <c r="R901" s="770" t="s">
        <v>497</v>
      </c>
      <c r="S901" s="770">
        <v>2019.0</v>
      </c>
      <c r="T901" s="771">
        <v>1389.388283</v>
      </c>
      <c r="U901" s="771">
        <v>1927.840333</v>
      </c>
      <c r="V901" s="772">
        <v>1004.96917</v>
      </c>
      <c r="AW901" s="714"/>
    </row>
    <row r="902">
      <c r="A902" s="761"/>
      <c r="B902" s="769" t="s">
        <v>493</v>
      </c>
      <c r="C902" s="770" t="s">
        <v>14</v>
      </c>
      <c r="D902" s="770" t="s">
        <v>494</v>
      </c>
      <c r="E902" s="770" t="s">
        <v>508</v>
      </c>
      <c r="F902" s="770" t="s">
        <v>518</v>
      </c>
      <c r="G902" s="770" t="s">
        <v>103</v>
      </c>
      <c r="H902" s="770">
        <v>2019.0</v>
      </c>
      <c r="I902" s="771">
        <v>62131.26441</v>
      </c>
      <c r="J902" s="771">
        <v>82314.03828</v>
      </c>
      <c r="K902" s="772">
        <v>46298.10679</v>
      </c>
      <c r="M902" s="769" t="s">
        <v>493</v>
      </c>
      <c r="N902" s="770" t="s">
        <v>14</v>
      </c>
      <c r="O902" s="770" t="s">
        <v>494</v>
      </c>
      <c r="P902" s="770" t="s">
        <v>508</v>
      </c>
      <c r="Q902" s="770" t="s">
        <v>518</v>
      </c>
      <c r="R902" s="770" t="s">
        <v>497</v>
      </c>
      <c r="S902" s="770">
        <v>2019.0</v>
      </c>
      <c r="T902" s="771">
        <v>947.7388067</v>
      </c>
      <c r="U902" s="771">
        <v>1255.603104</v>
      </c>
      <c r="V902" s="772">
        <v>706.2227511</v>
      </c>
      <c r="AW902" s="714"/>
    </row>
    <row r="903">
      <c r="A903" s="761"/>
      <c r="B903" s="769" t="s">
        <v>493</v>
      </c>
      <c r="C903" s="770" t="s">
        <v>14</v>
      </c>
      <c r="D903" s="770" t="s">
        <v>494</v>
      </c>
      <c r="E903" s="770" t="s">
        <v>512</v>
      </c>
      <c r="F903" s="770" t="s">
        <v>518</v>
      </c>
      <c r="G903" s="770" t="s">
        <v>103</v>
      </c>
      <c r="H903" s="770">
        <v>2019.0</v>
      </c>
      <c r="I903" s="771">
        <v>4695.038408</v>
      </c>
      <c r="J903" s="771">
        <v>6295.125888</v>
      </c>
      <c r="K903" s="772">
        <v>3505.68804</v>
      </c>
      <c r="M903" s="769" t="s">
        <v>493</v>
      </c>
      <c r="N903" s="770" t="s">
        <v>14</v>
      </c>
      <c r="O903" s="770" t="s">
        <v>494</v>
      </c>
      <c r="P903" s="770" t="s">
        <v>512</v>
      </c>
      <c r="Q903" s="770" t="s">
        <v>518</v>
      </c>
      <c r="R903" s="770" t="s">
        <v>497</v>
      </c>
      <c r="S903" s="770">
        <v>2019.0</v>
      </c>
      <c r="T903" s="771">
        <v>1113.820281</v>
      </c>
      <c r="U903" s="771">
        <v>1493.414596</v>
      </c>
      <c r="V903" s="772">
        <v>831.6665592</v>
      </c>
      <c r="AW903" s="714"/>
    </row>
    <row r="904">
      <c r="A904" s="761"/>
      <c r="B904" s="769" t="s">
        <v>493</v>
      </c>
      <c r="C904" s="770" t="s">
        <v>14</v>
      </c>
      <c r="D904" s="770" t="s">
        <v>494</v>
      </c>
      <c r="E904" s="770" t="s">
        <v>495</v>
      </c>
      <c r="F904" s="770" t="s">
        <v>519</v>
      </c>
      <c r="G904" s="770" t="s">
        <v>103</v>
      </c>
      <c r="H904" s="770">
        <v>2019.0</v>
      </c>
      <c r="I904" s="771">
        <v>195397.364</v>
      </c>
      <c r="J904" s="771">
        <v>245894.3956</v>
      </c>
      <c r="K904" s="772">
        <v>156767.5966</v>
      </c>
      <c r="M904" s="769" t="s">
        <v>493</v>
      </c>
      <c r="N904" s="770" t="s">
        <v>14</v>
      </c>
      <c r="O904" s="770" t="s">
        <v>494</v>
      </c>
      <c r="P904" s="770" t="s">
        <v>495</v>
      </c>
      <c r="Q904" s="770" t="s">
        <v>519</v>
      </c>
      <c r="R904" s="770" t="s">
        <v>497</v>
      </c>
      <c r="S904" s="770">
        <v>2019.0</v>
      </c>
      <c r="T904" s="771">
        <v>582.8992158</v>
      </c>
      <c r="U904" s="771">
        <v>733.5393241</v>
      </c>
      <c r="V904" s="772">
        <v>467.6609104</v>
      </c>
      <c r="AW904" s="714"/>
    </row>
    <row r="905">
      <c r="A905" s="761"/>
      <c r="B905" s="769" t="s">
        <v>493</v>
      </c>
      <c r="C905" s="770" t="s">
        <v>14</v>
      </c>
      <c r="D905" s="770" t="s">
        <v>494</v>
      </c>
      <c r="E905" s="770" t="s">
        <v>505</v>
      </c>
      <c r="F905" s="770" t="s">
        <v>519</v>
      </c>
      <c r="G905" s="770" t="s">
        <v>103</v>
      </c>
      <c r="H905" s="770">
        <v>2019.0</v>
      </c>
      <c r="I905" s="771">
        <v>171507.18</v>
      </c>
      <c r="J905" s="771">
        <v>215593.9388</v>
      </c>
      <c r="K905" s="772">
        <v>138074.4519</v>
      </c>
      <c r="M905" s="769" t="s">
        <v>493</v>
      </c>
      <c r="N905" s="770" t="s">
        <v>14</v>
      </c>
      <c r="O905" s="770" t="s">
        <v>494</v>
      </c>
      <c r="P905" s="770" t="s">
        <v>505</v>
      </c>
      <c r="Q905" s="770" t="s">
        <v>519</v>
      </c>
      <c r="R905" s="770" t="s">
        <v>497</v>
      </c>
      <c r="S905" s="770">
        <v>2019.0</v>
      </c>
      <c r="T905" s="771">
        <v>119680.935</v>
      </c>
      <c r="U905" s="771">
        <v>150445.5042</v>
      </c>
      <c r="V905" s="772">
        <v>96350.94869</v>
      </c>
      <c r="AW905" s="714"/>
    </row>
    <row r="906">
      <c r="A906" s="761"/>
      <c r="B906" s="769" t="s">
        <v>493</v>
      </c>
      <c r="C906" s="770" t="s">
        <v>14</v>
      </c>
      <c r="D906" s="770" t="s">
        <v>494</v>
      </c>
      <c r="E906" s="770" t="s">
        <v>508</v>
      </c>
      <c r="F906" s="770" t="s">
        <v>519</v>
      </c>
      <c r="G906" s="770" t="s">
        <v>103</v>
      </c>
      <c r="H906" s="770">
        <v>2019.0</v>
      </c>
      <c r="I906" s="771">
        <v>1228.069909</v>
      </c>
      <c r="J906" s="771">
        <v>1653.014334</v>
      </c>
      <c r="K906" s="772">
        <v>901.9018563</v>
      </c>
      <c r="M906" s="769" t="s">
        <v>493</v>
      </c>
      <c r="N906" s="770" t="s">
        <v>14</v>
      </c>
      <c r="O906" s="770" t="s">
        <v>494</v>
      </c>
      <c r="P906" s="770" t="s">
        <v>508</v>
      </c>
      <c r="Q906" s="770" t="s">
        <v>519</v>
      </c>
      <c r="R906" s="770" t="s">
        <v>497</v>
      </c>
      <c r="S906" s="770">
        <v>2019.0</v>
      </c>
      <c r="T906" s="771">
        <v>18.73275107</v>
      </c>
      <c r="U906" s="771">
        <v>25.21477467</v>
      </c>
      <c r="V906" s="772">
        <v>13.75744397</v>
      </c>
      <c r="AW906" s="714"/>
    </row>
    <row r="907">
      <c r="A907" s="761"/>
      <c r="B907" s="769" t="s">
        <v>493</v>
      </c>
      <c r="C907" s="770" t="s">
        <v>14</v>
      </c>
      <c r="D907" s="770" t="s">
        <v>494</v>
      </c>
      <c r="E907" s="770" t="s">
        <v>512</v>
      </c>
      <c r="F907" s="770" t="s">
        <v>519</v>
      </c>
      <c r="G907" s="770" t="s">
        <v>103</v>
      </c>
      <c r="H907" s="770">
        <v>2019.0</v>
      </c>
      <c r="I907" s="771">
        <v>22246.22473</v>
      </c>
      <c r="J907" s="771">
        <v>28469.42931</v>
      </c>
      <c r="K907" s="772">
        <v>17345.51174</v>
      </c>
      <c r="M907" s="769" t="s">
        <v>493</v>
      </c>
      <c r="N907" s="770" t="s">
        <v>14</v>
      </c>
      <c r="O907" s="770" t="s">
        <v>494</v>
      </c>
      <c r="P907" s="770" t="s">
        <v>512</v>
      </c>
      <c r="Q907" s="770" t="s">
        <v>519</v>
      </c>
      <c r="R907" s="770" t="s">
        <v>497</v>
      </c>
      <c r="S907" s="770">
        <v>2019.0</v>
      </c>
      <c r="T907" s="771">
        <v>5277.549218</v>
      </c>
      <c r="U907" s="771">
        <v>6753.901672</v>
      </c>
      <c r="V907" s="772">
        <v>4114.936042</v>
      </c>
      <c r="AW907" s="714"/>
    </row>
    <row r="908">
      <c r="A908" s="761"/>
      <c r="B908" s="769" t="s">
        <v>493</v>
      </c>
      <c r="C908" s="770" t="s">
        <v>14</v>
      </c>
      <c r="D908" s="770" t="s">
        <v>494</v>
      </c>
      <c r="E908" s="770" t="s">
        <v>495</v>
      </c>
      <c r="F908" s="770" t="s">
        <v>521</v>
      </c>
      <c r="G908" s="770" t="s">
        <v>103</v>
      </c>
      <c r="H908" s="770">
        <v>2019.0</v>
      </c>
      <c r="I908" s="771">
        <v>6076.41899</v>
      </c>
      <c r="J908" s="771">
        <v>14792.28989</v>
      </c>
      <c r="K908" s="772">
        <v>1890.519919</v>
      </c>
      <c r="M908" s="769" t="s">
        <v>493</v>
      </c>
      <c r="N908" s="770" t="s">
        <v>14</v>
      </c>
      <c r="O908" s="770" t="s">
        <v>494</v>
      </c>
      <c r="P908" s="770" t="s">
        <v>495</v>
      </c>
      <c r="Q908" s="770" t="s">
        <v>521</v>
      </c>
      <c r="R908" s="770" t="s">
        <v>497</v>
      </c>
      <c r="S908" s="770">
        <v>2019.0</v>
      </c>
      <c r="T908" s="771">
        <v>18.12685592</v>
      </c>
      <c r="U908" s="771">
        <v>44.12758696</v>
      </c>
      <c r="V908" s="772">
        <v>5.639700328</v>
      </c>
      <c r="AW908" s="714"/>
    </row>
    <row r="909">
      <c r="A909" s="761"/>
      <c r="B909" s="769" t="s">
        <v>493</v>
      </c>
      <c r="C909" s="770" t="s">
        <v>14</v>
      </c>
      <c r="D909" s="770" t="s">
        <v>494</v>
      </c>
      <c r="E909" s="770" t="s">
        <v>505</v>
      </c>
      <c r="F909" s="770" t="s">
        <v>521</v>
      </c>
      <c r="G909" s="770" t="s">
        <v>103</v>
      </c>
      <c r="H909" s="770">
        <v>2019.0</v>
      </c>
      <c r="I909" s="771">
        <v>0.0</v>
      </c>
      <c r="J909" s="771">
        <v>0.0</v>
      </c>
      <c r="K909" s="772">
        <v>0.0</v>
      </c>
      <c r="M909" s="769" t="s">
        <v>493</v>
      </c>
      <c r="N909" s="770" t="s">
        <v>14</v>
      </c>
      <c r="O909" s="770" t="s">
        <v>494</v>
      </c>
      <c r="P909" s="770" t="s">
        <v>505</v>
      </c>
      <c r="Q909" s="770" t="s">
        <v>521</v>
      </c>
      <c r="R909" s="770" t="s">
        <v>497</v>
      </c>
      <c r="S909" s="770">
        <v>2019.0</v>
      </c>
      <c r="T909" s="771">
        <v>0.0</v>
      </c>
      <c r="U909" s="771">
        <v>0.0</v>
      </c>
      <c r="V909" s="772">
        <v>0.0</v>
      </c>
      <c r="AW909" s="714"/>
    </row>
    <row r="910">
      <c r="A910" s="761"/>
      <c r="B910" s="769" t="s">
        <v>493</v>
      </c>
      <c r="C910" s="770" t="s">
        <v>14</v>
      </c>
      <c r="D910" s="770" t="s">
        <v>494</v>
      </c>
      <c r="E910" s="770" t="s">
        <v>508</v>
      </c>
      <c r="F910" s="770" t="s">
        <v>521</v>
      </c>
      <c r="G910" s="770" t="s">
        <v>103</v>
      </c>
      <c r="H910" s="770">
        <v>2019.0</v>
      </c>
      <c r="I910" s="771">
        <v>1095.1748</v>
      </c>
      <c r="J910" s="771">
        <v>2614.230659</v>
      </c>
      <c r="K910" s="772">
        <v>343.4931997</v>
      </c>
      <c r="M910" s="769" t="s">
        <v>493</v>
      </c>
      <c r="N910" s="770" t="s">
        <v>14</v>
      </c>
      <c r="O910" s="770" t="s">
        <v>494</v>
      </c>
      <c r="P910" s="770" t="s">
        <v>508</v>
      </c>
      <c r="Q910" s="770" t="s">
        <v>521</v>
      </c>
      <c r="R910" s="770" t="s">
        <v>497</v>
      </c>
      <c r="S910" s="770">
        <v>2019.0</v>
      </c>
      <c r="T910" s="771">
        <v>16.70559367</v>
      </c>
      <c r="U910" s="771">
        <v>39.87699058</v>
      </c>
      <c r="V910" s="772">
        <v>5.239581687</v>
      </c>
      <c r="AW910" s="714"/>
    </row>
    <row r="911">
      <c r="A911" s="761"/>
      <c r="B911" s="769" t="s">
        <v>493</v>
      </c>
      <c r="C911" s="770" t="s">
        <v>14</v>
      </c>
      <c r="D911" s="770" t="s">
        <v>494</v>
      </c>
      <c r="E911" s="770" t="s">
        <v>512</v>
      </c>
      <c r="F911" s="770" t="s">
        <v>521</v>
      </c>
      <c r="G911" s="770" t="s">
        <v>103</v>
      </c>
      <c r="H911" s="770">
        <v>2019.0</v>
      </c>
      <c r="I911" s="771">
        <v>0.0</v>
      </c>
      <c r="J911" s="771">
        <v>0.0</v>
      </c>
      <c r="K911" s="772">
        <v>0.0</v>
      </c>
      <c r="M911" s="769" t="s">
        <v>493</v>
      </c>
      <c r="N911" s="770" t="s">
        <v>14</v>
      </c>
      <c r="O911" s="770" t="s">
        <v>494</v>
      </c>
      <c r="P911" s="770" t="s">
        <v>512</v>
      </c>
      <c r="Q911" s="770" t="s">
        <v>521</v>
      </c>
      <c r="R911" s="770" t="s">
        <v>497</v>
      </c>
      <c r="S911" s="770">
        <v>2019.0</v>
      </c>
      <c r="T911" s="771">
        <v>0.0</v>
      </c>
      <c r="U911" s="771">
        <v>0.0</v>
      </c>
      <c r="V911" s="772">
        <v>0.0</v>
      </c>
      <c r="AW911" s="714"/>
    </row>
    <row r="912">
      <c r="A912" s="761"/>
      <c r="B912" s="769" t="s">
        <v>493</v>
      </c>
      <c r="C912" s="770" t="s">
        <v>14</v>
      </c>
      <c r="D912" s="770" t="s">
        <v>494</v>
      </c>
      <c r="E912" s="770" t="s">
        <v>495</v>
      </c>
      <c r="F912" s="770" t="s">
        <v>523</v>
      </c>
      <c r="G912" s="770" t="s">
        <v>103</v>
      </c>
      <c r="H912" s="770">
        <v>2019.0</v>
      </c>
      <c r="I912" s="771">
        <v>4533.715369</v>
      </c>
      <c r="J912" s="771">
        <v>6192.581871</v>
      </c>
      <c r="K912" s="772">
        <v>3213.057744</v>
      </c>
      <c r="M912" s="769" t="s">
        <v>493</v>
      </c>
      <c r="N912" s="770" t="s">
        <v>14</v>
      </c>
      <c r="O912" s="770" t="s">
        <v>494</v>
      </c>
      <c r="P912" s="770" t="s">
        <v>495</v>
      </c>
      <c r="Q912" s="770" t="s">
        <v>523</v>
      </c>
      <c r="R912" s="770" t="s">
        <v>497</v>
      </c>
      <c r="S912" s="770">
        <v>2019.0</v>
      </c>
      <c r="T912" s="771">
        <v>13.52474301</v>
      </c>
      <c r="U912" s="771">
        <v>18.47338696</v>
      </c>
      <c r="V912" s="772">
        <v>9.585026128</v>
      </c>
      <c r="AW912" s="714"/>
    </row>
    <row r="913">
      <c r="A913" s="761"/>
      <c r="B913" s="769" t="s">
        <v>493</v>
      </c>
      <c r="C913" s="770" t="s">
        <v>14</v>
      </c>
      <c r="D913" s="770" t="s">
        <v>494</v>
      </c>
      <c r="E913" s="770" t="s">
        <v>505</v>
      </c>
      <c r="F913" s="770" t="s">
        <v>523</v>
      </c>
      <c r="G913" s="770" t="s">
        <v>103</v>
      </c>
      <c r="H913" s="770">
        <v>2019.0</v>
      </c>
      <c r="I913" s="771">
        <v>0.0</v>
      </c>
      <c r="J913" s="771">
        <v>0.0</v>
      </c>
      <c r="K913" s="772">
        <v>0.0</v>
      </c>
      <c r="M913" s="769" t="s">
        <v>493</v>
      </c>
      <c r="N913" s="770" t="s">
        <v>14</v>
      </c>
      <c r="O913" s="770" t="s">
        <v>494</v>
      </c>
      <c r="P913" s="770" t="s">
        <v>505</v>
      </c>
      <c r="Q913" s="770" t="s">
        <v>523</v>
      </c>
      <c r="R913" s="770" t="s">
        <v>497</v>
      </c>
      <c r="S913" s="770">
        <v>2019.0</v>
      </c>
      <c r="T913" s="771">
        <v>0.0</v>
      </c>
      <c r="U913" s="771">
        <v>0.0</v>
      </c>
      <c r="V913" s="772">
        <v>0.0</v>
      </c>
      <c r="AW913" s="714"/>
    </row>
    <row r="914">
      <c r="A914" s="761"/>
      <c r="B914" s="769" t="s">
        <v>493</v>
      </c>
      <c r="C914" s="770" t="s">
        <v>14</v>
      </c>
      <c r="D914" s="770" t="s">
        <v>494</v>
      </c>
      <c r="E914" s="770" t="s">
        <v>508</v>
      </c>
      <c r="F914" s="770" t="s">
        <v>523</v>
      </c>
      <c r="G914" s="770" t="s">
        <v>103</v>
      </c>
      <c r="H914" s="770">
        <v>2019.0</v>
      </c>
      <c r="I914" s="771">
        <v>2051.585261</v>
      </c>
      <c r="J914" s="771">
        <v>2778.289864</v>
      </c>
      <c r="K914" s="772">
        <v>1494.481441</v>
      </c>
      <c r="M914" s="769" t="s">
        <v>493</v>
      </c>
      <c r="N914" s="770" t="s">
        <v>14</v>
      </c>
      <c r="O914" s="770" t="s">
        <v>494</v>
      </c>
      <c r="P914" s="770" t="s">
        <v>508</v>
      </c>
      <c r="Q914" s="770" t="s">
        <v>523</v>
      </c>
      <c r="R914" s="770" t="s">
        <v>497</v>
      </c>
      <c r="S914" s="770">
        <v>2019.0</v>
      </c>
      <c r="T914" s="771">
        <v>31.29450183</v>
      </c>
      <c r="U914" s="771">
        <v>42.37951932</v>
      </c>
      <c r="V914" s="772">
        <v>22.79654327</v>
      </c>
      <c r="AW914" s="714"/>
    </row>
    <row r="915">
      <c r="A915" s="761"/>
      <c r="B915" s="769" t="s">
        <v>493</v>
      </c>
      <c r="C915" s="770" t="s">
        <v>14</v>
      </c>
      <c r="D915" s="770" t="s">
        <v>494</v>
      </c>
      <c r="E915" s="770" t="s">
        <v>512</v>
      </c>
      <c r="F915" s="770" t="s">
        <v>523</v>
      </c>
      <c r="G915" s="770" t="s">
        <v>103</v>
      </c>
      <c r="H915" s="770">
        <v>2019.0</v>
      </c>
      <c r="I915" s="771">
        <v>0.0</v>
      </c>
      <c r="J915" s="771">
        <v>0.0</v>
      </c>
      <c r="K915" s="772">
        <v>0.0</v>
      </c>
      <c r="M915" s="769" t="s">
        <v>493</v>
      </c>
      <c r="N915" s="770" t="s">
        <v>14</v>
      </c>
      <c r="O915" s="770" t="s">
        <v>494</v>
      </c>
      <c r="P915" s="770" t="s">
        <v>512</v>
      </c>
      <c r="Q915" s="770" t="s">
        <v>523</v>
      </c>
      <c r="R915" s="770" t="s">
        <v>497</v>
      </c>
      <c r="S915" s="770">
        <v>2019.0</v>
      </c>
      <c r="T915" s="771">
        <v>0.0</v>
      </c>
      <c r="U915" s="771">
        <v>0.0</v>
      </c>
      <c r="V915" s="772">
        <v>0.0</v>
      </c>
      <c r="AW915" s="714"/>
    </row>
    <row r="916">
      <c r="A916" s="761"/>
      <c r="B916" s="769" t="s">
        <v>493</v>
      </c>
      <c r="C916" s="770" t="s">
        <v>642</v>
      </c>
      <c r="D916" s="770" t="s">
        <v>494</v>
      </c>
      <c r="E916" s="770" t="s">
        <v>495</v>
      </c>
      <c r="F916" s="770" t="s">
        <v>496</v>
      </c>
      <c r="G916" s="770" t="s">
        <v>103</v>
      </c>
      <c r="H916" s="770">
        <v>2019.0</v>
      </c>
      <c r="I916" s="771">
        <v>420330.3376</v>
      </c>
      <c r="J916" s="771">
        <v>507253.0793</v>
      </c>
      <c r="K916" s="772">
        <v>346371.1195</v>
      </c>
      <c r="M916" s="769" t="s">
        <v>493</v>
      </c>
      <c r="N916" s="770" t="s">
        <v>642</v>
      </c>
      <c r="O916" s="770" t="s">
        <v>494</v>
      </c>
      <c r="P916" s="770" t="s">
        <v>495</v>
      </c>
      <c r="Q916" s="770" t="s">
        <v>496</v>
      </c>
      <c r="R916" s="770" t="s">
        <v>497</v>
      </c>
      <c r="S916" s="770">
        <v>2019.0</v>
      </c>
      <c r="T916" s="771">
        <v>1376.936666</v>
      </c>
      <c r="U916" s="771">
        <v>1661.682018</v>
      </c>
      <c r="V916" s="772">
        <v>1134.657796</v>
      </c>
      <c r="AW916" s="714"/>
    </row>
    <row r="917">
      <c r="A917" s="761"/>
      <c r="B917" s="769" t="s">
        <v>493</v>
      </c>
      <c r="C917" s="770" t="s">
        <v>642</v>
      </c>
      <c r="D917" s="770" t="s">
        <v>494</v>
      </c>
      <c r="E917" s="770" t="s">
        <v>505</v>
      </c>
      <c r="F917" s="770" t="s">
        <v>496</v>
      </c>
      <c r="G917" s="770" t="s">
        <v>103</v>
      </c>
      <c r="H917" s="770">
        <v>2019.0</v>
      </c>
      <c r="I917" s="771">
        <v>222278.7562</v>
      </c>
      <c r="J917" s="771">
        <v>267892.0946</v>
      </c>
      <c r="K917" s="772">
        <v>181225.5937</v>
      </c>
      <c r="M917" s="769" t="s">
        <v>493</v>
      </c>
      <c r="N917" s="770" t="s">
        <v>642</v>
      </c>
      <c r="O917" s="770" t="s">
        <v>494</v>
      </c>
      <c r="P917" s="770" t="s">
        <v>505</v>
      </c>
      <c r="Q917" s="770" t="s">
        <v>496</v>
      </c>
      <c r="R917" s="770" t="s">
        <v>497</v>
      </c>
      <c r="S917" s="770">
        <v>2019.0</v>
      </c>
      <c r="T917" s="771">
        <v>175617.9487</v>
      </c>
      <c r="U917" s="771">
        <v>211656.1247</v>
      </c>
      <c r="V917" s="772">
        <v>143182.6756</v>
      </c>
      <c r="AW917" s="714"/>
    </row>
    <row r="918">
      <c r="A918" s="761"/>
      <c r="B918" s="769" t="s">
        <v>493</v>
      </c>
      <c r="C918" s="770" t="s">
        <v>642</v>
      </c>
      <c r="D918" s="770" t="s">
        <v>494</v>
      </c>
      <c r="E918" s="770" t="s">
        <v>508</v>
      </c>
      <c r="F918" s="770" t="s">
        <v>496</v>
      </c>
      <c r="G918" s="770" t="s">
        <v>103</v>
      </c>
      <c r="H918" s="770">
        <v>2019.0</v>
      </c>
      <c r="I918" s="771">
        <v>75147.55706</v>
      </c>
      <c r="J918" s="771">
        <v>114869.2023</v>
      </c>
      <c r="K918" s="772">
        <v>47477.86593</v>
      </c>
      <c r="M918" s="769" t="s">
        <v>493</v>
      </c>
      <c r="N918" s="770" t="s">
        <v>642</v>
      </c>
      <c r="O918" s="770" t="s">
        <v>494</v>
      </c>
      <c r="P918" s="770" t="s">
        <v>508</v>
      </c>
      <c r="Q918" s="770" t="s">
        <v>496</v>
      </c>
      <c r="R918" s="770" t="s">
        <v>497</v>
      </c>
      <c r="S918" s="770">
        <v>2019.0</v>
      </c>
      <c r="T918" s="771">
        <v>1287.488604</v>
      </c>
      <c r="U918" s="771">
        <v>1968.031891</v>
      </c>
      <c r="V918" s="772">
        <v>813.4291215</v>
      </c>
      <c r="AW918" s="714"/>
    </row>
    <row r="919">
      <c r="A919" s="761"/>
      <c r="B919" s="769" t="s">
        <v>493</v>
      </c>
      <c r="C919" s="770" t="s">
        <v>642</v>
      </c>
      <c r="D919" s="770" t="s">
        <v>494</v>
      </c>
      <c r="E919" s="770" t="s">
        <v>512</v>
      </c>
      <c r="F919" s="770" t="s">
        <v>496</v>
      </c>
      <c r="G919" s="770" t="s">
        <v>103</v>
      </c>
      <c r="H919" s="770">
        <v>2019.0</v>
      </c>
      <c r="I919" s="771">
        <v>54881.4394</v>
      </c>
      <c r="J919" s="771">
        <v>65641.24917</v>
      </c>
      <c r="K919" s="772">
        <v>45084.50302</v>
      </c>
      <c r="M919" s="769" t="s">
        <v>493</v>
      </c>
      <c r="N919" s="770" t="s">
        <v>642</v>
      </c>
      <c r="O919" s="770" t="s">
        <v>494</v>
      </c>
      <c r="P919" s="770" t="s">
        <v>512</v>
      </c>
      <c r="Q919" s="770" t="s">
        <v>496</v>
      </c>
      <c r="R919" s="770" t="s">
        <v>497</v>
      </c>
      <c r="S919" s="770">
        <v>2019.0</v>
      </c>
      <c r="T919" s="771">
        <v>14777.30052</v>
      </c>
      <c r="U919" s="771">
        <v>17674.47202</v>
      </c>
      <c r="V919" s="772">
        <v>12139.39097</v>
      </c>
      <c r="AW919" s="714"/>
    </row>
    <row r="920">
      <c r="A920" s="761"/>
      <c r="B920" s="769" t="s">
        <v>493</v>
      </c>
      <c r="C920" s="770" t="s">
        <v>642</v>
      </c>
      <c r="D920" s="770" t="s">
        <v>494</v>
      </c>
      <c r="E920" s="770" t="s">
        <v>495</v>
      </c>
      <c r="F920" s="770" t="s">
        <v>514</v>
      </c>
      <c r="G920" s="770" t="s">
        <v>103</v>
      </c>
      <c r="H920" s="770">
        <v>2019.0</v>
      </c>
      <c r="I920" s="771">
        <v>378989.6754</v>
      </c>
      <c r="J920" s="771">
        <v>455892.6866</v>
      </c>
      <c r="K920" s="772">
        <v>312179.8713</v>
      </c>
      <c r="M920" s="769" t="s">
        <v>493</v>
      </c>
      <c r="N920" s="770" t="s">
        <v>642</v>
      </c>
      <c r="O920" s="770" t="s">
        <v>494</v>
      </c>
      <c r="P920" s="770" t="s">
        <v>495</v>
      </c>
      <c r="Q920" s="770" t="s">
        <v>514</v>
      </c>
      <c r="R920" s="770" t="s">
        <v>497</v>
      </c>
      <c r="S920" s="770">
        <v>2019.0</v>
      </c>
      <c r="T920" s="771">
        <v>1241.5111</v>
      </c>
      <c r="U920" s="771">
        <v>1493.433378</v>
      </c>
      <c r="V920" s="772">
        <v>1022.652596</v>
      </c>
      <c r="AW920" s="714"/>
    </row>
    <row r="921">
      <c r="A921" s="761"/>
      <c r="B921" s="769" t="s">
        <v>493</v>
      </c>
      <c r="C921" s="770" t="s">
        <v>642</v>
      </c>
      <c r="D921" s="770" t="s">
        <v>494</v>
      </c>
      <c r="E921" s="770" t="s">
        <v>505</v>
      </c>
      <c r="F921" s="770" t="s">
        <v>514</v>
      </c>
      <c r="G921" s="770" t="s">
        <v>103</v>
      </c>
      <c r="H921" s="770">
        <v>2019.0</v>
      </c>
      <c r="I921" s="771">
        <v>211641.1076</v>
      </c>
      <c r="J921" s="771">
        <v>255476.7387</v>
      </c>
      <c r="K921" s="772">
        <v>172579.5152</v>
      </c>
      <c r="M921" s="769" t="s">
        <v>493</v>
      </c>
      <c r="N921" s="770" t="s">
        <v>642</v>
      </c>
      <c r="O921" s="770" t="s">
        <v>494</v>
      </c>
      <c r="P921" s="770" t="s">
        <v>505</v>
      </c>
      <c r="Q921" s="770" t="s">
        <v>514</v>
      </c>
      <c r="R921" s="770" t="s">
        <v>497</v>
      </c>
      <c r="S921" s="770">
        <v>2019.0</v>
      </c>
      <c r="T921" s="771">
        <v>167213.3578</v>
      </c>
      <c r="U921" s="771">
        <v>201847.0032</v>
      </c>
      <c r="V921" s="772">
        <v>136351.5838</v>
      </c>
      <c r="AW921" s="714"/>
    </row>
    <row r="922">
      <c r="A922" s="761"/>
      <c r="B922" s="769" t="s">
        <v>493</v>
      </c>
      <c r="C922" s="770" t="s">
        <v>642</v>
      </c>
      <c r="D922" s="770" t="s">
        <v>494</v>
      </c>
      <c r="E922" s="770" t="s">
        <v>508</v>
      </c>
      <c r="F922" s="770" t="s">
        <v>514</v>
      </c>
      <c r="G922" s="770" t="s">
        <v>103</v>
      </c>
      <c r="H922" s="770">
        <v>2019.0</v>
      </c>
      <c r="I922" s="771">
        <v>63158.0532</v>
      </c>
      <c r="J922" s="771">
        <v>95949.04796</v>
      </c>
      <c r="K922" s="772">
        <v>40461.12055</v>
      </c>
      <c r="M922" s="769" t="s">
        <v>493</v>
      </c>
      <c r="N922" s="770" t="s">
        <v>642</v>
      </c>
      <c r="O922" s="770" t="s">
        <v>494</v>
      </c>
      <c r="P922" s="770" t="s">
        <v>508</v>
      </c>
      <c r="Q922" s="770" t="s">
        <v>514</v>
      </c>
      <c r="R922" s="770" t="s">
        <v>497</v>
      </c>
      <c r="S922" s="770">
        <v>2019.0</v>
      </c>
      <c r="T922" s="771">
        <v>1082.074746</v>
      </c>
      <c r="U922" s="771">
        <v>1643.876536</v>
      </c>
      <c r="V922" s="772">
        <v>693.2125761</v>
      </c>
      <c r="AW922" s="714"/>
    </row>
    <row r="923">
      <c r="A923" s="761"/>
      <c r="B923" s="769" t="s">
        <v>493</v>
      </c>
      <c r="C923" s="770" t="s">
        <v>642</v>
      </c>
      <c r="D923" s="770" t="s">
        <v>494</v>
      </c>
      <c r="E923" s="770" t="s">
        <v>512</v>
      </c>
      <c r="F923" s="770" t="s">
        <v>514</v>
      </c>
      <c r="G923" s="770" t="s">
        <v>103</v>
      </c>
      <c r="H923" s="770">
        <v>2019.0</v>
      </c>
      <c r="I923" s="771">
        <v>51096.54717</v>
      </c>
      <c r="J923" s="771">
        <v>61207.62072</v>
      </c>
      <c r="K923" s="772">
        <v>41933.70753</v>
      </c>
      <c r="M923" s="769" t="s">
        <v>493</v>
      </c>
      <c r="N923" s="770" t="s">
        <v>642</v>
      </c>
      <c r="O923" s="770" t="s">
        <v>494</v>
      </c>
      <c r="P923" s="770" t="s">
        <v>512</v>
      </c>
      <c r="Q923" s="770" t="s">
        <v>514</v>
      </c>
      <c r="R923" s="770" t="s">
        <v>497</v>
      </c>
      <c r="S923" s="770">
        <v>2019.0</v>
      </c>
      <c r="T923" s="771">
        <v>13758.18567</v>
      </c>
      <c r="U923" s="771">
        <v>16480.67935</v>
      </c>
      <c r="V923" s="772">
        <v>11291.01213</v>
      </c>
      <c r="AW923" s="714"/>
    </row>
    <row r="924">
      <c r="A924" s="761"/>
      <c r="B924" s="769" t="s">
        <v>493</v>
      </c>
      <c r="C924" s="770" t="s">
        <v>642</v>
      </c>
      <c r="D924" s="770" t="s">
        <v>494</v>
      </c>
      <c r="E924" s="770" t="s">
        <v>495</v>
      </c>
      <c r="F924" s="770" t="s">
        <v>518</v>
      </c>
      <c r="G924" s="770" t="s">
        <v>103</v>
      </c>
      <c r="H924" s="770">
        <v>2019.0</v>
      </c>
      <c r="I924" s="771">
        <v>32378.51218</v>
      </c>
      <c r="J924" s="771">
        <v>47723.62885</v>
      </c>
      <c r="K924" s="772">
        <v>21254.2501</v>
      </c>
      <c r="M924" s="769" t="s">
        <v>493</v>
      </c>
      <c r="N924" s="770" t="s">
        <v>642</v>
      </c>
      <c r="O924" s="770" t="s">
        <v>494</v>
      </c>
      <c r="P924" s="770" t="s">
        <v>495</v>
      </c>
      <c r="Q924" s="770" t="s">
        <v>518</v>
      </c>
      <c r="R924" s="770" t="s">
        <v>497</v>
      </c>
      <c r="S924" s="770">
        <v>2019.0</v>
      </c>
      <c r="T924" s="771">
        <v>106.0669588</v>
      </c>
      <c r="U924" s="771">
        <v>156.3351691</v>
      </c>
      <c r="V924" s="772">
        <v>69.62561027</v>
      </c>
      <c r="AW924" s="714"/>
    </row>
    <row r="925">
      <c r="A925" s="761"/>
      <c r="B925" s="769" t="s">
        <v>493</v>
      </c>
      <c r="C925" s="770" t="s">
        <v>642</v>
      </c>
      <c r="D925" s="770" t="s">
        <v>494</v>
      </c>
      <c r="E925" s="770" t="s">
        <v>505</v>
      </c>
      <c r="F925" s="770" t="s">
        <v>518</v>
      </c>
      <c r="G925" s="770" t="s">
        <v>103</v>
      </c>
      <c r="H925" s="770">
        <v>2019.0</v>
      </c>
      <c r="I925" s="771">
        <v>866.4446993</v>
      </c>
      <c r="J925" s="771">
        <v>1430.661263</v>
      </c>
      <c r="K925" s="772">
        <v>517.1972411</v>
      </c>
      <c r="M925" s="769" t="s">
        <v>493</v>
      </c>
      <c r="N925" s="770" t="s">
        <v>642</v>
      </c>
      <c r="O925" s="770" t="s">
        <v>494</v>
      </c>
      <c r="P925" s="770" t="s">
        <v>505</v>
      </c>
      <c r="Q925" s="770" t="s">
        <v>518</v>
      </c>
      <c r="R925" s="770" t="s">
        <v>497</v>
      </c>
      <c r="S925" s="770">
        <v>2019.0</v>
      </c>
      <c r="T925" s="771">
        <v>684.5604295</v>
      </c>
      <c r="U925" s="771">
        <v>1130.336523</v>
      </c>
      <c r="V925" s="772">
        <v>408.6270777</v>
      </c>
      <c r="AW925" s="714"/>
    </row>
    <row r="926">
      <c r="A926" s="761"/>
      <c r="B926" s="769" t="s">
        <v>493</v>
      </c>
      <c r="C926" s="770" t="s">
        <v>642</v>
      </c>
      <c r="D926" s="770" t="s">
        <v>494</v>
      </c>
      <c r="E926" s="770" t="s">
        <v>508</v>
      </c>
      <c r="F926" s="770" t="s">
        <v>518</v>
      </c>
      <c r="G926" s="770" t="s">
        <v>103</v>
      </c>
      <c r="H926" s="770">
        <v>2019.0</v>
      </c>
      <c r="I926" s="771">
        <v>15638.1719</v>
      </c>
      <c r="J926" s="771">
        <v>26675.39771</v>
      </c>
      <c r="K926" s="772">
        <v>7960.123982</v>
      </c>
      <c r="M926" s="769" t="s">
        <v>493</v>
      </c>
      <c r="N926" s="770" t="s">
        <v>642</v>
      </c>
      <c r="O926" s="770" t="s">
        <v>494</v>
      </c>
      <c r="P926" s="770" t="s">
        <v>508</v>
      </c>
      <c r="Q926" s="770" t="s">
        <v>518</v>
      </c>
      <c r="R926" s="770" t="s">
        <v>497</v>
      </c>
      <c r="S926" s="770">
        <v>2019.0</v>
      </c>
      <c r="T926" s="771">
        <v>267.9257835</v>
      </c>
      <c r="U926" s="771">
        <v>457.024445</v>
      </c>
      <c r="V926" s="772">
        <v>136.3792692</v>
      </c>
      <c r="AW926" s="714"/>
    </row>
    <row r="927">
      <c r="A927" s="761"/>
      <c r="B927" s="769" t="s">
        <v>493</v>
      </c>
      <c r="C927" s="770" t="s">
        <v>642</v>
      </c>
      <c r="D927" s="770" t="s">
        <v>494</v>
      </c>
      <c r="E927" s="770" t="s">
        <v>512</v>
      </c>
      <c r="F927" s="770" t="s">
        <v>518</v>
      </c>
      <c r="G927" s="770" t="s">
        <v>103</v>
      </c>
      <c r="H927" s="770">
        <v>2019.0</v>
      </c>
      <c r="I927" s="771">
        <v>1754.278065</v>
      </c>
      <c r="J927" s="771">
        <v>2898.87465</v>
      </c>
      <c r="K927" s="772">
        <v>935.2777631</v>
      </c>
      <c r="M927" s="769" t="s">
        <v>493</v>
      </c>
      <c r="N927" s="770" t="s">
        <v>642</v>
      </c>
      <c r="O927" s="770" t="s">
        <v>494</v>
      </c>
      <c r="P927" s="770" t="s">
        <v>512</v>
      </c>
      <c r="Q927" s="770" t="s">
        <v>518</v>
      </c>
      <c r="R927" s="770" t="s">
        <v>497</v>
      </c>
      <c r="S927" s="770">
        <v>2019.0</v>
      </c>
      <c r="T927" s="771">
        <v>472.354487</v>
      </c>
      <c r="U927" s="771">
        <v>780.5469816</v>
      </c>
      <c r="V927" s="772">
        <v>251.8315978</v>
      </c>
      <c r="AW927" s="714"/>
    </row>
    <row r="928">
      <c r="A928" s="761"/>
      <c r="B928" s="769" t="s">
        <v>493</v>
      </c>
      <c r="C928" s="770" t="s">
        <v>642</v>
      </c>
      <c r="D928" s="770" t="s">
        <v>494</v>
      </c>
      <c r="E928" s="770" t="s">
        <v>495</v>
      </c>
      <c r="F928" s="770" t="s">
        <v>519</v>
      </c>
      <c r="G928" s="770" t="s">
        <v>103</v>
      </c>
      <c r="H928" s="770">
        <v>2019.0</v>
      </c>
      <c r="I928" s="771">
        <v>249785.3639</v>
      </c>
      <c r="J928" s="771">
        <v>302434.4224</v>
      </c>
      <c r="K928" s="772">
        <v>203436.5664</v>
      </c>
      <c r="M928" s="769" t="s">
        <v>493</v>
      </c>
      <c r="N928" s="770" t="s">
        <v>642</v>
      </c>
      <c r="O928" s="770" t="s">
        <v>494</v>
      </c>
      <c r="P928" s="770" t="s">
        <v>495</v>
      </c>
      <c r="Q928" s="770" t="s">
        <v>519</v>
      </c>
      <c r="R928" s="770" t="s">
        <v>497</v>
      </c>
      <c r="S928" s="770">
        <v>2019.0</v>
      </c>
      <c r="T928" s="771">
        <v>818.2579161</v>
      </c>
      <c r="U928" s="771">
        <v>990.728025</v>
      </c>
      <c r="V928" s="772">
        <v>666.4264801</v>
      </c>
      <c r="AW928" s="714"/>
    </row>
    <row r="929">
      <c r="A929" s="761"/>
      <c r="B929" s="769" t="s">
        <v>493</v>
      </c>
      <c r="C929" s="770" t="s">
        <v>642</v>
      </c>
      <c r="D929" s="770" t="s">
        <v>494</v>
      </c>
      <c r="E929" s="770" t="s">
        <v>505</v>
      </c>
      <c r="F929" s="770" t="s">
        <v>519</v>
      </c>
      <c r="G929" s="770" t="s">
        <v>103</v>
      </c>
      <c r="H929" s="770">
        <v>2019.0</v>
      </c>
      <c r="I929" s="771">
        <v>198034.3233</v>
      </c>
      <c r="J929" s="771">
        <v>240098.3163</v>
      </c>
      <c r="K929" s="772">
        <v>161218.5865</v>
      </c>
      <c r="M929" s="769" t="s">
        <v>493</v>
      </c>
      <c r="N929" s="770" t="s">
        <v>642</v>
      </c>
      <c r="O929" s="770" t="s">
        <v>494</v>
      </c>
      <c r="P929" s="770" t="s">
        <v>505</v>
      </c>
      <c r="Q929" s="770" t="s">
        <v>519</v>
      </c>
      <c r="R929" s="770" t="s">
        <v>497</v>
      </c>
      <c r="S929" s="770">
        <v>2019.0</v>
      </c>
      <c r="T929" s="771">
        <v>156462.9128</v>
      </c>
      <c r="U929" s="771">
        <v>189696.8227</v>
      </c>
      <c r="V929" s="772">
        <v>127375.5439</v>
      </c>
      <c r="AW929" s="714"/>
    </row>
    <row r="930">
      <c r="A930" s="761"/>
      <c r="B930" s="769" t="s">
        <v>493</v>
      </c>
      <c r="C930" s="770" t="s">
        <v>642</v>
      </c>
      <c r="D930" s="770" t="s">
        <v>494</v>
      </c>
      <c r="E930" s="770" t="s">
        <v>508</v>
      </c>
      <c r="F930" s="770" t="s">
        <v>519</v>
      </c>
      <c r="G930" s="770" t="s">
        <v>103</v>
      </c>
      <c r="H930" s="770">
        <v>2019.0</v>
      </c>
      <c r="I930" s="771">
        <v>11509.13614</v>
      </c>
      <c r="J930" s="771">
        <v>18593.49657</v>
      </c>
      <c r="K930" s="772">
        <v>6588.417172</v>
      </c>
      <c r="M930" s="769" t="s">
        <v>493</v>
      </c>
      <c r="N930" s="770" t="s">
        <v>642</v>
      </c>
      <c r="O930" s="770" t="s">
        <v>494</v>
      </c>
      <c r="P930" s="770" t="s">
        <v>508</v>
      </c>
      <c r="Q930" s="770" t="s">
        <v>519</v>
      </c>
      <c r="R930" s="770" t="s">
        <v>497</v>
      </c>
      <c r="S930" s="770">
        <v>2019.0</v>
      </c>
      <c r="T930" s="771">
        <v>197.18381</v>
      </c>
      <c r="U930" s="771">
        <v>318.5587912</v>
      </c>
      <c r="V930" s="772">
        <v>112.8780809</v>
      </c>
      <c r="AW930" s="714"/>
    </row>
    <row r="931">
      <c r="A931" s="761"/>
      <c r="B931" s="769" t="s">
        <v>493</v>
      </c>
      <c r="C931" s="770" t="s">
        <v>642</v>
      </c>
      <c r="D931" s="770" t="s">
        <v>494</v>
      </c>
      <c r="E931" s="770" t="s">
        <v>512</v>
      </c>
      <c r="F931" s="770" t="s">
        <v>519</v>
      </c>
      <c r="G931" s="770" t="s">
        <v>103</v>
      </c>
      <c r="H931" s="770">
        <v>2019.0</v>
      </c>
      <c r="I931" s="771">
        <v>39457.14253</v>
      </c>
      <c r="J931" s="771">
        <v>47827.02115</v>
      </c>
      <c r="K931" s="772">
        <v>31461.8399</v>
      </c>
      <c r="M931" s="769" t="s">
        <v>493</v>
      </c>
      <c r="N931" s="770" t="s">
        <v>642</v>
      </c>
      <c r="O931" s="770" t="s">
        <v>494</v>
      </c>
      <c r="P931" s="770" t="s">
        <v>512</v>
      </c>
      <c r="Q931" s="770" t="s">
        <v>519</v>
      </c>
      <c r="R931" s="770" t="s">
        <v>497</v>
      </c>
      <c r="S931" s="770">
        <v>2019.0</v>
      </c>
      <c r="T931" s="771">
        <v>10624.17566</v>
      </c>
      <c r="U931" s="771">
        <v>12877.83761</v>
      </c>
      <c r="V931" s="772">
        <v>8471.371525</v>
      </c>
      <c r="AW931" s="714"/>
    </row>
    <row r="932">
      <c r="A932" s="761"/>
      <c r="B932" s="769" t="s">
        <v>493</v>
      </c>
      <c r="C932" s="770" t="s">
        <v>642</v>
      </c>
      <c r="D932" s="770" t="s">
        <v>494</v>
      </c>
      <c r="E932" s="770" t="s">
        <v>495</v>
      </c>
      <c r="F932" s="770" t="s">
        <v>521</v>
      </c>
      <c r="G932" s="770" t="s">
        <v>103</v>
      </c>
      <c r="H932" s="770">
        <v>2019.0</v>
      </c>
      <c r="I932" s="771">
        <v>2276.929581</v>
      </c>
      <c r="J932" s="771">
        <v>5044.024501</v>
      </c>
      <c r="K932" s="772">
        <v>717.0749146</v>
      </c>
      <c r="M932" s="769" t="s">
        <v>493</v>
      </c>
      <c r="N932" s="770" t="s">
        <v>642</v>
      </c>
      <c r="O932" s="770" t="s">
        <v>494</v>
      </c>
      <c r="P932" s="770" t="s">
        <v>495</v>
      </c>
      <c r="Q932" s="770" t="s">
        <v>521</v>
      </c>
      <c r="R932" s="770" t="s">
        <v>497</v>
      </c>
      <c r="S932" s="770">
        <v>2019.0</v>
      </c>
      <c r="T932" s="771">
        <v>7.458866384</v>
      </c>
      <c r="U932" s="771">
        <v>16.52343801</v>
      </c>
      <c r="V932" s="772">
        <v>2.349025644</v>
      </c>
      <c r="AW932" s="714"/>
    </row>
    <row r="933">
      <c r="A933" s="761"/>
      <c r="B933" s="769" t="s">
        <v>493</v>
      </c>
      <c r="C933" s="770" t="s">
        <v>642</v>
      </c>
      <c r="D933" s="770" t="s">
        <v>494</v>
      </c>
      <c r="E933" s="770" t="s">
        <v>505</v>
      </c>
      <c r="F933" s="770" t="s">
        <v>521</v>
      </c>
      <c r="G933" s="770" t="s">
        <v>103</v>
      </c>
      <c r="H933" s="770">
        <v>2019.0</v>
      </c>
      <c r="I933" s="771">
        <v>0.0</v>
      </c>
      <c r="J933" s="771">
        <v>0.0</v>
      </c>
      <c r="K933" s="772">
        <v>0.0</v>
      </c>
      <c r="M933" s="769" t="s">
        <v>493</v>
      </c>
      <c r="N933" s="770" t="s">
        <v>642</v>
      </c>
      <c r="O933" s="770" t="s">
        <v>494</v>
      </c>
      <c r="P933" s="770" t="s">
        <v>505</v>
      </c>
      <c r="Q933" s="770" t="s">
        <v>521</v>
      </c>
      <c r="R933" s="770" t="s">
        <v>497</v>
      </c>
      <c r="S933" s="770">
        <v>2019.0</v>
      </c>
      <c r="T933" s="771">
        <v>0.0</v>
      </c>
      <c r="U933" s="771">
        <v>0.0</v>
      </c>
      <c r="V933" s="772">
        <v>0.0</v>
      </c>
      <c r="AW933" s="714"/>
    </row>
    <row r="934">
      <c r="A934" s="761"/>
      <c r="B934" s="769" t="s">
        <v>493</v>
      </c>
      <c r="C934" s="770" t="s">
        <v>642</v>
      </c>
      <c r="D934" s="770" t="s">
        <v>494</v>
      </c>
      <c r="E934" s="770" t="s">
        <v>508</v>
      </c>
      <c r="F934" s="770" t="s">
        <v>521</v>
      </c>
      <c r="G934" s="770" t="s">
        <v>103</v>
      </c>
      <c r="H934" s="770">
        <v>2019.0</v>
      </c>
      <c r="I934" s="771">
        <v>495.268977</v>
      </c>
      <c r="J934" s="771">
        <v>1184.063727</v>
      </c>
      <c r="K934" s="772">
        <v>134.2594897</v>
      </c>
      <c r="M934" s="769" t="s">
        <v>493</v>
      </c>
      <c r="N934" s="770" t="s">
        <v>642</v>
      </c>
      <c r="O934" s="770" t="s">
        <v>494</v>
      </c>
      <c r="P934" s="770" t="s">
        <v>508</v>
      </c>
      <c r="Q934" s="770" t="s">
        <v>521</v>
      </c>
      <c r="R934" s="770" t="s">
        <v>497</v>
      </c>
      <c r="S934" s="770">
        <v>2019.0</v>
      </c>
      <c r="T934" s="771">
        <v>8.485347878</v>
      </c>
      <c r="U934" s="771">
        <v>20.2863355</v>
      </c>
      <c r="V934" s="772">
        <v>2.300241947</v>
      </c>
      <c r="AW934" s="714"/>
    </row>
    <row r="935">
      <c r="A935" s="761"/>
      <c r="B935" s="769" t="s">
        <v>493</v>
      </c>
      <c r="C935" s="770" t="s">
        <v>642</v>
      </c>
      <c r="D935" s="770" t="s">
        <v>494</v>
      </c>
      <c r="E935" s="770" t="s">
        <v>512</v>
      </c>
      <c r="F935" s="770" t="s">
        <v>521</v>
      </c>
      <c r="G935" s="770" t="s">
        <v>103</v>
      </c>
      <c r="H935" s="770">
        <v>2019.0</v>
      </c>
      <c r="I935" s="771">
        <v>0.0</v>
      </c>
      <c r="J935" s="771">
        <v>0.0</v>
      </c>
      <c r="K935" s="772">
        <v>0.0</v>
      </c>
      <c r="M935" s="769" t="s">
        <v>493</v>
      </c>
      <c r="N935" s="770" t="s">
        <v>642</v>
      </c>
      <c r="O935" s="770" t="s">
        <v>494</v>
      </c>
      <c r="P935" s="770" t="s">
        <v>512</v>
      </c>
      <c r="Q935" s="770" t="s">
        <v>521</v>
      </c>
      <c r="R935" s="770" t="s">
        <v>497</v>
      </c>
      <c r="S935" s="770">
        <v>2019.0</v>
      </c>
      <c r="T935" s="771">
        <v>0.0</v>
      </c>
      <c r="U935" s="771">
        <v>0.0</v>
      </c>
      <c r="V935" s="772">
        <v>0.0</v>
      </c>
      <c r="AW935" s="714"/>
    </row>
    <row r="936">
      <c r="A936" s="761"/>
      <c r="B936" s="769" t="s">
        <v>493</v>
      </c>
      <c r="C936" s="770" t="s">
        <v>642</v>
      </c>
      <c r="D936" s="770" t="s">
        <v>494</v>
      </c>
      <c r="E936" s="770" t="s">
        <v>495</v>
      </c>
      <c r="F936" s="770" t="s">
        <v>523</v>
      </c>
      <c r="G936" s="770" t="s">
        <v>103</v>
      </c>
      <c r="H936" s="770">
        <v>2019.0</v>
      </c>
      <c r="I936" s="771">
        <v>7514.588592</v>
      </c>
      <c r="J936" s="771">
        <v>11173.33467</v>
      </c>
      <c r="K936" s="772">
        <v>4855.170136</v>
      </c>
      <c r="M936" s="769" t="s">
        <v>493</v>
      </c>
      <c r="N936" s="770" t="s">
        <v>642</v>
      </c>
      <c r="O936" s="770" t="s">
        <v>494</v>
      </c>
      <c r="P936" s="770" t="s">
        <v>495</v>
      </c>
      <c r="Q936" s="770" t="s">
        <v>523</v>
      </c>
      <c r="R936" s="770" t="s">
        <v>497</v>
      </c>
      <c r="S936" s="770">
        <v>2019.0</v>
      </c>
      <c r="T936" s="771">
        <v>24.61662087</v>
      </c>
      <c r="U936" s="771">
        <v>36.6021027</v>
      </c>
      <c r="V936" s="772">
        <v>15.90478055</v>
      </c>
      <c r="AW936" s="714"/>
    </row>
    <row r="937">
      <c r="A937" s="761"/>
      <c r="B937" s="769" t="s">
        <v>493</v>
      </c>
      <c r="C937" s="770" t="s">
        <v>642</v>
      </c>
      <c r="D937" s="770" t="s">
        <v>494</v>
      </c>
      <c r="E937" s="770" t="s">
        <v>505</v>
      </c>
      <c r="F937" s="770" t="s">
        <v>523</v>
      </c>
      <c r="G937" s="770" t="s">
        <v>103</v>
      </c>
      <c r="H937" s="770">
        <v>2019.0</v>
      </c>
      <c r="I937" s="771">
        <v>0.0</v>
      </c>
      <c r="J937" s="771">
        <v>0.0</v>
      </c>
      <c r="K937" s="772">
        <v>0.0</v>
      </c>
      <c r="M937" s="769" t="s">
        <v>493</v>
      </c>
      <c r="N937" s="770" t="s">
        <v>642</v>
      </c>
      <c r="O937" s="770" t="s">
        <v>494</v>
      </c>
      <c r="P937" s="770" t="s">
        <v>505</v>
      </c>
      <c r="Q937" s="770" t="s">
        <v>523</v>
      </c>
      <c r="R937" s="770" t="s">
        <v>497</v>
      </c>
      <c r="S937" s="770">
        <v>2019.0</v>
      </c>
      <c r="T937" s="771">
        <v>0.0</v>
      </c>
      <c r="U937" s="771">
        <v>0.0</v>
      </c>
      <c r="V937" s="772">
        <v>0.0</v>
      </c>
      <c r="AW937" s="714"/>
    </row>
    <row r="938">
      <c r="A938" s="761"/>
      <c r="B938" s="769" t="s">
        <v>493</v>
      </c>
      <c r="C938" s="770" t="s">
        <v>642</v>
      </c>
      <c r="D938" s="770" t="s">
        <v>494</v>
      </c>
      <c r="E938" s="770" t="s">
        <v>508</v>
      </c>
      <c r="F938" s="770" t="s">
        <v>523</v>
      </c>
      <c r="G938" s="770" t="s">
        <v>103</v>
      </c>
      <c r="H938" s="770">
        <v>2019.0</v>
      </c>
      <c r="I938" s="771">
        <v>3960.160848</v>
      </c>
      <c r="J938" s="771">
        <v>6794.599498</v>
      </c>
      <c r="K938" s="772">
        <v>2146.242479</v>
      </c>
      <c r="M938" s="769" t="s">
        <v>493</v>
      </c>
      <c r="N938" s="770" t="s">
        <v>642</v>
      </c>
      <c r="O938" s="770" t="s">
        <v>494</v>
      </c>
      <c r="P938" s="770" t="s">
        <v>508</v>
      </c>
      <c r="Q938" s="770" t="s">
        <v>523</v>
      </c>
      <c r="R938" s="770" t="s">
        <v>497</v>
      </c>
      <c r="S938" s="770">
        <v>2019.0</v>
      </c>
      <c r="T938" s="771">
        <v>67.84867215</v>
      </c>
      <c r="U938" s="771">
        <v>116.4105629</v>
      </c>
      <c r="V938" s="772">
        <v>36.77115851</v>
      </c>
      <c r="AW938" s="714"/>
    </row>
    <row r="939">
      <c r="A939" s="761"/>
      <c r="B939" s="769" t="s">
        <v>493</v>
      </c>
      <c r="C939" s="770" t="s">
        <v>642</v>
      </c>
      <c r="D939" s="770" t="s">
        <v>494</v>
      </c>
      <c r="E939" s="770" t="s">
        <v>512</v>
      </c>
      <c r="F939" s="770" t="s">
        <v>523</v>
      </c>
      <c r="G939" s="770" t="s">
        <v>103</v>
      </c>
      <c r="H939" s="770">
        <v>2019.0</v>
      </c>
      <c r="I939" s="771">
        <v>0.0</v>
      </c>
      <c r="J939" s="771">
        <v>0.0</v>
      </c>
      <c r="K939" s="772">
        <v>0.0</v>
      </c>
      <c r="M939" s="769" t="s">
        <v>493</v>
      </c>
      <c r="N939" s="770" t="s">
        <v>642</v>
      </c>
      <c r="O939" s="770" t="s">
        <v>494</v>
      </c>
      <c r="P939" s="770" t="s">
        <v>512</v>
      </c>
      <c r="Q939" s="770" t="s">
        <v>523</v>
      </c>
      <c r="R939" s="770" t="s">
        <v>497</v>
      </c>
      <c r="S939" s="770">
        <v>2019.0</v>
      </c>
      <c r="T939" s="771">
        <v>0.0</v>
      </c>
      <c r="U939" s="771">
        <v>0.0</v>
      </c>
      <c r="V939" s="772">
        <v>0.0</v>
      </c>
      <c r="AW939" s="714"/>
    </row>
    <row r="940">
      <c r="A940" s="761"/>
      <c r="B940" s="769" t="s">
        <v>493</v>
      </c>
      <c r="C940" s="770" t="s">
        <v>643</v>
      </c>
      <c r="D940" s="770" t="s">
        <v>494</v>
      </c>
      <c r="E940" s="770" t="s">
        <v>495</v>
      </c>
      <c r="F940" s="770" t="s">
        <v>496</v>
      </c>
      <c r="G940" s="770" t="s">
        <v>103</v>
      </c>
      <c r="H940" s="770">
        <v>2019.0</v>
      </c>
      <c r="I940" s="771">
        <v>16275.22211</v>
      </c>
      <c r="J940" s="771">
        <v>21196.21652</v>
      </c>
      <c r="K940" s="772">
        <v>12581.55102</v>
      </c>
      <c r="M940" s="769" t="s">
        <v>493</v>
      </c>
      <c r="N940" s="770" t="s">
        <v>643</v>
      </c>
      <c r="O940" s="770" t="s">
        <v>494</v>
      </c>
      <c r="P940" s="770" t="s">
        <v>495</v>
      </c>
      <c r="Q940" s="770" t="s">
        <v>496</v>
      </c>
      <c r="R940" s="770" t="s">
        <v>497</v>
      </c>
      <c r="S940" s="770">
        <v>2019.0</v>
      </c>
      <c r="T940" s="771">
        <v>986.140095</v>
      </c>
      <c r="U940" s="771">
        <v>1284.31052</v>
      </c>
      <c r="V940" s="772">
        <v>762.3350289</v>
      </c>
      <c r="AW940" s="714"/>
    </row>
    <row r="941">
      <c r="A941" s="761"/>
      <c r="B941" s="769" t="s">
        <v>493</v>
      </c>
      <c r="C941" s="770" t="s">
        <v>643</v>
      </c>
      <c r="D941" s="770" t="s">
        <v>494</v>
      </c>
      <c r="E941" s="770" t="s">
        <v>505</v>
      </c>
      <c r="F941" s="770" t="s">
        <v>496</v>
      </c>
      <c r="G941" s="770" t="s">
        <v>103</v>
      </c>
      <c r="H941" s="770">
        <v>2019.0</v>
      </c>
      <c r="I941" s="771">
        <v>5404.031053</v>
      </c>
      <c r="J941" s="771">
        <v>6644.305158</v>
      </c>
      <c r="K941" s="772">
        <v>4412.750379</v>
      </c>
      <c r="M941" s="769" t="s">
        <v>493</v>
      </c>
      <c r="N941" s="770" t="s">
        <v>643</v>
      </c>
      <c r="O941" s="770" t="s">
        <v>494</v>
      </c>
      <c r="P941" s="770" t="s">
        <v>505</v>
      </c>
      <c r="Q941" s="770" t="s">
        <v>496</v>
      </c>
      <c r="R941" s="770" t="s">
        <v>497</v>
      </c>
      <c r="S941" s="770">
        <v>2019.0</v>
      </c>
      <c r="T941" s="771">
        <v>80559.68077</v>
      </c>
      <c r="U941" s="771">
        <v>99048.85765</v>
      </c>
      <c r="V941" s="772">
        <v>65782.33145</v>
      </c>
      <c r="AW941" s="714"/>
    </row>
    <row r="942">
      <c r="A942" s="761"/>
      <c r="B942" s="769" t="s">
        <v>493</v>
      </c>
      <c r="C942" s="770" t="s">
        <v>643</v>
      </c>
      <c r="D942" s="770" t="s">
        <v>494</v>
      </c>
      <c r="E942" s="770" t="s">
        <v>508</v>
      </c>
      <c r="F942" s="770" t="s">
        <v>496</v>
      </c>
      <c r="G942" s="770" t="s">
        <v>103</v>
      </c>
      <c r="H942" s="770">
        <v>2019.0</v>
      </c>
      <c r="I942" s="771">
        <v>4503.994172</v>
      </c>
      <c r="J942" s="771">
        <v>7131.011524</v>
      </c>
      <c r="K942" s="772">
        <v>2830.059163</v>
      </c>
      <c r="M942" s="769" t="s">
        <v>493</v>
      </c>
      <c r="N942" s="770" t="s">
        <v>643</v>
      </c>
      <c r="O942" s="770" t="s">
        <v>494</v>
      </c>
      <c r="P942" s="770" t="s">
        <v>508</v>
      </c>
      <c r="Q942" s="770" t="s">
        <v>496</v>
      </c>
      <c r="R942" s="770" t="s">
        <v>497</v>
      </c>
      <c r="S942" s="770">
        <v>2019.0</v>
      </c>
      <c r="T942" s="771">
        <v>1440.872139</v>
      </c>
      <c r="U942" s="771">
        <v>2281.280889</v>
      </c>
      <c r="V942" s="772">
        <v>905.363827</v>
      </c>
      <c r="AW942" s="714"/>
    </row>
    <row r="943">
      <c r="A943" s="761"/>
      <c r="B943" s="769" t="s">
        <v>493</v>
      </c>
      <c r="C943" s="770" t="s">
        <v>643</v>
      </c>
      <c r="D943" s="770" t="s">
        <v>494</v>
      </c>
      <c r="E943" s="770" t="s">
        <v>512</v>
      </c>
      <c r="F943" s="770" t="s">
        <v>496</v>
      </c>
      <c r="G943" s="770" t="s">
        <v>103</v>
      </c>
      <c r="H943" s="770">
        <v>2019.0</v>
      </c>
      <c r="I943" s="771">
        <v>1625.233287</v>
      </c>
      <c r="J943" s="771">
        <v>1991.946216</v>
      </c>
      <c r="K943" s="772">
        <v>1332.692925</v>
      </c>
      <c r="M943" s="769" t="s">
        <v>493</v>
      </c>
      <c r="N943" s="770" t="s">
        <v>643</v>
      </c>
      <c r="O943" s="770" t="s">
        <v>494</v>
      </c>
      <c r="P943" s="770" t="s">
        <v>512</v>
      </c>
      <c r="Q943" s="770" t="s">
        <v>496</v>
      </c>
      <c r="R943" s="770" t="s">
        <v>497</v>
      </c>
      <c r="S943" s="770">
        <v>2019.0</v>
      </c>
      <c r="T943" s="771">
        <v>8165.987632</v>
      </c>
      <c r="U943" s="771">
        <v>10008.53741</v>
      </c>
      <c r="V943" s="772">
        <v>6696.118046</v>
      </c>
      <c r="AW943" s="714"/>
    </row>
    <row r="944">
      <c r="A944" s="761"/>
      <c r="B944" s="769" t="s">
        <v>493</v>
      </c>
      <c r="C944" s="770" t="s">
        <v>643</v>
      </c>
      <c r="D944" s="770" t="s">
        <v>494</v>
      </c>
      <c r="E944" s="770" t="s">
        <v>495</v>
      </c>
      <c r="F944" s="770" t="s">
        <v>514</v>
      </c>
      <c r="G944" s="770" t="s">
        <v>103</v>
      </c>
      <c r="H944" s="770">
        <v>2019.0</v>
      </c>
      <c r="I944" s="771">
        <v>13371.06398</v>
      </c>
      <c r="J944" s="771">
        <v>17260.58144</v>
      </c>
      <c r="K944" s="772">
        <v>10362.54885</v>
      </c>
      <c r="M944" s="769" t="s">
        <v>493</v>
      </c>
      <c r="N944" s="770" t="s">
        <v>643</v>
      </c>
      <c r="O944" s="770" t="s">
        <v>494</v>
      </c>
      <c r="P944" s="770" t="s">
        <v>495</v>
      </c>
      <c r="Q944" s="770" t="s">
        <v>514</v>
      </c>
      <c r="R944" s="770" t="s">
        <v>497</v>
      </c>
      <c r="S944" s="770">
        <v>2019.0</v>
      </c>
      <c r="T944" s="771">
        <v>810.1728018</v>
      </c>
      <c r="U944" s="771">
        <v>1045.844493</v>
      </c>
      <c r="V944" s="772">
        <v>627.8823622</v>
      </c>
      <c r="AW944" s="714"/>
    </row>
    <row r="945">
      <c r="A945" s="761"/>
      <c r="B945" s="769" t="s">
        <v>493</v>
      </c>
      <c r="C945" s="770" t="s">
        <v>643</v>
      </c>
      <c r="D945" s="770" t="s">
        <v>494</v>
      </c>
      <c r="E945" s="770" t="s">
        <v>505</v>
      </c>
      <c r="F945" s="770" t="s">
        <v>514</v>
      </c>
      <c r="G945" s="770" t="s">
        <v>103</v>
      </c>
      <c r="H945" s="770">
        <v>2019.0</v>
      </c>
      <c r="I945" s="771">
        <v>4905.291926</v>
      </c>
      <c r="J945" s="771">
        <v>6016.939067</v>
      </c>
      <c r="K945" s="772">
        <v>3996.473978</v>
      </c>
      <c r="M945" s="769" t="s">
        <v>493</v>
      </c>
      <c r="N945" s="770" t="s">
        <v>643</v>
      </c>
      <c r="O945" s="770" t="s">
        <v>494</v>
      </c>
      <c r="P945" s="770" t="s">
        <v>505</v>
      </c>
      <c r="Q945" s="770" t="s">
        <v>514</v>
      </c>
      <c r="R945" s="770" t="s">
        <v>497</v>
      </c>
      <c r="S945" s="770">
        <v>2019.0</v>
      </c>
      <c r="T945" s="771">
        <v>73124.81142</v>
      </c>
      <c r="U945" s="771">
        <v>89696.50354</v>
      </c>
      <c r="V945" s="772">
        <v>59576.76126</v>
      </c>
      <c r="AW945" s="714"/>
    </row>
    <row r="946">
      <c r="A946" s="761"/>
      <c r="B946" s="769" t="s">
        <v>493</v>
      </c>
      <c r="C946" s="770" t="s">
        <v>643</v>
      </c>
      <c r="D946" s="770" t="s">
        <v>494</v>
      </c>
      <c r="E946" s="770" t="s">
        <v>508</v>
      </c>
      <c r="F946" s="770" t="s">
        <v>514</v>
      </c>
      <c r="G946" s="770" t="s">
        <v>103</v>
      </c>
      <c r="H946" s="770">
        <v>2019.0</v>
      </c>
      <c r="I946" s="771">
        <v>3482.565232</v>
      </c>
      <c r="J946" s="771">
        <v>5484.15598</v>
      </c>
      <c r="K946" s="772">
        <v>2123.101917</v>
      </c>
      <c r="M946" s="769" t="s">
        <v>493</v>
      </c>
      <c r="N946" s="770" t="s">
        <v>643</v>
      </c>
      <c r="O946" s="770" t="s">
        <v>494</v>
      </c>
      <c r="P946" s="770" t="s">
        <v>508</v>
      </c>
      <c r="Q946" s="770" t="s">
        <v>514</v>
      </c>
      <c r="R946" s="770" t="s">
        <v>497</v>
      </c>
      <c r="S946" s="770">
        <v>2019.0</v>
      </c>
      <c r="T946" s="771">
        <v>1114.106951</v>
      </c>
      <c r="U946" s="771">
        <v>1754.435565</v>
      </c>
      <c r="V946" s="772">
        <v>679.2012342</v>
      </c>
      <c r="AW946" s="714"/>
    </row>
    <row r="947">
      <c r="A947" s="761"/>
      <c r="B947" s="769" t="s">
        <v>493</v>
      </c>
      <c r="C947" s="770" t="s">
        <v>643</v>
      </c>
      <c r="D947" s="770" t="s">
        <v>494</v>
      </c>
      <c r="E947" s="770" t="s">
        <v>512</v>
      </c>
      <c r="F947" s="770" t="s">
        <v>514</v>
      </c>
      <c r="G947" s="770" t="s">
        <v>103</v>
      </c>
      <c r="H947" s="770">
        <v>2019.0</v>
      </c>
      <c r="I947" s="771">
        <v>1408.746141</v>
      </c>
      <c r="J947" s="771">
        <v>1742.227023</v>
      </c>
      <c r="K947" s="772">
        <v>1139.384565</v>
      </c>
      <c r="M947" s="769" t="s">
        <v>493</v>
      </c>
      <c r="N947" s="770" t="s">
        <v>643</v>
      </c>
      <c r="O947" s="770" t="s">
        <v>494</v>
      </c>
      <c r="P947" s="770" t="s">
        <v>512</v>
      </c>
      <c r="Q947" s="770" t="s">
        <v>514</v>
      </c>
      <c r="R947" s="770" t="s">
        <v>497</v>
      </c>
      <c r="S947" s="770">
        <v>2019.0</v>
      </c>
      <c r="T947" s="771">
        <v>7078.247566</v>
      </c>
      <c r="U947" s="771">
        <v>8753.822873</v>
      </c>
      <c r="V947" s="772">
        <v>5724.839834</v>
      </c>
      <c r="AW947" s="714"/>
    </row>
    <row r="948">
      <c r="A948" s="761"/>
      <c r="B948" s="769" t="s">
        <v>493</v>
      </c>
      <c r="C948" s="770" t="s">
        <v>643</v>
      </c>
      <c r="D948" s="770" t="s">
        <v>494</v>
      </c>
      <c r="E948" s="770" t="s">
        <v>495</v>
      </c>
      <c r="F948" s="770" t="s">
        <v>518</v>
      </c>
      <c r="G948" s="770" t="s">
        <v>103</v>
      </c>
      <c r="H948" s="770">
        <v>2019.0</v>
      </c>
      <c r="I948" s="771">
        <v>1441.749509</v>
      </c>
      <c r="J948" s="771">
        <v>2646.503734</v>
      </c>
      <c r="K948" s="772">
        <v>702.8819724</v>
      </c>
      <c r="M948" s="769" t="s">
        <v>493</v>
      </c>
      <c r="N948" s="770" t="s">
        <v>643</v>
      </c>
      <c r="O948" s="770" t="s">
        <v>494</v>
      </c>
      <c r="P948" s="770" t="s">
        <v>495</v>
      </c>
      <c r="Q948" s="770" t="s">
        <v>518</v>
      </c>
      <c r="R948" s="770" t="s">
        <v>497</v>
      </c>
      <c r="S948" s="770">
        <v>2019.0</v>
      </c>
      <c r="T948" s="771">
        <v>87.35776312</v>
      </c>
      <c r="U948" s="771">
        <v>160.3556268</v>
      </c>
      <c r="V948" s="772">
        <v>42.58867193</v>
      </c>
      <c r="AW948" s="714"/>
    </row>
    <row r="949">
      <c r="A949" s="761"/>
      <c r="B949" s="769" t="s">
        <v>493</v>
      </c>
      <c r="C949" s="770" t="s">
        <v>643</v>
      </c>
      <c r="D949" s="770" t="s">
        <v>494</v>
      </c>
      <c r="E949" s="770" t="s">
        <v>505</v>
      </c>
      <c r="F949" s="770" t="s">
        <v>518</v>
      </c>
      <c r="G949" s="770" t="s">
        <v>103</v>
      </c>
      <c r="H949" s="770">
        <v>2019.0</v>
      </c>
      <c r="I949" s="771">
        <v>23.9914798</v>
      </c>
      <c r="J949" s="771">
        <v>52.15088747</v>
      </c>
      <c r="K949" s="772">
        <v>8.706839656</v>
      </c>
      <c r="M949" s="769" t="s">
        <v>493</v>
      </c>
      <c r="N949" s="770" t="s">
        <v>643</v>
      </c>
      <c r="O949" s="770" t="s">
        <v>494</v>
      </c>
      <c r="P949" s="770" t="s">
        <v>505</v>
      </c>
      <c r="Q949" s="770" t="s">
        <v>518</v>
      </c>
      <c r="R949" s="770" t="s">
        <v>497</v>
      </c>
      <c r="S949" s="770">
        <v>2019.0</v>
      </c>
      <c r="T949" s="771">
        <v>357.6489356</v>
      </c>
      <c r="U949" s="771">
        <v>777.4305524</v>
      </c>
      <c r="V949" s="772">
        <v>129.7957425</v>
      </c>
      <c r="AW949" s="714"/>
    </row>
    <row r="950">
      <c r="A950" s="761"/>
      <c r="B950" s="769" t="s">
        <v>493</v>
      </c>
      <c r="C950" s="770" t="s">
        <v>643</v>
      </c>
      <c r="D950" s="770" t="s">
        <v>494</v>
      </c>
      <c r="E950" s="770" t="s">
        <v>508</v>
      </c>
      <c r="F950" s="770" t="s">
        <v>518</v>
      </c>
      <c r="G950" s="770" t="s">
        <v>103</v>
      </c>
      <c r="H950" s="770">
        <v>2019.0</v>
      </c>
      <c r="I950" s="771">
        <v>682.5205641</v>
      </c>
      <c r="J950" s="771">
        <v>1404.748575</v>
      </c>
      <c r="K950" s="772">
        <v>252.1877789</v>
      </c>
      <c r="M950" s="769" t="s">
        <v>493</v>
      </c>
      <c r="N950" s="770" t="s">
        <v>643</v>
      </c>
      <c r="O950" s="770" t="s">
        <v>494</v>
      </c>
      <c r="P950" s="770" t="s">
        <v>508</v>
      </c>
      <c r="Q950" s="770" t="s">
        <v>518</v>
      </c>
      <c r="R950" s="770" t="s">
        <v>497</v>
      </c>
      <c r="S950" s="770">
        <v>2019.0</v>
      </c>
      <c r="T950" s="771">
        <v>218.3450573</v>
      </c>
      <c r="U950" s="771">
        <v>449.3929181</v>
      </c>
      <c r="V950" s="772">
        <v>80.67735673</v>
      </c>
      <c r="AW950" s="714"/>
    </row>
    <row r="951">
      <c r="A951" s="761"/>
      <c r="B951" s="769" t="s">
        <v>493</v>
      </c>
      <c r="C951" s="770" t="s">
        <v>643</v>
      </c>
      <c r="D951" s="770" t="s">
        <v>494</v>
      </c>
      <c r="E951" s="770" t="s">
        <v>512</v>
      </c>
      <c r="F951" s="770" t="s">
        <v>518</v>
      </c>
      <c r="G951" s="770" t="s">
        <v>103</v>
      </c>
      <c r="H951" s="770">
        <v>2019.0</v>
      </c>
      <c r="I951" s="771">
        <v>66.35675258</v>
      </c>
      <c r="J951" s="771">
        <v>130.8083695</v>
      </c>
      <c r="K951" s="772">
        <v>25.85232414</v>
      </c>
      <c r="M951" s="769" t="s">
        <v>493</v>
      </c>
      <c r="N951" s="770" t="s">
        <v>643</v>
      </c>
      <c r="O951" s="770" t="s">
        <v>494</v>
      </c>
      <c r="P951" s="770" t="s">
        <v>512</v>
      </c>
      <c r="Q951" s="770" t="s">
        <v>518</v>
      </c>
      <c r="R951" s="770" t="s">
        <v>497</v>
      </c>
      <c r="S951" s="770">
        <v>2019.0</v>
      </c>
      <c r="T951" s="771">
        <v>333.409625</v>
      </c>
      <c r="U951" s="771">
        <v>657.2468923</v>
      </c>
      <c r="V951" s="772">
        <v>129.89505</v>
      </c>
      <c r="AW951" s="714"/>
    </row>
    <row r="952">
      <c r="A952" s="761"/>
      <c r="B952" s="769" t="s">
        <v>493</v>
      </c>
      <c r="C952" s="770" t="s">
        <v>643</v>
      </c>
      <c r="D952" s="770" t="s">
        <v>494</v>
      </c>
      <c r="E952" s="770" t="s">
        <v>495</v>
      </c>
      <c r="F952" s="770" t="s">
        <v>519</v>
      </c>
      <c r="G952" s="770" t="s">
        <v>103</v>
      </c>
      <c r="H952" s="770">
        <v>2019.0</v>
      </c>
      <c r="I952" s="771">
        <v>5635.290222</v>
      </c>
      <c r="J952" s="771">
        <v>6960.030702</v>
      </c>
      <c r="K952" s="772">
        <v>4555.497545</v>
      </c>
      <c r="M952" s="769" t="s">
        <v>493</v>
      </c>
      <c r="N952" s="770" t="s">
        <v>643</v>
      </c>
      <c r="O952" s="770" t="s">
        <v>494</v>
      </c>
      <c r="P952" s="770" t="s">
        <v>495</v>
      </c>
      <c r="Q952" s="770" t="s">
        <v>519</v>
      </c>
      <c r="R952" s="770" t="s">
        <v>497</v>
      </c>
      <c r="S952" s="770">
        <v>2019.0</v>
      </c>
      <c r="T952" s="771">
        <v>341.4506786</v>
      </c>
      <c r="U952" s="771">
        <v>421.7186894</v>
      </c>
      <c r="V952" s="772">
        <v>276.0244223</v>
      </c>
      <c r="AW952" s="714"/>
    </row>
    <row r="953">
      <c r="A953" s="761"/>
      <c r="B953" s="769" t="s">
        <v>493</v>
      </c>
      <c r="C953" s="770" t="s">
        <v>643</v>
      </c>
      <c r="D953" s="770" t="s">
        <v>494</v>
      </c>
      <c r="E953" s="770" t="s">
        <v>505</v>
      </c>
      <c r="F953" s="770" t="s">
        <v>519</v>
      </c>
      <c r="G953" s="770" t="s">
        <v>103</v>
      </c>
      <c r="H953" s="770">
        <v>2019.0</v>
      </c>
      <c r="I953" s="771">
        <v>4459.035212</v>
      </c>
      <c r="J953" s="771">
        <v>5477.331174</v>
      </c>
      <c r="K953" s="772">
        <v>3601.149866</v>
      </c>
      <c r="M953" s="769" t="s">
        <v>493</v>
      </c>
      <c r="N953" s="770" t="s">
        <v>643</v>
      </c>
      <c r="O953" s="770" t="s">
        <v>494</v>
      </c>
      <c r="P953" s="770" t="s">
        <v>505</v>
      </c>
      <c r="Q953" s="770" t="s">
        <v>519</v>
      </c>
      <c r="R953" s="770" t="s">
        <v>497</v>
      </c>
      <c r="S953" s="770">
        <v>2019.0</v>
      </c>
      <c r="T953" s="771">
        <v>66472.31479</v>
      </c>
      <c r="U953" s="771">
        <v>81652.38996</v>
      </c>
      <c r="V953" s="772">
        <v>53683.53378</v>
      </c>
      <c r="AW953" s="714"/>
    </row>
    <row r="954">
      <c r="A954" s="761"/>
      <c r="B954" s="769" t="s">
        <v>493</v>
      </c>
      <c r="C954" s="770" t="s">
        <v>643</v>
      </c>
      <c r="D954" s="770" t="s">
        <v>494</v>
      </c>
      <c r="E954" s="770" t="s">
        <v>508</v>
      </c>
      <c r="F954" s="770" t="s">
        <v>519</v>
      </c>
      <c r="G954" s="770" t="s">
        <v>103</v>
      </c>
      <c r="H954" s="770">
        <v>2019.0</v>
      </c>
      <c r="I954" s="771">
        <v>237.6863061</v>
      </c>
      <c r="J954" s="771">
        <v>434.0670289</v>
      </c>
      <c r="K954" s="772">
        <v>117.6535691</v>
      </c>
      <c r="M954" s="769" t="s">
        <v>493</v>
      </c>
      <c r="N954" s="770" t="s">
        <v>643</v>
      </c>
      <c r="O954" s="770" t="s">
        <v>494</v>
      </c>
      <c r="P954" s="770" t="s">
        <v>508</v>
      </c>
      <c r="Q954" s="770" t="s">
        <v>519</v>
      </c>
      <c r="R954" s="770" t="s">
        <v>497</v>
      </c>
      <c r="S954" s="770">
        <v>2019.0</v>
      </c>
      <c r="T954" s="771">
        <v>76.0381926</v>
      </c>
      <c r="U954" s="771">
        <v>138.8623219</v>
      </c>
      <c r="V954" s="772">
        <v>37.63853668</v>
      </c>
      <c r="AW954" s="714"/>
    </row>
    <row r="955">
      <c r="A955" s="761"/>
      <c r="B955" s="769" t="s">
        <v>493</v>
      </c>
      <c r="C955" s="770" t="s">
        <v>643</v>
      </c>
      <c r="D955" s="770" t="s">
        <v>494</v>
      </c>
      <c r="E955" s="770" t="s">
        <v>512</v>
      </c>
      <c r="F955" s="770" t="s">
        <v>519</v>
      </c>
      <c r="G955" s="770" t="s">
        <v>103</v>
      </c>
      <c r="H955" s="770">
        <v>2019.0</v>
      </c>
      <c r="I955" s="771">
        <v>914.6040391</v>
      </c>
      <c r="J955" s="771">
        <v>1164.023997</v>
      </c>
      <c r="K955" s="772">
        <v>712.4991929</v>
      </c>
      <c r="M955" s="769" t="s">
        <v>493</v>
      </c>
      <c r="N955" s="770" t="s">
        <v>643</v>
      </c>
      <c r="O955" s="770" t="s">
        <v>494</v>
      </c>
      <c r="P955" s="770" t="s">
        <v>512</v>
      </c>
      <c r="Q955" s="770" t="s">
        <v>519</v>
      </c>
      <c r="R955" s="770" t="s">
        <v>497</v>
      </c>
      <c r="S955" s="770">
        <v>2019.0</v>
      </c>
      <c r="T955" s="771">
        <v>4595.429671</v>
      </c>
      <c r="U955" s="771">
        <v>5848.640706</v>
      </c>
      <c r="V955" s="772">
        <v>3579.953501</v>
      </c>
      <c r="AW955" s="714"/>
    </row>
    <row r="956">
      <c r="A956" s="761"/>
      <c r="B956" s="769" t="s">
        <v>493</v>
      </c>
      <c r="C956" s="770" t="s">
        <v>643</v>
      </c>
      <c r="D956" s="770" t="s">
        <v>494</v>
      </c>
      <c r="E956" s="770" t="s">
        <v>495</v>
      </c>
      <c r="F956" s="770" t="s">
        <v>521</v>
      </c>
      <c r="G956" s="770" t="s">
        <v>103</v>
      </c>
      <c r="H956" s="770">
        <v>2019.0</v>
      </c>
      <c r="I956" s="771">
        <v>182.8273569</v>
      </c>
      <c r="J956" s="771">
        <v>415.9872683</v>
      </c>
      <c r="K956" s="772">
        <v>55.07646258</v>
      </c>
      <c r="M956" s="769" t="s">
        <v>493</v>
      </c>
      <c r="N956" s="770" t="s">
        <v>643</v>
      </c>
      <c r="O956" s="770" t="s">
        <v>494</v>
      </c>
      <c r="P956" s="770" t="s">
        <v>495</v>
      </c>
      <c r="Q956" s="770" t="s">
        <v>521</v>
      </c>
      <c r="R956" s="770" t="s">
        <v>497</v>
      </c>
      <c r="S956" s="770">
        <v>2019.0</v>
      </c>
      <c r="T956" s="771">
        <v>11.07778351</v>
      </c>
      <c r="U956" s="771">
        <v>25.20529192</v>
      </c>
      <c r="V956" s="772">
        <v>3.337165396</v>
      </c>
      <c r="AW956" s="714"/>
    </row>
    <row r="957">
      <c r="A957" s="761"/>
      <c r="B957" s="769" t="s">
        <v>493</v>
      </c>
      <c r="C957" s="770" t="s">
        <v>643</v>
      </c>
      <c r="D957" s="770" t="s">
        <v>494</v>
      </c>
      <c r="E957" s="770" t="s">
        <v>505</v>
      </c>
      <c r="F957" s="770" t="s">
        <v>521</v>
      </c>
      <c r="G957" s="770" t="s">
        <v>103</v>
      </c>
      <c r="H957" s="770">
        <v>2019.0</v>
      </c>
      <c r="I957" s="771">
        <v>0.0</v>
      </c>
      <c r="J957" s="771">
        <v>0.0</v>
      </c>
      <c r="K957" s="772">
        <v>0.0</v>
      </c>
      <c r="M957" s="769" t="s">
        <v>493</v>
      </c>
      <c r="N957" s="770" t="s">
        <v>643</v>
      </c>
      <c r="O957" s="770" t="s">
        <v>494</v>
      </c>
      <c r="P957" s="770" t="s">
        <v>505</v>
      </c>
      <c r="Q957" s="770" t="s">
        <v>521</v>
      </c>
      <c r="R957" s="770" t="s">
        <v>497</v>
      </c>
      <c r="S957" s="770">
        <v>2019.0</v>
      </c>
      <c r="T957" s="771">
        <v>0.0</v>
      </c>
      <c r="U957" s="771">
        <v>0.0</v>
      </c>
      <c r="V957" s="772">
        <v>0.0</v>
      </c>
      <c r="AW957" s="714"/>
    </row>
    <row r="958">
      <c r="A958" s="761"/>
      <c r="B958" s="769" t="s">
        <v>493</v>
      </c>
      <c r="C958" s="770" t="s">
        <v>643</v>
      </c>
      <c r="D958" s="770" t="s">
        <v>494</v>
      </c>
      <c r="E958" s="770" t="s">
        <v>508</v>
      </c>
      <c r="F958" s="770" t="s">
        <v>521</v>
      </c>
      <c r="G958" s="770" t="s">
        <v>103</v>
      </c>
      <c r="H958" s="770">
        <v>2019.0</v>
      </c>
      <c r="I958" s="771">
        <v>46.63805384</v>
      </c>
      <c r="J958" s="771">
        <v>111.6482191</v>
      </c>
      <c r="K958" s="772">
        <v>12.97638737</v>
      </c>
      <c r="M958" s="769" t="s">
        <v>493</v>
      </c>
      <c r="N958" s="770" t="s">
        <v>643</v>
      </c>
      <c r="O958" s="770" t="s">
        <v>494</v>
      </c>
      <c r="P958" s="770" t="s">
        <v>508</v>
      </c>
      <c r="Q958" s="770" t="s">
        <v>521</v>
      </c>
      <c r="R958" s="770" t="s">
        <v>497</v>
      </c>
      <c r="S958" s="770">
        <v>2019.0</v>
      </c>
      <c r="T958" s="771">
        <v>14.91997321</v>
      </c>
      <c r="U958" s="771">
        <v>35.71736602</v>
      </c>
      <c r="V958" s="772">
        <v>4.151274252</v>
      </c>
      <c r="AW958" s="714"/>
    </row>
    <row r="959">
      <c r="A959" s="761"/>
      <c r="B959" s="769" t="s">
        <v>493</v>
      </c>
      <c r="C959" s="770" t="s">
        <v>643</v>
      </c>
      <c r="D959" s="770" t="s">
        <v>494</v>
      </c>
      <c r="E959" s="770" t="s">
        <v>512</v>
      </c>
      <c r="F959" s="770" t="s">
        <v>521</v>
      </c>
      <c r="G959" s="770" t="s">
        <v>103</v>
      </c>
      <c r="H959" s="770">
        <v>2019.0</v>
      </c>
      <c r="I959" s="771">
        <v>0.0</v>
      </c>
      <c r="J959" s="771">
        <v>0.0</v>
      </c>
      <c r="K959" s="772">
        <v>0.0</v>
      </c>
      <c r="M959" s="769" t="s">
        <v>493</v>
      </c>
      <c r="N959" s="770" t="s">
        <v>643</v>
      </c>
      <c r="O959" s="770" t="s">
        <v>494</v>
      </c>
      <c r="P959" s="770" t="s">
        <v>512</v>
      </c>
      <c r="Q959" s="770" t="s">
        <v>521</v>
      </c>
      <c r="R959" s="770" t="s">
        <v>497</v>
      </c>
      <c r="S959" s="770">
        <v>2019.0</v>
      </c>
      <c r="T959" s="771">
        <v>0.0</v>
      </c>
      <c r="U959" s="771">
        <v>0.0</v>
      </c>
      <c r="V959" s="772">
        <v>0.0</v>
      </c>
      <c r="AW959" s="714"/>
    </row>
    <row r="960">
      <c r="A960" s="761"/>
      <c r="B960" s="769" t="s">
        <v>493</v>
      </c>
      <c r="C960" s="770" t="s">
        <v>643</v>
      </c>
      <c r="D960" s="770" t="s">
        <v>494</v>
      </c>
      <c r="E960" s="770" t="s">
        <v>495</v>
      </c>
      <c r="F960" s="770" t="s">
        <v>523</v>
      </c>
      <c r="G960" s="770" t="s">
        <v>103</v>
      </c>
      <c r="H960" s="770">
        <v>2019.0</v>
      </c>
      <c r="I960" s="771">
        <v>599.9302855</v>
      </c>
      <c r="J960" s="771">
        <v>1005.109601</v>
      </c>
      <c r="K960" s="772">
        <v>307.9713385</v>
      </c>
      <c r="M960" s="769" t="s">
        <v>493</v>
      </c>
      <c r="N960" s="770" t="s">
        <v>643</v>
      </c>
      <c r="O960" s="770" t="s">
        <v>494</v>
      </c>
      <c r="P960" s="770" t="s">
        <v>495</v>
      </c>
      <c r="Q960" s="770" t="s">
        <v>523</v>
      </c>
      <c r="R960" s="770" t="s">
        <v>497</v>
      </c>
      <c r="S960" s="770">
        <v>2019.0</v>
      </c>
      <c r="T960" s="771">
        <v>36.35067495</v>
      </c>
      <c r="U960" s="771">
        <v>60.90109683</v>
      </c>
      <c r="V960" s="772">
        <v>18.66044488</v>
      </c>
      <c r="AW960" s="714"/>
    </row>
    <row r="961">
      <c r="A961" s="761"/>
      <c r="B961" s="769" t="s">
        <v>493</v>
      </c>
      <c r="C961" s="770" t="s">
        <v>643</v>
      </c>
      <c r="D961" s="770" t="s">
        <v>494</v>
      </c>
      <c r="E961" s="770" t="s">
        <v>505</v>
      </c>
      <c r="F961" s="770" t="s">
        <v>523</v>
      </c>
      <c r="G961" s="770" t="s">
        <v>103</v>
      </c>
      <c r="H961" s="770">
        <v>2019.0</v>
      </c>
      <c r="I961" s="771">
        <v>0.0</v>
      </c>
      <c r="J961" s="771">
        <v>0.0</v>
      </c>
      <c r="K961" s="772">
        <v>0.0</v>
      </c>
      <c r="M961" s="769" t="s">
        <v>493</v>
      </c>
      <c r="N961" s="770" t="s">
        <v>643</v>
      </c>
      <c r="O961" s="770" t="s">
        <v>494</v>
      </c>
      <c r="P961" s="770" t="s">
        <v>505</v>
      </c>
      <c r="Q961" s="770" t="s">
        <v>523</v>
      </c>
      <c r="R961" s="770" t="s">
        <v>497</v>
      </c>
      <c r="S961" s="770">
        <v>2019.0</v>
      </c>
      <c r="T961" s="771">
        <v>0.0</v>
      </c>
      <c r="U961" s="771">
        <v>0.0</v>
      </c>
      <c r="V961" s="772">
        <v>0.0</v>
      </c>
      <c r="AW961" s="714"/>
    </row>
    <row r="962">
      <c r="A962" s="761"/>
      <c r="B962" s="769" t="s">
        <v>493</v>
      </c>
      <c r="C962" s="770" t="s">
        <v>643</v>
      </c>
      <c r="D962" s="770" t="s">
        <v>494</v>
      </c>
      <c r="E962" s="770" t="s">
        <v>508</v>
      </c>
      <c r="F962" s="770" t="s">
        <v>523</v>
      </c>
      <c r="G962" s="770" t="s">
        <v>103</v>
      </c>
      <c r="H962" s="770">
        <v>2019.0</v>
      </c>
      <c r="I962" s="771">
        <v>251.2725852</v>
      </c>
      <c r="J962" s="771">
        <v>465.1022269</v>
      </c>
      <c r="K962" s="772">
        <v>109.1807361</v>
      </c>
      <c r="M962" s="769" t="s">
        <v>493</v>
      </c>
      <c r="N962" s="770" t="s">
        <v>643</v>
      </c>
      <c r="O962" s="770" t="s">
        <v>494</v>
      </c>
      <c r="P962" s="770" t="s">
        <v>508</v>
      </c>
      <c r="Q962" s="770" t="s">
        <v>523</v>
      </c>
      <c r="R962" s="770" t="s">
        <v>497</v>
      </c>
      <c r="S962" s="770">
        <v>2019.0</v>
      </c>
      <c r="T962" s="771">
        <v>80.38457723</v>
      </c>
      <c r="U962" s="771">
        <v>148.7907877</v>
      </c>
      <c r="V962" s="772">
        <v>34.92799387</v>
      </c>
      <c r="AW962" s="714"/>
    </row>
    <row r="963">
      <c r="A963" s="761"/>
      <c r="B963" s="769" t="s">
        <v>493</v>
      </c>
      <c r="C963" s="770" t="s">
        <v>643</v>
      </c>
      <c r="D963" s="770" t="s">
        <v>494</v>
      </c>
      <c r="E963" s="770" t="s">
        <v>512</v>
      </c>
      <c r="F963" s="770" t="s">
        <v>523</v>
      </c>
      <c r="G963" s="770" t="s">
        <v>103</v>
      </c>
      <c r="H963" s="770">
        <v>2019.0</v>
      </c>
      <c r="I963" s="771">
        <v>0.0</v>
      </c>
      <c r="J963" s="771">
        <v>0.0</v>
      </c>
      <c r="K963" s="772">
        <v>0.0</v>
      </c>
      <c r="M963" s="769" t="s">
        <v>493</v>
      </c>
      <c r="N963" s="770" t="s">
        <v>643</v>
      </c>
      <c r="O963" s="770" t="s">
        <v>494</v>
      </c>
      <c r="P963" s="770" t="s">
        <v>512</v>
      </c>
      <c r="Q963" s="770" t="s">
        <v>523</v>
      </c>
      <c r="R963" s="770" t="s">
        <v>497</v>
      </c>
      <c r="S963" s="770">
        <v>2019.0</v>
      </c>
      <c r="T963" s="771">
        <v>0.0</v>
      </c>
      <c r="U963" s="771">
        <v>0.0</v>
      </c>
      <c r="V963" s="772">
        <v>0.0</v>
      </c>
      <c r="AW963" s="714"/>
    </row>
    <row r="964">
      <c r="A964" s="761"/>
      <c r="B964" s="769" t="s">
        <v>493</v>
      </c>
      <c r="C964" s="770" t="s">
        <v>644</v>
      </c>
      <c r="D964" s="770" t="s">
        <v>494</v>
      </c>
      <c r="E964" s="770" t="s">
        <v>495</v>
      </c>
      <c r="F964" s="770" t="s">
        <v>496</v>
      </c>
      <c r="G964" s="770" t="s">
        <v>103</v>
      </c>
      <c r="H964" s="770">
        <v>2019.0</v>
      </c>
      <c r="I964" s="771">
        <v>119.3283585</v>
      </c>
      <c r="J964" s="771">
        <v>160.8430951</v>
      </c>
      <c r="K964" s="772">
        <v>86.95356692</v>
      </c>
      <c r="M964" s="769" t="s">
        <v>493</v>
      </c>
      <c r="N964" s="770" t="s">
        <v>644</v>
      </c>
      <c r="O964" s="770" t="s">
        <v>494</v>
      </c>
      <c r="P964" s="770" t="s">
        <v>495</v>
      </c>
      <c r="Q964" s="770" t="s">
        <v>496</v>
      </c>
      <c r="R964" s="770" t="s">
        <v>497</v>
      </c>
      <c r="S964" s="770">
        <v>2019.0</v>
      </c>
      <c r="T964" s="771">
        <v>511.6433452</v>
      </c>
      <c r="U964" s="771">
        <v>689.6457832</v>
      </c>
      <c r="V964" s="772">
        <v>372.830184</v>
      </c>
      <c r="AW964" s="714"/>
    </row>
    <row r="965">
      <c r="A965" s="761"/>
      <c r="B965" s="769" t="s">
        <v>493</v>
      </c>
      <c r="C965" s="770" t="s">
        <v>644</v>
      </c>
      <c r="D965" s="770" t="s">
        <v>494</v>
      </c>
      <c r="E965" s="770" t="s">
        <v>505</v>
      </c>
      <c r="F965" s="770" t="s">
        <v>496</v>
      </c>
      <c r="G965" s="770" t="s">
        <v>103</v>
      </c>
      <c r="H965" s="770">
        <v>2019.0</v>
      </c>
      <c r="I965" s="771">
        <v>42.26598525</v>
      </c>
      <c r="J965" s="771">
        <v>57.61673455</v>
      </c>
      <c r="K965" s="772">
        <v>30.49277054</v>
      </c>
      <c r="M965" s="769" t="s">
        <v>493</v>
      </c>
      <c r="N965" s="770" t="s">
        <v>644</v>
      </c>
      <c r="O965" s="770" t="s">
        <v>494</v>
      </c>
      <c r="P965" s="770" t="s">
        <v>505</v>
      </c>
      <c r="Q965" s="770" t="s">
        <v>496</v>
      </c>
      <c r="R965" s="770" t="s">
        <v>497</v>
      </c>
      <c r="S965" s="770">
        <v>2019.0</v>
      </c>
      <c r="T965" s="771">
        <v>47391.18174</v>
      </c>
      <c r="U965" s="771">
        <v>64603.3713</v>
      </c>
      <c r="V965" s="772">
        <v>34190.34057</v>
      </c>
      <c r="AW965" s="714"/>
    </row>
    <row r="966">
      <c r="A966" s="761"/>
      <c r="B966" s="769" t="s">
        <v>493</v>
      </c>
      <c r="C966" s="770" t="s">
        <v>644</v>
      </c>
      <c r="D966" s="770" t="s">
        <v>494</v>
      </c>
      <c r="E966" s="770" t="s">
        <v>508</v>
      </c>
      <c r="F966" s="770" t="s">
        <v>496</v>
      </c>
      <c r="G966" s="770" t="s">
        <v>103</v>
      </c>
      <c r="H966" s="770">
        <v>2019.0</v>
      </c>
      <c r="I966" s="771">
        <v>38.40265064</v>
      </c>
      <c r="J966" s="771">
        <v>51.70297129</v>
      </c>
      <c r="K966" s="772">
        <v>27.9328025</v>
      </c>
      <c r="M966" s="769" t="s">
        <v>493</v>
      </c>
      <c r="N966" s="770" t="s">
        <v>644</v>
      </c>
      <c r="O966" s="770" t="s">
        <v>494</v>
      </c>
      <c r="P966" s="770" t="s">
        <v>508</v>
      </c>
      <c r="Q966" s="770" t="s">
        <v>496</v>
      </c>
      <c r="R966" s="770" t="s">
        <v>497</v>
      </c>
      <c r="S966" s="770">
        <v>2019.0</v>
      </c>
      <c r="T966" s="771">
        <v>910.6600802</v>
      </c>
      <c r="U966" s="771">
        <v>1226.056827</v>
      </c>
      <c r="V966" s="772">
        <v>662.3836569</v>
      </c>
      <c r="AW966" s="714"/>
    </row>
    <row r="967">
      <c r="A967" s="761"/>
      <c r="B967" s="769" t="s">
        <v>493</v>
      </c>
      <c r="C967" s="770" t="s">
        <v>644</v>
      </c>
      <c r="D967" s="770" t="s">
        <v>494</v>
      </c>
      <c r="E967" s="770" t="s">
        <v>512</v>
      </c>
      <c r="F967" s="770" t="s">
        <v>496</v>
      </c>
      <c r="G967" s="770" t="s">
        <v>103</v>
      </c>
      <c r="H967" s="770">
        <v>2019.0</v>
      </c>
      <c r="I967" s="771">
        <v>14.49305821</v>
      </c>
      <c r="J967" s="771">
        <v>19.77275611</v>
      </c>
      <c r="K967" s="772">
        <v>10.44671239</v>
      </c>
      <c r="M967" s="769" t="s">
        <v>493</v>
      </c>
      <c r="N967" s="770" t="s">
        <v>644</v>
      </c>
      <c r="O967" s="770" t="s">
        <v>494</v>
      </c>
      <c r="P967" s="770" t="s">
        <v>512</v>
      </c>
      <c r="Q967" s="770" t="s">
        <v>496</v>
      </c>
      <c r="R967" s="770" t="s">
        <v>497</v>
      </c>
      <c r="S967" s="770">
        <v>2019.0</v>
      </c>
      <c r="T967" s="771">
        <v>5452.506116</v>
      </c>
      <c r="U967" s="771">
        <v>7438.807745</v>
      </c>
      <c r="V967" s="772">
        <v>3930.210061</v>
      </c>
      <c r="AW967" s="714"/>
    </row>
    <row r="968">
      <c r="A968" s="761"/>
      <c r="B968" s="769" t="s">
        <v>493</v>
      </c>
      <c r="C968" s="770" t="s">
        <v>644</v>
      </c>
      <c r="D968" s="770" t="s">
        <v>494</v>
      </c>
      <c r="E968" s="770" t="s">
        <v>495</v>
      </c>
      <c r="F968" s="770" t="s">
        <v>514</v>
      </c>
      <c r="G968" s="770" t="s">
        <v>103</v>
      </c>
      <c r="H968" s="770">
        <v>2019.0</v>
      </c>
      <c r="I968" s="771">
        <v>87.68131567</v>
      </c>
      <c r="J968" s="771">
        <v>118.6989268</v>
      </c>
      <c r="K968" s="772">
        <v>61.99462397</v>
      </c>
      <c r="M968" s="769" t="s">
        <v>493</v>
      </c>
      <c r="N968" s="770" t="s">
        <v>644</v>
      </c>
      <c r="O968" s="770" t="s">
        <v>494</v>
      </c>
      <c r="P968" s="770" t="s">
        <v>495</v>
      </c>
      <c r="Q968" s="770" t="s">
        <v>514</v>
      </c>
      <c r="R968" s="770" t="s">
        <v>497</v>
      </c>
      <c r="S968" s="770">
        <v>2019.0</v>
      </c>
      <c r="T968" s="771">
        <v>375.9505471</v>
      </c>
      <c r="U968" s="771">
        <v>508.9445356</v>
      </c>
      <c r="V968" s="772">
        <v>265.8139037</v>
      </c>
      <c r="AW968" s="714"/>
    </row>
    <row r="969">
      <c r="A969" s="761"/>
      <c r="B969" s="769" t="s">
        <v>493</v>
      </c>
      <c r="C969" s="770" t="s">
        <v>644</v>
      </c>
      <c r="D969" s="770" t="s">
        <v>494</v>
      </c>
      <c r="E969" s="770" t="s">
        <v>505</v>
      </c>
      <c r="F969" s="770" t="s">
        <v>514</v>
      </c>
      <c r="G969" s="770" t="s">
        <v>103</v>
      </c>
      <c r="H969" s="770">
        <v>2019.0</v>
      </c>
      <c r="I969" s="771">
        <v>36.82113519</v>
      </c>
      <c r="J969" s="771">
        <v>50.39143688</v>
      </c>
      <c r="K969" s="772">
        <v>26.26175101</v>
      </c>
      <c r="M969" s="769" t="s">
        <v>493</v>
      </c>
      <c r="N969" s="770" t="s">
        <v>644</v>
      </c>
      <c r="O969" s="770" t="s">
        <v>494</v>
      </c>
      <c r="P969" s="770" t="s">
        <v>505</v>
      </c>
      <c r="Q969" s="770" t="s">
        <v>514</v>
      </c>
      <c r="R969" s="770" t="s">
        <v>497</v>
      </c>
      <c r="S969" s="770">
        <v>2019.0</v>
      </c>
      <c r="T969" s="771">
        <v>41286.08619</v>
      </c>
      <c r="U969" s="771">
        <v>56501.93008</v>
      </c>
      <c r="V969" s="772">
        <v>29446.2653</v>
      </c>
      <c r="AW969" s="714"/>
    </row>
    <row r="970">
      <c r="A970" s="761"/>
      <c r="B970" s="769" t="s">
        <v>493</v>
      </c>
      <c r="C970" s="770" t="s">
        <v>644</v>
      </c>
      <c r="D970" s="770" t="s">
        <v>494</v>
      </c>
      <c r="E970" s="770" t="s">
        <v>508</v>
      </c>
      <c r="F970" s="770" t="s">
        <v>514</v>
      </c>
      <c r="G970" s="770" t="s">
        <v>103</v>
      </c>
      <c r="H970" s="770">
        <v>2019.0</v>
      </c>
      <c r="I970" s="771">
        <v>25.00178947</v>
      </c>
      <c r="J970" s="771">
        <v>34.55503712</v>
      </c>
      <c r="K970" s="772">
        <v>17.26583241</v>
      </c>
      <c r="M970" s="769" t="s">
        <v>493</v>
      </c>
      <c r="N970" s="770" t="s">
        <v>644</v>
      </c>
      <c r="O970" s="770" t="s">
        <v>494</v>
      </c>
      <c r="P970" s="770" t="s">
        <v>508</v>
      </c>
      <c r="Q970" s="770" t="s">
        <v>514</v>
      </c>
      <c r="R970" s="770" t="s">
        <v>497</v>
      </c>
      <c r="S970" s="770">
        <v>2019.0</v>
      </c>
      <c r="T970" s="771">
        <v>592.8791693</v>
      </c>
      <c r="U970" s="771">
        <v>819.4198148</v>
      </c>
      <c r="V970" s="772">
        <v>409.4327882</v>
      </c>
      <c r="AW970" s="714"/>
    </row>
    <row r="971">
      <c r="A971" s="761"/>
      <c r="B971" s="769" t="s">
        <v>493</v>
      </c>
      <c r="C971" s="770" t="s">
        <v>644</v>
      </c>
      <c r="D971" s="770" t="s">
        <v>494</v>
      </c>
      <c r="E971" s="770" t="s">
        <v>512</v>
      </c>
      <c r="F971" s="770" t="s">
        <v>514</v>
      </c>
      <c r="G971" s="770" t="s">
        <v>103</v>
      </c>
      <c r="H971" s="770">
        <v>2019.0</v>
      </c>
      <c r="I971" s="771">
        <v>11.20685511</v>
      </c>
      <c r="J971" s="771">
        <v>15.25418721</v>
      </c>
      <c r="K971" s="772">
        <v>7.812435492</v>
      </c>
      <c r="M971" s="769" t="s">
        <v>493</v>
      </c>
      <c r="N971" s="770" t="s">
        <v>644</v>
      </c>
      <c r="O971" s="770" t="s">
        <v>494</v>
      </c>
      <c r="P971" s="770" t="s">
        <v>512</v>
      </c>
      <c r="Q971" s="770" t="s">
        <v>514</v>
      </c>
      <c r="R971" s="770" t="s">
        <v>497</v>
      </c>
      <c r="S971" s="770">
        <v>2019.0</v>
      </c>
      <c r="T971" s="771">
        <v>4216.187168</v>
      </c>
      <c r="U971" s="771">
        <v>5738.854277</v>
      </c>
      <c r="V971" s="772">
        <v>2939.155539</v>
      </c>
      <c r="AW971" s="714"/>
    </row>
    <row r="972">
      <c r="A972" s="761"/>
      <c r="B972" s="769" t="s">
        <v>493</v>
      </c>
      <c r="C972" s="770" t="s">
        <v>644</v>
      </c>
      <c r="D972" s="770" t="s">
        <v>494</v>
      </c>
      <c r="E972" s="770" t="s">
        <v>495</v>
      </c>
      <c r="F972" s="770" t="s">
        <v>518</v>
      </c>
      <c r="G972" s="770" t="s">
        <v>103</v>
      </c>
      <c r="H972" s="770">
        <v>2019.0</v>
      </c>
      <c r="I972" s="771">
        <v>2.977198381</v>
      </c>
      <c r="J972" s="771">
        <v>5.575790832</v>
      </c>
      <c r="K972" s="772">
        <v>1.381230663</v>
      </c>
      <c r="M972" s="769" t="s">
        <v>493</v>
      </c>
      <c r="N972" s="770" t="s">
        <v>644</v>
      </c>
      <c r="O972" s="770" t="s">
        <v>494</v>
      </c>
      <c r="P972" s="770" t="s">
        <v>495</v>
      </c>
      <c r="Q972" s="770" t="s">
        <v>518</v>
      </c>
      <c r="R972" s="770" t="s">
        <v>497</v>
      </c>
      <c r="S972" s="770">
        <v>2019.0</v>
      </c>
      <c r="T972" s="771">
        <v>12.76531211</v>
      </c>
      <c r="U972" s="771">
        <v>23.90727828</v>
      </c>
      <c r="V972" s="772">
        <v>5.92229279</v>
      </c>
      <c r="AW972" s="714"/>
    </row>
    <row r="973">
      <c r="A973" s="761"/>
      <c r="B973" s="769" t="s">
        <v>493</v>
      </c>
      <c r="C973" s="770" t="s">
        <v>644</v>
      </c>
      <c r="D973" s="770" t="s">
        <v>494</v>
      </c>
      <c r="E973" s="770" t="s">
        <v>505</v>
      </c>
      <c r="F973" s="770" t="s">
        <v>518</v>
      </c>
      <c r="G973" s="770" t="s">
        <v>103</v>
      </c>
      <c r="H973" s="770">
        <v>2019.0</v>
      </c>
      <c r="I973" s="771">
        <v>0.05596736195</v>
      </c>
      <c r="J973" s="771">
        <v>0.1432499931</v>
      </c>
      <c r="K973" s="772">
        <v>0.01832500188</v>
      </c>
      <c r="M973" s="769" t="s">
        <v>493</v>
      </c>
      <c r="N973" s="770" t="s">
        <v>644</v>
      </c>
      <c r="O973" s="770" t="s">
        <v>494</v>
      </c>
      <c r="P973" s="770" t="s">
        <v>505</v>
      </c>
      <c r="Q973" s="770" t="s">
        <v>518</v>
      </c>
      <c r="R973" s="770" t="s">
        <v>497</v>
      </c>
      <c r="S973" s="770">
        <v>2019.0</v>
      </c>
      <c r="T973" s="771">
        <v>62.75399488</v>
      </c>
      <c r="U973" s="771">
        <v>160.6205657</v>
      </c>
      <c r="V973" s="772">
        <v>20.54710163</v>
      </c>
      <c r="AW973" s="714"/>
    </row>
    <row r="974">
      <c r="A974" s="761"/>
      <c r="B974" s="769" t="s">
        <v>493</v>
      </c>
      <c r="C974" s="770" t="s">
        <v>644</v>
      </c>
      <c r="D974" s="770" t="s">
        <v>494</v>
      </c>
      <c r="E974" s="770" t="s">
        <v>508</v>
      </c>
      <c r="F974" s="770" t="s">
        <v>518</v>
      </c>
      <c r="G974" s="770" t="s">
        <v>103</v>
      </c>
      <c r="H974" s="770">
        <v>2019.0</v>
      </c>
      <c r="I974" s="771">
        <v>1.610271829</v>
      </c>
      <c r="J974" s="771">
        <v>3.650622801</v>
      </c>
      <c r="K974" s="772">
        <v>0.5554475744</v>
      </c>
      <c r="M974" s="769" t="s">
        <v>493</v>
      </c>
      <c r="N974" s="770" t="s">
        <v>644</v>
      </c>
      <c r="O974" s="770" t="s">
        <v>494</v>
      </c>
      <c r="P974" s="770" t="s">
        <v>508</v>
      </c>
      <c r="Q974" s="770" t="s">
        <v>518</v>
      </c>
      <c r="R974" s="770" t="s">
        <v>497</v>
      </c>
      <c r="S974" s="770">
        <v>2019.0</v>
      </c>
      <c r="T974" s="771">
        <v>38.18513172</v>
      </c>
      <c r="U974" s="771">
        <v>86.56893204</v>
      </c>
      <c r="V974" s="772">
        <v>13.17158905</v>
      </c>
      <c r="AW974" s="714"/>
    </row>
    <row r="975">
      <c r="A975" s="761"/>
      <c r="B975" s="769" t="s">
        <v>493</v>
      </c>
      <c r="C975" s="770" t="s">
        <v>644</v>
      </c>
      <c r="D975" s="770" t="s">
        <v>494</v>
      </c>
      <c r="E975" s="770" t="s">
        <v>512</v>
      </c>
      <c r="F975" s="770" t="s">
        <v>518</v>
      </c>
      <c r="G975" s="770" t="s">
        <v>103</v>
      </c>
      <c r="H975" s="770">
        <v>2019.0</v>
      </c>
      <c r="I975" s="771">
        <v>0.1844238564</v>
      </c>
      <c r="J975" s="771">
        <v>0.513965174</v>
      </c>
      <c r="K975" s="772">
        <v>0.05269458562</v>
      </c>
      <c r="M975" s="769" t="s">
        <v>493</v>
      </c>
      <c r="N975" s="770" t="s">
        <v>644</v>
      </c>
      <c r="O975" s="770" t="s">
        <v>494</v>
      </c>
      <c r="P975" s="770" t="s">
        <v>512</v>
      </c>
      <c r="Q975" s="770" t="s">
        <v>518</v>
      </c>
      <c r="R975" s="770" t="s">
        <v>497</v>
      </c>
      <c r="S975" s="770">
        <v>2019.0</v>
      </c>
      <c r="T975" s="771">
        <v>69.38302399</v>
      </c>
      <c r="U975" s="771">
        <v>193.3614158</v>
      </c>
      <c r="V975" s="772">
        <v>19.82449434</v>
      </c>
      <c r="AW975" s="714"/>
    </row>
    <row r="976">
      <c r="A976" s="761"/>
      <c r="B976" s="769" t="s">
        <v>493</v>
      </c>
      <c r="C976" s="770" t="s">
        <v>644</v>
      </c>
      <c r="D976" s="770" t="s">
        <v>494</v>
      </c>
      <c r="E976" s="770" t="s">
        <v>495</v>
      </c>
      <c r="F976" s="770" t="s">
        <v>519</v>
      </c>
      <c r="G976" s="770" t="s">
        <v>103</v>
      </c>
      <c r="H976" s="770">
        <v>2019.0</v>
      </c>
      <c r="I976" s="771">
        <v>42.31030534</v>
      </c>
      <c r="J976" s="771">
        <v>57.93980423</v>
      </c>
      <c r="K976" s="772">
        <v>29.7690087</v>
      </c>
      <c r="M976" s="769" t="s">
        <v>493</v>
      </c>
      <c r="N976" s="770" t="s">
        <v>644</v>
      </c>
      <c r="O976" s="770" t="s">
        <v>494</v>
      </c>
      <c r="P976" s="770" t="s">
        <v>495</v>
      </c>
      <c r="Q976" s="770" t="s">
        <v>519</v>
      </c>
      <c r="R976" s="770" t="s">
        <v>497</v>
      </c>
      <c r="S976" s="770">
        <v>2019.0</v>
      </c>
      <c r="T976" s="771">
        <v>181.4135922</v>
      </c>
      <c r="U976" s="771">
        <v>248.4280823</v>
      </c>
      <c r="V976" s="772">
        <v>127.6403647</v>
      </c>
      <c r="AW976" s="714"/>
    </row>
    <row r="977">
      <c r="A977" s="761"/>
      <c r="B977" s="769" t="s">
        <v>493</v>
      </c>
      <c r="C977" s="770" t="s">
        <v>644</v>
      </c>
      <c r="D977" s="770" t="s">
        <v>494</v>
      </c>
      <c r="E977" s="770" t="s">
        <v>505</v>
      </c>
      <c r="F977" s="770" t="s">
        <v>519</v>
      </c>
      <c r="G977" s="770" t="s">
        <v>103</v>
      </c>
      <c r="H977" s="770">
        <v>2019.0</v>
      </c>
      <c r="I977" s="771">
        <v>32.76570846</v>
      </c>
      <c r="J977" s="771">
        <v>44.76148839</v>
      </c>
      <c r="K977" s="772">
        <v>23.29920532</v>
      </c>
      <c r="M977" s="769" t="s">
        <v>493</v>
      </c>
      <c r="N977" s="770" t="s">
        <v>644</v>
      </c>
      <c r="O977" s="770" t="s">
        <v>494</v>
      </c>
      <c r="P977" s="770" t="s">
        <v>505</v>
      </c>
      <c r="Q977" s="770" t="s">
        <v>519</v>
      </c>
      <c r="R977" s="770" t="s">
        <v>497</v>
      </c>
      <c r="S977" s="770">
        <v>2019.0</v>
      </c>
      <c r="T977" s="771">
        <v>36738.89619</v>
      </c>
      <c r="U977" s="771">
        <v>50189.29096</v>
      </c>
      <c r="V977" s="772">
        <v>26124.4797</v>
      </c>
      <c r="AW977" s="714"/>
    </row>
    <row r="978">
      <c r="A978" s="761"/>
      <c r="B978" s="769" t="s">
        <v>493</v>
      </c>
      <c r="C978" s="770" t="s">
        <v>644</v>
      </c>
      <c r="D978" s="770" t="s">
        <v>494</v>
      </c>
      <c r="E978" s="770" t="s">
        <v>508</v>
      </c>
      <c r="F978" s="770" t="s">
        <v>519</v>
      </c>
      <c r="G978" s="770" t="s">
        <v>103</v>
      </c>
      <c r="H978" s="770">
        <v>2019.0</v>
      </c>
      <c r="I978" s="771">
        <v>2.01910487</v>
      </c>
      <c r="J978" s="771">
        <v>4.305118488</v>
      </c>
      <c r="K978" s="772">
        <v>0.9103745644</v>
      </c>
      <c r="M978" s="769" t="s">
        <v>493</v>
      </c>
      <c r="N978" s="770" t="s">
        <v>644</v>
      </c>
      <c r="O978" s="770" t="s">
        <v>494</v>
      </c>
      <c r="P978" s="770" t="s">
        <v>508</v>
      </c>
      <c r="Q978" s="770" t="s">
        <v>519</v>
      </c>
      <c r="R978" s="770" t="s">
        <v>497</v>
      </c>
      <c r="S978" s="770">
        <v>2019.0</v>
      </c>
      <c r="T978" s="771">
        <v>47.87998152</v>
      </c>
      <c r="U978" s="771">
        <v>102.0892955</v>
      </c>
      <c r="V978" s="772">
        <v>21.58813936</v>
      </c>
      <c r="AW978" s="714"/>
    </row>
    <row r="979">
      <c r="A979" s="761"/>
      <c r="B979" s="769" t="s">
        <v>493</v>
      </c>
      <c r="C979" s="770" t="s">
        <v>644</v>
      </c>
      <c r="D979" s="770" t="s">
        <v>494</v>
      </c>
      <c r="E979" s="770" t="s">
        <v>512</v>
      </c>
      <c r="F979" s="770" t="s">
        <v>519</v>
      </c>
      <c r="G979" s="770" t="s">
        <v>103</v>
      </c>
      <c r="H979" s="770">
        <v>2019.0</v>
      </c>
      <c r="I979" s="771">
        <v>7.298662641</v>
      </c>
      <c r="J979" s="771">
        <v>10.41483989</v>
      </c>
      <c r="K979" s="772">
        <v>4.761680038</v>
      </c>
      <c r="M979" s="769" t="s">
        <v>493</v>
      </c>
      <c r="N979" s="770" t="s">
        <v>644</v>
      </c>
      <c r="O979" s="770" t="s">
        <v>494</v>
      </c>
      <c r="P979" s="770" t="s">
        <v>512</v>
      </c>
      <c r="Q979" s="770" t="s">
        <v>519</v>
      </c>
      <c r="R979" s="770" t="s">
        <v>497</v>
      </c>
      <c r="S979" s="770">
        <v>2019.0</v>
      </c>
      <c r="T979" s="771">
        <v>2745.866478</v>
      </c>
      <c r="U979" s="771">
        <v>3918.219151</v>
      </c>
      <c r="V979" s="772">
        <v>1791.415529</v>
      </c>
      <c r="AW979" s="714"/>
    </row>
    <row r="980">
      <c r="A980" s="761"/>
      <c r="B980" s="769" t="s">
        <v>493</v>
      </c>
      <c r="C980" s="770" t="s">
        <v>644</v>
      </c>
      <c r="D980" s="770" t="s">
        <v>494</v>
      </c>
      <c r="E980" s="770" t="s">
        <v>495</v>
      </c>
      <c r="F980" s="770" t="s">
        <v>521</v>
      </c>
      <c r="G980" s="770" t="s">
        <v>103</v>
      </c>
      <c r="H980" s="770">
        <v>2019.0</v>
      </c>
      <c r="I980" s="771">
        <v>0.7526740942</v>
      </c>
      <c r="J980" s="771">
        <v>1.94278868</v>
      </c>
      <c r="K980" s="772">
        <v>0.1933083565</v>
      </c>
      <c r="M980" s="769" t="s">
        <v>493</v>
      </c>
      <c r="N980" s="770" t="s">
        <v>644</v>
      </c>
      <c r="O980" s="770" t="s">
        <v>494</v>
      </c>
      <c r="P980" s="770" t="s">
        <v>495</v>
      </c>
      <c r="Q980" s="770" t="s">
        <v>521</v>
      </c>
      <c r="R980" s="770" t="s">
        <v>497</v>
      </c>
      <c r="S980" s="770">
        <v>2019.0</v>
      </c>
      <c r="T980" s="771">
        <v>3.227235305</v>
      </c>
      <c r="U980" s="771">
        <v>8.330081064</v>
      </c>
      <c r="V980" s="772">
        <v>0.8288468511</v>
      </c>
      <c r="AW980" s="714"/>
    </row>
    <row r="981">
      <c r="A981" s="761"/>
      <c r="B981" s="769" t="s">
        <v>493</v>
      </c>
      <c r="C981" s="770" t="s">
        <v>644</v>
      </c>
      <c r="D981" s="770" t="s">
        <v>494</v>
      </c>
      <c r="E981" s="770" t="s">
        <v>505</v>
      </c>
      <c r="F981" s="770" t="s">
        <v>521</v>
      </c>
      <c r="G981" s="770" t="s">
        <v>103</v>
      </c>
      <c r="H981" s="770">
        <v>2019.0</v>
      </c>
      <c r="I981" s="771">
        <v>0.0</v>
      </c>
      <c r="J981" s="771">
        <v>0.0</v>
      </c>
      <c r="K981" s="772">
        <v>0.0</v>
      </c>
      <c r="M981" s="769" t="s">
        <v>493</v>
      </c>
      <c r="N981" s="770" t="s">
        <v>644</v>
      </c>
      <c r="O981" s="770" t="s">
        <v>494</v>
      </c>
      <c r="P981" s="770" t="s">
        <v>505</v>
      </c>
      <c r="Q981" s="770" t="s">
        <v>521</v>
      </c>
      <c r="R981" s="770" t="s">
        <v>497</v>
      </c>
      <c r="S981" s="770">
        <v>2019.0</v>
      </c>
      <c r="T981" s="771">
        <v>0.0</v>
      </c>
      <c r="U981" s="771">
        <v>0.0</v>
      </c>
      <c r="V981" s="772">
        <v>0.0</v>
      </c>
      <c r="AW981" s="714"/>
    </row>
    <row r="982">
      <c r="A982" s="761"/>
      <c r="B982" s="769" t="s">
        <v>493</v>
      </c>
      <c r="C982" s="770" t="s">
        <v>644</v>
      </c>
      <c r="D982" s="770" t="s">
        <v>494</v>
      </c>
      <c r="E982" s="770" t="s">
        <v>508</v>
      </c>
      <c r="F982" s="770" t="s">
        <v>521</v>
      </c>
      <c r="G982" s="770" t="s">
        <v>103</v>
      </c>
      <c r="H982" s="770">
        <v>2019.0</v>
      </c>
      <c r="I982" s="771">
        <v>0.2175010522</v>
      </c>
      <c r="J982" s="771">
        <v>0.5419283332</v>
      </c>
      <c r="K982" s="772">
        <v>0.05833547199</v>
      </c>
      <c r="M982" s="769" t="s">
        <v>493</v>
      </c>
      <c r="N982" s="770" t="s">
        <v>644</v>
      </c>
      <c r="O982" s="770" t="s">
        <v>494</v>
      </c>
      <c r="P982" s="770" t="s">
        <v>508</v>
      </c>
      <c r="Q982" s="770" t="s">
        <v>521</v>
      </c>
      <c r="R982" s="770" t="s">
        <v>497</v>
      </c>
      <c r="S982" s="770">
        <v>2019.0</v>
      </c>
      <c r="T982" s="771">
        <v>5.157704542</v>
      </c>
      <c r="U982" s="771">
        <v>12.85100094</v>
      </c>
      <c r="V982" s="772">
        <v>1.383336429</v>
      </c>
      <c r="AW982" s="714"/>
    </row>
    <row r="983">
      <c r="A983" s="761"/>
      <c r="B983" s="769" t="s">
        <v>493</v>
      </c>
      <c r="C983" s="770" t="s">
        <v>644</v>
      </c>
      <c r="D983" s="770" t="s">
        <v>494</v>
      </c>
      <c r="E983" s="770" t="s">
        <v>512</v>
      </c>
      <c r="F983" s="770" t="s">
        <v>521</v>
      </c>
      <c r="G983" s="770" t="s">
        <v>103</v>
      </c>
      <c r="H983" s="770">
        <v>2019.0</v>
      </c>
      <c r="I983" s="771">
        <v>0.0</v>
      </c>
      <c r="J983" s="771">
        <v>0.0</v>
      </c>
      <c r="K983" s="772">
        <v>0.0</v>
      </c>
      <c r="M983" s="769" t="s">
        <v>493</v>
      </c>
      <c r="N983" s="770" t="s">
        <v>644</v>
      </c>
      <c r="O983" s="770" t="s">
        <v>494</v>
      </c>
      <c r="P983" s="770" t="s">
        <v>512</v>
      </c>
      <c r="Q983" s="770" t="s">
        <v>521</v>
      </c>
      <c r="R983" s="770" t="s">
        <v>497</v>
      </c>
      <c r="S983" s="770">
        <v>2019.0</v>
      </c>
      <c r="T983" s="771">
        <v>0.0</v>
      </c>
      <c r="U983" s="771">
        <v>0.0</v>
      </c>
      <c r="V983" s="772">
        <v>0.0</v>
      </c>
      <c r="AW983" s="714"/>
    </row>
    <row r="984">
      <c r="A984" s="761"/>
      <c r="B984" s="769" t="s">
        <v>493</v>
      </c>
      <c r="C984" s="770" t="s">
        <v>644</v>
      </c>
      <c r="D984" s="770" t="s">
        <v>494</v>
      </c>
      <c r="E984" s="770" t="s">
        <v>495</v>
      </c>
      <c r="F984" s="770" t="s">
        <v>523</v>
      </c>
      <c r="G984" s="770" t="s">
        <v>103</v>
      </c>
      <c r="H984" s="770">
        <v>2019.0</v>
      </c>
      <c r="I984" s="771">
        <v>3.1852919</v>
      </c>
      <c r="J984" s="771">
        <v>5.62908316</v>
      </c>
      <c r="K984" s="772">
        <v>1.533618856</v>
      </c>
      <c r="M984" s="769" t="s">
        <v>493</v>
      </c>
      <c r="N984" s="770" t="s">
        <v>644</v>
      </c>
      <c r="O984" s="770" t="s">
        <v>494</v>
      </c>
      <c r="P984" s="770" t="s">
        <v>495</v>
      </c>
      <c r="Q984" s="770" t="s">
        <v>523</v>
      </c>
      <c r="R984" s="770" t="s">
        <v>497</v>
      </c>
      <c r="S984" s="770">
        <v>2019.0</v>
      </c>
      <c r="T984" s="771">
        <v>13.65755319</v>
      </c>
      <c r="U984" s="771">
        <v>24.13577942</v>
      </c>
      <c r="V984" s="772">
        <v>6.575686547</v>
      </c>
      <c r="AW984" s="714"/>
    </row>
    <row r="985">
      <c r="A985" s="761"/>
      <c r="B985" s="769" t="s">
        <v>493</v>
      </c>
      <c r="C985" s="770" t="s">
        <v>644</v>
      </c>
      <c r="D985" s="770" t="s">
        <v>494</v>
      </c>
      <c r="E985" s="770" t="s">
        <v>505</v>
      </c>
      <c r="F985" s="770" t="s">
        <v>523</v>
      </c>
      <c r="G985" s="770" t="s">
        <v>103</v>
      </c>
      <c r="H985" s="770">
        <v>2019.0</v>
      </c>
      <c r="I985" s="771">
        <v>0.0</v>
      </c>
      <c r="J985" s="771">
        <v>0.0</v>
      </c>
      <c r="K985" s="772">
        <v>0.0</v>
      </c>
      <c r="M985" s="769" t="s">
        <v>493</v>
      </c>
      <c r="N985" s="770" t="s">
        <v>644</v>
      </c>
      <c r="O985" s="770" t="s">
        <v>494</v>
      </c>
      <c r="P985" s="770" t="s">
        <v>505</v>
      </c>
      <c r="Q985" s="770" t="s">
        <v>523</v>
      </c>
      <c r="R985" s="770" t="s">
        <v>497</v>
      </c>
      <c r="S985" s="770">
        <v>2019.0</v>
      </c>
      <c r="T985" s="771">
        <v>0.0</v>
      </c>
      <c r="U985" s="771">
        <v>0.0</v>
      </c>
      <c r="V985" s="772">
        <v>0.0</v>
      </c>
      <c r="AW985" s="714"/>
    </row>
    <row r="986">
      <c r="A986" s="761"/>
      <c r="B986" s="769" t="s">
        <v>493</v>
      </c>
      <c r="C986" s="770" t="s">
        <v>644</v>
      </c>
      <c r="D986" s="770" t="s">
        <v>494</v>
      </c>
      <c r="E986" s="770" t="s">
        <v>508</v>
      </c>
      <c r="F986" s="770" t="s">
        <v>523</v>
      </c>
      <c r="G986" s="770" t="s">
        <v>103</v>
      </c>
      <c r="H986" s="770">
        <v>2019.0</v>
      </c>
      <c r="I986" s="771">
        <v>2.105236477</v>
      </c>
      <c r="J986" s="771">
        <v>3.910276418</v>
      </c>
      <c r="K986" s="772">
        <v>0.9520242297</v>
      </c>
      <c r="M986" s="769" t="s">
        <v>493</v>
      </c>
      <c r="N986" s="770" t="s">
        <v>644</v>
      </c>
      <c r="O986" s="770" t="s">
        <v>494</v>
      </c>
      <c r="P986" s="770" t="s">
        <v>508</v>
      </c>
      <c r="Q986" s="770" t="s">
        <v>523</v>
      </c>
      <c r="R986" s="770" t="s">
        <v>497</v>
      </c>
      <c r="S986" s="770">
        <v>2019.0</v>
      </c>
      <c r="T986" s="771">
        <v>49.92246074</v>
      </c>
      <c r="U986" s="771">
        <v>92.72622013</v>
      </c>
      <c r="V986" s="772">
        <v>22.57579742</v>
      </c>
      <c r="AW986" s="714"/>
    </row>
    <row r="987">
      <c r="A987" s="761"/>
      <c r="B987" s="769" t="s">
        <v>493</v>
      </c>
      <c r="C987" s="770" t="s">
        <v>644</v>
      </c>
      <c r="D987" s="770" t="s">
        <v>494</v>
      </c>
      <c r="E987" s="770" t="s">
        <v>512</v>
      </c>
      <c r="F987" s="770" t="s">
        <v>523</v>
      </c>
      <c r="G987" s="770" t="s">
        <v>103</v>
      </c>
      <c r="H987" s="770">
        <v>2019.0</v>
      </c>
      <c r="I987" s="771">
        <v>0.0</v>
      </c>
      <c r="J987" s="771">
        <v>0.0</v>
      </c>
      <c r="K987" s="772">
        <v>0.0</v>
      </c>
      <c r="M987" s="769" t="s">
        <v>493</v>
      </c>
      <c r="N987" s="770" t="s">
        <v>644</v>
      </c>
      <c r="O987" s="770" t="s">
        <v>494</v>
      </c>
      <c r="P987" s="770" t="s">
        <v>512</v>
      </c>
      <c r="Q987" s="770" t="s">
        <v>523</v>
      </c>
      <c r="R987" s="770" t="s">
        <v>497</v>
      </c>
      <c r="S987" s="770">
        <v>2019.0</v>
      </c>
      <c r="T987" s="771">
        <v>0.0</v>
      </c>
      <c r="U987" s="771">
        <v>0.0</v>
      </c>
      <c r="V987" s="772">
        <v>0.0</v>
      </c>
      <c r="AW987" s="714"/>
    </row>
    <row r="988">
      <c r="A988" s="761"/>
      <c r="B988" s="769" t="s">
        <v>493</v>
      </c>
      <c r="C988" s="770" t="s">
        <v>645</v>
      </c>
      <c r="D988" s="770" t="s">
        <v>494</v>
      </c>
      <c r="E988" s="770" t="s">
        <v>495</v>
      </c>
      <c r="F988" s="770" t="s">
        <v>496</v>
      </c>
      <c r="G988" s="770" t="s">
        <v>103</v>
      </c>
      <c r="H988" s="770">
        <v>2019.0</v>
      </c>
      <c r="I988" s="771">
        <v>22847.46239</v>
      </c>
      <c r="J988" s="771">
        <v>28597.60452</v>
      </c>
      <c r="K988" s="772">
        <v>18406.70919</v>
      </c>
      <c r="M988" s="769" t="s">
        <v>493</v>
      </c>
      <c r="N988" s="770" t="s">
        <v>645</v>
      </c>
      <c r="O988" s="770" t="s">
        <v>494</v>
      </c>
      <c r="P988" s="770" t="s">
        <v>495</v>
      </c>
      <c r="Q988" s="770" t="s">
        <v>496</v>
      </c>
      <c r="R988" s="770" t="s">
        <v>497</v>
      </c>
      <c r="S988" s="770">
        <v>2019.0</v>
      </c>
      <c r="T988" s="771">
        <v>1062.372819</v>
      </c>
      <c r="U988" s="771">
        <v>1329.745826</v>
      </c>
      <c r="V988" s="772">
        <v>855.8844392</v>
      </c>
      <c r="AW988" s="714"/>
    </row>
    <row r="989">
      <c r="A989" s="761"/>
      <c r="B989" s="769" t="s">
        <v>493</v>
      </c>
      <c r="C989" s="770" t="s">
        <v>645</v>
      </c>
      <c r="D989" s="770" t="s">
        <v>494</v>
      </c>
      <c r="E989" s="770" t="s">
        <v>505</v>
      </c>
      <c r="F989" s="770" t="s">
        <v>496</v>
      </c>
      <c r="G989" s="770" t="s">
        <v>103</v>
      </c>
      <c r="H989" s="770">
        <v>2019.0</v>
      </c>
      <c r="I989" s="771">
        <v>9067.697841</v>
      </c>
      <c r="J989" s="771">
        <v>10956.48708</v>
      </c>
      <c r="K989" s="772">
        <v>7599.400527</v>
      </c>
      <c r="M989" s="769" t="s">
        <v>493</v>
      </c>
      <c r="N989" s="770" t="s">
        <v>645</v>
      </c>
      <c r="O989" s="770" t="s">
        <v>494</v>
      </c>
      <c r="P989" s="770" t="s">
        <v>505</v>
      </c>
      <c r="Q989" s="770" t="s">
        <v>496</v>
      </c>
      <c r="R989" s="770" t="s">
        <v>497</v>
      </c>
      <c r="S989" s="770">
        <v>2019.0</v>
      </c>
      <c r="T989" s="771">
        <v>102827.1261</v>
      </c>
      <c r="U989" s="771">
        <v>124245.8779</v>
      </c>
      <c r="V989" s="772">
        <v>86176.72643</v>
      </c>
      <c r="AW989" s="714"/>
    </row>
    <row r="990">
      <c r="A990" s="761"/>
      <c r="B990" s="769" t="s">
        <v>493</v>
      </c>
      <c r="C990" s="770" t="s">
        <v>645</v>
      </c>
      <c r="D990" s="770" t="s">
        <v>494</v>
      </c>
      <c r="E990" s="770" t="s">
        <v>508</v>
      </c>
      <c r="F990" s="770" t="s">
        <v>496</v>
      </c>
      <c r="G990" s="770" t="s">
        <v>103</v>
      </c>
      <c r="H990" s="770">
        <v>2019.0</v>
      </c>
      <c r="I990" s="771">
        <v>5654.465901</v>
      </c>
      <c r="J990" s="771">
        <v>8409.497621</v>
      </c>
      <c r="K990" s="772">
        <v>3829.894237</v>
      </c>
      <c r="M990" s="769" t="s">
        <v>493</v>
      </c>
      <c r="N990" s="770" t="s">
        <v>645</v>
      </c>
      <c r="O990" s="770" t="s">
        <v>494</v>
      </c>
      <c r="P990" s="770" t="s">
        <v>508</v>
      </c>
      <c r="Q990" s="770" t="s">
        <v>496</v>
      </c>
      <c r="R990" s="770" t="s">
        <v>497</v>
      </c>
      <c r="S990" s="770">
        <v>2019.0</v>
      </c>
      <c r="T990" s="771">
        <v>1375.959421</v>
      </c>
      <c r="U990" s="771">
        <v>2046.369662</v>
      </c>
      <c r="V990" s="772">
        <v>931.9676071</v>
      </c>
      <c r="AW990" s="714"/>
    </row>
    <row r="991">
      <c r="A991" s="761"/>
      <c r="B991" s="769" t="s">
        <v>493</v>
      </c>
      <c r="C991" s="770" t="s">
        <v>645</v>
      </c>
      <c r="D991" s="770" t="s">
        <v>494</v>
      </c>
      <c r="E991" s="770" t="s">
        <v>512</v>
      </c>
      <c r="F991" s="770" t="s">
        <v>496</v>
      </c>
      <c r="G991" s="770" t="s">
        <v>103</v>
      </c>
      <c r="H991" s="770">
        <v>2019.0</v>
      </c>
      <c r="I991" s="771">
        <v>2590.353615</v>
      </c>
      <c r="J991" s="771">
        <v>3151.048678</v>
      </c>
      <c r="K991" s="772">
        <v>2150.752002</v>
      </c>
      <c r="M991" s="769" t="s">
        <v>493</v>
      </c>
      <c r="N991" s="770" t="s">
        <v>645</v>
      </c>
      <c r="O991" s="770" t="s">
        <v>494</v>
      </c>
      <c r="P991" s="770" t="s">
        <v>512</v>
      </c>
      <c r="Q991" s="770" t="s">
        <v>496</v>
      </c>
      <c r="R991" s="770" t="s">
        <v>497</v>
      </c>
      <c r="S991" s="770">
        <v>2019.0</v>
      </c>
      <c r="T991" s="771">
        <v>9924.274495</v>
      </c>
      <c r="U991" s="771">
        <v>12072.43361</v>
      </c>
      <c r="V991" s="772">
        <v>8240.053835</v>
      </c>
      <c r="AW991" s="714"/>
    </row>
    <row r="992">
      <c r="A992" s="761"/>
      <c r="B992" s="769" t="s">
        <v>493</v>
      </c>
      <c r="C992" s="770" t="s">
        <v>645</v>
      </c>
      <c r="D992" s="770" t="s">
        <v>494</v>
      </c>
      <c r="E992" s="770" t="s">
        <v>495</v>
      </c>
      <c r="F992" s="770" t="s">
        <v>514</v>
      </c>
      <c r="G992" s="770" t="s">
        <v>103</v>
      </c>
      <c r="H992" s="770">
        <v>2019.0</v>
      </c>
      <c r="I992" s="771">
        <v>19455.83759</v>
      </c>
      <c r="J992" s="771">
        <v>24537.29415</v>
      </c>
      <c r="K992" s="772">
        <v>15620.90902</v>
      </c>
      <c r="M992" s="769" t="s">
        <v>493</v>
      </c>
      <c r="N992" s="770" t="s">
        <v>645</v>
      </c>
      <c r="O992" s="770" t="s">
        <v>494</v>
      </c>
      <c r="P992" s="770" t="s">
        <v>495</v>
      </c>
      <c r="Q992" s="770" t="s">
        <v>514</v>
      </c>
      <c r="R992" s="770" t="s">
        <v>497</v>
      </c>
      <c r="S992" s="770">
        <v>2019.0</v>
      </c>
      <c r="T992" s="771">
        <v>904.6673403</v>
      </c>
      <c r="U992" s="771">
        <v>1140.947468</v>
      </c>
      <c r="V992" s="772">
        <v>726.3488995</v>
      </c>
      <c r="AW992" s="714"/>
    </row>
    <row r="993">
      <c r="A993" s="761"/>
      <c r="B993" s="769" t="s">
        <v>493</v>
      </c>
      <c r="C993" s="770" t="s">
        <v>645</v>
      </c>
      <c r="D993" s="770" t="s">
        <v>494</v>
      </c>
      <c r="E993" s="770" t="s">
        <v>505</v>
      </c>
      <c r="F993" s="770" t="s">
        <v>514</v>
      </c>
      <c r="G993" s="770" t="s">
        <v>103</v>
      </c>
      <c r="H993" s="770">
        <v>2019.0</v>
      </c>
      <c r="I993" s="771">
        <v>8309.9707</v>
      </c>
      <c r="J993" s="771">
        <v>10103.79955</v>
      </c>
      <c r="K993" s="772">
        <v>6849.139677</v>
      </c>
      <c r="M993" s="769" t="s">
        <v>493</v>
      </c>
      <c r="N993" s="770" t="s">
        <v>645</v>
      </c>
      <c r="O993" s="770" t="s">
        <v>494</v>
      </c>
      <c r="P993" s="770" t="s">
        <v>505</v>
      </c>
      <c r="Q993" s="770" t="s">
        <v>514</v>
      </c>
      <c r="R993" s="770" t="s">
        <v>497</v>
      </c>
      <c r="S993" s="770">
        <v>2019.0</v>
      </c>
      <c r="T993" s="771">
        <v>94234.54773</v>
      </c>
      <c r="U993" s="771">
        <v>114576.4547</v>
      </c>
      <c r="V993" s="772">
        <v>77668.81534</v>
      </c>
      <c r="AW993" s="714"/>
    </row>
    <row r="994">
      <c r="A994" s="761"/>
      <c r="B994" s="769" t="s">
        <v>493</v>
      </c>
      <c r="C994" s="770" t="s">
        <v>645</v>
      </c>
      <c r="D994" s="770" t="s">
        <v>494</v>
      </c>
      <c r="E994" s="770" t="s">
        <v>508</v>
      </c>
      <c r="F994" s="770" t="s">
        <v>514</v>
      </c>
      <c r="G994" s="770" t="s">
        <v>103</v>
      </c>
      <c r="H994" s="770">
        <v>2019.0</v>
      </c>
      <c r="I994" s="771">
        <v>4466.118429</v>
      </c>
      <c r="J994" s="771">
        <v>6788.523187</v>
      </c>
      <c r="K994" s="772">
        <v>2919.757826</v>
      </c>
      <c r="M994" s="769" t="s">
        <v>493</v>
      </c>
      <c r="N994" s="770" t="s">
        <v>645</v>
      </c>
      <c r="O994" s="770" t="s">
        <v>494</v>
      </c>
      <c r="P994" s="770" t="s">
        <v>508</v>
      </c>
      <c r="Q994" s="770" t="s">
        <v>514</v>
      </c>
      <c r="R994" s="770" t="s">
        <v>497</v>
      </c>
      <c r="S994" s="770">
        <v>2019.0</v>
      </c>
      <c r="T994" s="771">
        <v>1086.786592</v>
      </c>
      <c r="U994" s="771">
        <v>1651.921259</v>
      </c>
      <c r="V994" s="772">
        <v>710.4947412</v>
      </c>
      <c r="AW994" s="714"/>
    </row>
    <row r="995">
      <c r="A995" s="761"/>
      <c r="B995" s="769" t="s">
        <v>493</v>
      </c>
      <c r="C995" s="770" t="s">
        <v>645</v>
      </c>
      <c r="D995" s="770" t="s">
        <v>494</v>
      </c>
      <c r="E995" s="770" t="s">
        <v>512</v>
      </c>
      <c r="F995" s="770" t="s">
        <v>514</v>
      </c>
      <c r="G995" s="770" t="s">
        <v>103</v>
      </c>
      <c r="H995" s="770">
        <v>2019.0</v>
      </c>
      <c r="I995" s="771">
        <v>2252.942298</v>
      </c>
      <c r="J995" s="771">
        <v>2778.07001</v>
      </c>
      <c r="K995" s="772">
        <v>1833.214019</v>
      </c>
      <c r="M995" s="769" t="s">
        <v>493</v>
      </c>
      <c r="N995" s="770" t="s">
        <v>645</v>
      </c>
      <c r="O995" s="770" t="s">
        <v>494</v>
      </c>
      <c r="P995" s="770" t="s">
        <v>512</v>
      </c>
      <c r="Q995" s="770" t="s">
        <v>514</v>
      </c>
      <c r="R995" s="770" t="s">
        <v>497</v>
      </c>
      <c r="S995" s="770">
        <v>2019.0</v>
      </c>
      <c r="T995" s="771">
        <v>8631.569703</v>
      </c>
      <c r="U995" s="771">
        <v>10643.46165</v>
      </c>
      <c r="V995" s="772">
        <v>7023.48862</v>
      </c>
      <c r="AW995" s="714"/>
    </row>
    <row r="996">
      <c r="A996" s="761"/>
      <c r="B996" s="769" t="s">
        <v>493</v>
      </c>
      <c r="C996" s="770" t="s">
        <v>645</v>
      </c>
      <c r="D996" s="770" t="s">
        <v>494</v>
      </c>
      <c r="E996" s="770" t="s">
        <v>495</v>
      </c>
      <c r="F996" s="770" t="s">
        <v>518</v>
      </c>
      <c r="G996" s="770" t="s">
        <v>103</v>
      </c>
      <c r="H996" s="770">
        <v>2019.0</v>
      </c>
      <c r="I996" s="771">
        <v>3000.114618</v>
      </c>
      <c r="J996" s="771">
        <v>5185.916979</v>
      </c>
      <c r="K996" s="772">
        <v>1421.909388</v>
      </c>
      <c r="M996" s="769" t="s">
        <v>493</v>
      </c>
      <c r="N996" s="770" t="s">
        <v>645</v>
      </c>
      <c r="O996" s="770" t="s">
        <v>494</v>
      </c>
      <c r="P996" s="770" t="s">
        <v>495</v>
      </c>
      <c r="Q996" s="770" t="s">
        <v>518</v>
      </c>
      <c r="R996" s="770" t="s">
        <v>497</v>
      </c>
      <c r="S996" s="770">
        <v>2019.0</v>
      </c>
      <c r="T996" s="771">
        <v>139.5008413</v>
      </c>
      <c r="U996" s="771">
        <v>241.137381</v>
      </c>
      <c r="V996" s="772">
        <v>66.11665925</v>
      </c>
      <c r="AW996" s="714"/>
    </row>
    <row r="997">
      <c r="A997" s="761"/>
      <c r="B997" s="769" t="s">
        <v>493</v>
      </c>
      <c r="C997" s="770" t="s">
        <v>645</v>
      </c>
      <c r="D997" s="770" t="s">
        <v>494</v>
      </c>
      <c r="E997" s="770" t="s">
        <v>505</v>
      </c>
      <c r="F997" s="770" t="s">
        <v>518</v>
      </c>
      <c r="G997" s="770" t="s">
        <v>103</v>
      </c>
      <c r="H997" s="770">
        <v>2019.0</v>
      </c>
      <c r="I997" s="771">
        <v>42.88071623</v>
      </c>
      <c r="J997" s="771">
        <v>82.75125336</v>
      </c>
      <c r="K997" s="772">
        <v>17.66795145</v>
      </c>
      <c r="M997" s="769" t="s">
        <v>493</v>
      </c>
      <c r="N997" s="770" t="s">
        <v>645</v>
      </c>
      <c r="O997" s="770" t="s">
        <v>494</v>
      </c>
      <c r="P997" s="770" t="s">
        <v>505</v>
      </c>
      <c r="Q997" s="770" t="s">
        <v>518</v>
      </c>
      <c r="R997" s="770" t="s">
        <v>497</v>
      </c>
      <c r="S997" s="770">
        <v>2019.0</v>
      </c>
      <c r="T997" s="771">
        <v>486.2646388</v>
      </c>
      <c r="U997" s="771">
        <v>938.3940348</v>
      </c>
      <c r="V997" s="772">
        <v>200.3534638</v>
      </c>
      <c r="AW997" s="714"/>
    </row>
    <row r="998">
      <c r="A998" s="761"/>
      <c r="B998" s="769" t="s">
        <v>493</v>
      </c>
      <c r="C998" s="770" t="s">
        <v>645</v>
      </c>
      <c r="D998" s="770" t="s">
        <v>494</v>
      </c>
      <c r="E998" s="770" t="s">
        <v>508</v>
      </c>
      <c r="F998" s="770" t="s">
        <v>518</v>
      </c>
      <c r="G998" s="770" t="s">
        <v>103</v>
      </c>
      <c r="H998" s="770">
        <v>2019.0</v>
      </c>
      <c r="I998" s="771">
        <v>1281.534056</v>
      </c>
      <c r="J998" s="771">
        <v>2506.687438</v>
      </c>
      <c r="K998" s="772">
        <v>497.2397993</v>
      </c>
      <c r="M998" s="769" t="s">
        <v>493</v>
      </c>
      <c r="N998" s="770" t="s">
        <v>645</v>
      </c>
      <c r="O998" s="770" t="s">
        <v>494</v>
      </c>
      <c r="P998" s="770" t="s">
        <v>508</v>
      </c>
      <c r="Q998" s="770" t="s">
        <v>518</v>
      </c>
      <c r="R998" s="770" t="s">
        <v>497</v>
      </c>
      <c r="S998" s="770">
        <v>2019.0</v>
      </c>
      <c r="T998" s="771">
        <v>311.8488798</v>
      </c>
      <c r="U998" s="771">
        <v>609.9780697</v>
      </c>
      <c r="V998" s="772">
        <v>120.9984812</v>
      </c>
      <c r="AW998" s="714"/>
    </row>
    <row r="999">
      <c r="A999" s="761"/>
      <c r="B999" s="769" t="s">
        <v>493</v>
      </c>
      <c r="C999" s="770" t="s">
        <v>645</v>
      </c>
      <c r="D999" s="770" t="s">
        <v>494</v>
      </c>
      <c r="E999" s="770" t="s">
        <v>512</v>
      </c>
      <c r="F999" s="770" t="s">
        <v>518</v>
      </c>
      <c r="G999" s="770" t="s">
        <v>103</v>
      </c>
      <c r="H999" s="770">
        <v>2019.0</v>
      </c>
      <c r="I999" s="771">
        <v>132.183149</v>
      </c>
      <c r="J999" s="771">
        <v>320.1700965</v>
      </c>
      <c r="K999" s="772">
        <v>40.67823171</v>
      </c>
      <c r="M999" s="769" t="s">
        <v>493</v>
      </c>
      <c r="N999" s="770" t="s">
        <v>645</v>
      </c>
      <c r="O999" s="770" t="s">
        <v>494</v>
      </c>
      <c r="P999" s="770" t="s">
        <v>512</v>
      </c>
      <c r="Q999" s="770" t="s">
        <v>518</v>
      </c>
      <c r="R999" s="770" t="s">
        <v>497</v>
      </c>
      <c r="S999" s="770">
        <v>2019.0</v>
      </c>
      <c r="T999" s="771">
        <v>506.4257818</v>
      </c>
      <c r="U999" s="771">
        <v>1226.649483</v>
      </c>
      <c r="V999" s="772">
        <v>155.8481958</v>
      </c>
      <c r="AW999" s="714"/>
    </row>
    <row r="1000">
      <c r="A1000" s="761"/>
      <c r="B1000" s="769" t="s">
        <v>493</v>
      </c>
      <c r="C1000" s="770" t="s">
        <v>645</v>
      </c>
      <c r="D1000" s="770" t="s">
        <v>494</v>
      </c>
      <c r="E1000" s="770" t="s">
        <v>495</v>
      </c>
      <c r="F1000" s="770" t="s">
        <v>519</v>
      </c>
      <c r="G1000" s="770" t="s">
        <v>103</v>
      </c>
      <c r="H1000" s="770">
        <v>2019.0</v>
      </c>
      <c r="I1000" s="771">
        <v>9387.698571</v>
      </c>
      <c r="J1000" s="771">
        <v>11393.0148</v>
      </c>
      <c r="K1000" s="772">
        <v>7672.485926</v>
      </c>
      <c r="M1000" s="769" t="s">
        <v>493</v>
      </c>
      <c r="N1000" s="770" t="s">
        <v>645</v>
      </c>
      <c r="O1000" s="770" t="s">
        <v>494</v>
      </c>
      <c r="P1000" s="770" t="s">
        <v>495</v>
      </c>
      <c r="Q1000" s="770" t="s">
        <v>519</v>
      </c>
      <c r="R1000" s="770" t="s">
        <v>497</v>
      </c>
      <c r="S1000" s="770">
        <v>2019.0</v>
      </c>
      <c r="T1000" s="771">
        <v>436.5139388</v>
      </c>
      <c r="U1000" s="771">
        <v>529.7581434</v>
      </c>
      <c r="V1000" s="772">
        <v>356.7591169</v>
      </c>
      <c r="AW1000" s="714"/>
    </row>
    <row r="1001">
      <c r="A1001" s="761"/>
      <c r="B1001" s="769" t="s">
        <v>493</v>
      </c>
      <c r="C1001" s="770" t="s">
        <v>645</v>
      </c>
      <c r="D1001" s="770" t="s">
        <v>494</v>
      </c>
      <c r="E1001" s="770" t="s">
        <v>505</v>
      </c>
      <c r="F1001" s="770" t="s">
        <v>519</v>
      </c>
      <c r="G1001" s="770" t="s">
        <v>103</v>
      </c>
      <c r="H1001" s="770">
        <v>2019.0</v>
      </c>
      <c r="I1001" s="771">
        <v>7668.694884</v>
      </c>
      <c r="J1001" s="771">
        <v>9257.730788</v>
      </c>
      <c r="K1001" s="772">
        <v>6300.490101</v>
      </c>
      <c r="M1001" s="769" t="s">
        <v>493</v>
      </c>
      <c r="N1001" s="770" t="s">
        <v>645</v>
      </c>
      <c r="O1001" s="770" t="s">
        <v>494</v>
      </c>
      <c r="P1001" s="770" t="s">
        <v>505</v>
      </c>
      <c r="Q1001" s="770" t="s">
        <v>519</v>
      </c>
      <c r="R1001" s="770" t="s">
        <v>497</v>
      </c>
      <c r="S1001" s="770">
        <v>2019.0</v>
      </c>
      <c r="T1001" s="771">
        <v>86962.52011</v>
      </c>
      <c r="U1001" s="771">
        <v>104982.0878</v>
      </c>
      <c r="V1001" s="772">
        <v>71447.16348</v>
      </c>
      <c r="AW1001" s="714"/>
    </row>
    <row r="1002">
      <c r="A1002" s="761"/>
      <c r="B1002" s="769" t="s">
        <v>493</v>
      </c>
      <c r="C1002" s="770" t="s">
        <v>645</v>
      </c>
      <c r="D1002" s="770" t="s">
        <v>494</v>
      </c>
      <c r="E1002" s="770" t="s">
        <v>508</v>
      </c>
      <c r="F1002" s="770" t="s">
        <v>519</v>
      </c>
      <c r="G1002" s="770" t="s">
        <v>103</v>
      </c>
      <c r="H1002" s="770">
        <v>2019.0</v>
      </c>
      <c r="I1002" s="771">
        <v>227.8842007</v>
      </c>
      <c r="J1002" s="771">
        <v>423.3242019</v>
      </c>
      <c r="K1002" s="772">
        <v>106.9414413</v>
      </c>
      <c r="M1002" s="769" t="s">
        <v>493</v>
      </c>
      <c r="N1002" s="770" t="s">
        <v>645</v>
      </c>
      <c r="O1002" s="770" t="s">
        <v>494</v>
      </c>
      <c r="P1002" s="770" t="s">
        <v>508</v>
      </c>
      <c r="Q1002" s="770" t="s">
        <v>519</v>
      </c>
      <c r="R1002" s="770" t="s">
        <v>497</v>
      </c>
      <c r="S1002" s="770">
        <v>2019.0</v>
      </c>
      <c r="T1002" s="771">
        <v>55.45340944</v>
      </c>
      <c r="U1002" s="771">
        <v>103.0118377</v>
      </c>
      <c r="V1002" s="772">
        <v>26.02316226</v>
      </c>
      <c r="AW1002" s="714"/>
    </row>
    <row r="1003">
      <c r="A1003" s="761"/>
      <c r="B1003" s="769" t="s">
        <v>493</v>
      </c>
      <c r="C1003" s="770" t="s">
        <v>645</v>
      </c>
      <c r="D1003" s="770" t="s">
        <v>494</v>
      </c>
      <c r="E1003" s="770" t="s">
        <v>512</v>
      </c>
      <c r="F1003" s="770" t="s">
        <v>519</v>
      </c>
      <c r="G1003" s="770" t="s">
        <v>103</v>
      </c>
      <c r="H1003" s="770">
        <v>2019.0</v>
      </c>
      <c r="I1003" s="771">
        <v>1468.875241</v>
      </c>
      <c r="J1003" s="771">
        <v>1889.958163</v>
      </c>
      <c r="K1003" s="772">
        <v>1057.07943</v>
      </c>
      <c r="M1003" s="769" t="s">
        <v>493</v>
      </c>
      <c r="N1003" s="770" t="s">
        <v>645</v>
      </c>
      <c r="O1003" s="770" t="s">
        <v>494</v>
      </c>
      <c r="P1003" s="770" t="s">
        <v>512</v>
      </c>
      <c r="Q1003" s="770" t="s">
        <v>519</v>
      </c>
      <c r="R1003" s="770" t="s">
        <v>497</v>
      </c>
      <c r="S1003" s="770">
        <v>2019.0</v>
      </c>
      <c r="T1003" s="771">
        <v>5627.61818</v>
      </c>
      <c r="U1003" s="771">
        <v>7240.889233</v>
      </c>
      <c r="V1003" s="772">
        <v>4049.928305</v>
      </c>
      <c r="AW1003" s="714"/>
    </row>
    <row r="1004">
      <c r="A1004" s="761"/>
      <c r="B1004" s="769" t="s">
        <v>493</v>
      </c>
      <c r="C1004" s="770" t="s">
        <v>645</v>
      </c>
      <c r="D1004" s="770" t="s">
        <v>494</v>
      </c>
      <c r="E1004" s="770" t="s">
        <v>495</v>
      </c>
      <c r="F1004" s="770" t="s">
        <v>521</v>
      </c>
      <c r="G1004" s="770" t="s">
        <v>103</v>
      </c>
      <c r="H1004" s="770">
        <v>2019.0</v>
      </c>
      <c r="I1004" s="771">
        <v>575.6756934</v>
      </c>
      <c r="J1004" s="771">
        <v>1358.404862</v>
      </c>
      <c r="K1004" s="772">
        <v>172.2181821</v>
      </c>
      <c r="M1004" s="769" t="s">
        <v>493</v>
      </c>
      <c r="N1004" s="770" t="s">
        <v>645</v>
      </c>
      <c r="O1004" s="770" t="s">
        <v>494</v>
      </c>
      <c r="P1004" s="770" t="s">
        <v>495</v>
      </c>
      <c r="Q1004" s="770" t="s">
        <v>521</v>
      </c>
      <c r="R1004" s="770" t="s">
        <v>497</v>
      </c>
      <c r="S1004" s="770">
        <v>2019.0</v>
      </c>
      <c r="T1004" s="771">
        <v>26.76805849</v>
      </c>
      <c r="U1004" s="771">
        <v>63.1637938</v>
      </c>
      <c r="V1004" s="772">
        <v>8.007887814</v>
      </c>
      <c r="AW1004" s="714"/>
    </row>
    <row r="1005">
      <c r="A1005" s="761"/>
      <c r="B1005" s="769" t="s">
        <v>493</v>
      </c>
      <c r="C1005" s="770" t="s">
        <v>645</v>
      </c>
      <c r="D1005" s="770" t="s">
        <v>494</v>
      </c>
      <c r="E1005" s="770" t="s">
        <v>505</v>
      </c>
      <c r="F1005" s="770" t="s">
        <v>521</v>
      </c>
      <c r="G1005" s="770" t="s">
        <v>103</v>
      </c>
      <c r="H1005" s="770">
        <v>2019.0</v>
      </c>
      <c r="I1005" s="771">
        <v>0.0</v>
      </c>
      <c r="J1005" s="771">
        <v>0.0</v>
      </c>
      <c r="K1005" s="772">
        <v>0.0</v>
      </c>
      <c r="M1005" s="769" t="s">
        <v>493</v>
      </c>
      <c r="N1005" s="770" t="s">
        <v>645</v>
      </c>
      <c r="O1005" s="770" t="s">
        <v>494</v>
      </c>
      <c r="P1005" s="770" t="s">
        <v>505</v>
      </c>
      <c r="Q1005" s="770" t="s">
        <v>521</v>
      </c>
      <c r="R1005" s="770" t="s">
        <v>497</v>
      </c>
      <c r="S1005" s="770">
        <v>2019.0</v>
      </c>
      <c r="T1005" s="771">
        <v>0.0</v>
      </c>
      <c r="U1005" s="771">
        <v>0.0</v>
      </c>
      <c r="V1005" s="772">
        <v>0.0</v>
      </c>
      <c r="AW1005" s="714"/>
    </row>
    <row r="1006">
      <c r="A1006" s="761"/>
      <c r="B1006" s="769" t="s">
        <v>493</v>
      </c>
      <c r="C1006" s="770" t="s">
        <v>645</v>
      </c>
      <c r="D1006" s="770" t="s">
        <v>494</v>
      </c>
      <c r="E1006" s="770" t="s">
        <v>508</v>
      </c>
      <c r="F1006" s="770" t="s">
        <v>521</v>
      </c>
      <c r="G1006" s="770" t="s">
        <v>103</v>
      </c>
      <c r="H1006" s="770">
        <v>2019.0</v>
      </c>
      <c r="I1006" s="771">
        <v>167.4684951</v>
      </c>
      <c r="J1006" s="771">
        <v>408.3253165</v>
      </c>
      <c r="K1006" s="772">
        <v>47.7867049</v>
      </c>
      <c r="M1006" s="769" t="s">
        <v>493</v>
      </c>
      <c r="N1006" s="770" t="s">
        <v>645</v>
      </c>
      <c r="O1006" s="770" t="s">
        <v>494</v>
      </c>
      <c r="P1006" s="770" t="s">
        <v>508</v>
      </c>
      <c r="Q1006" s="770" t="s">
        <v>521</v>
      </c>
      <c r="R1006" s="770" t="s">
        <v>497</v>
      </c>
      <c r="S1006" s="770">
        <v>2019.0</v>
      </c>
      <c r="T1006" s="771">
        <v>40.7518336</v>
      </c>
      <c r="U1006" s="771">
        <v>99.36200444</v>
      </c>
      <c r="V1006" s="772">
        <v>11.62843104</v>
      </c>
      <c r="AW1006" s="714"/>
    </row>
    <row r="1007">
      <c r="A1007" s="761"/>
      <c r="B1007" s="769" t="s">
        <v>493</v>
      </c>
      <c r="C1007" s="770" t="s">
        <v>645</v>
      </c>
      <c r="D1007" s="770" t="s">
        <v>494</v>
      </c>
      <c r="E1007" s="770" t="s">
        <v>512</v>
      </c>
      <c r="F1007" s="770" t="s">
        <v>521</v>
      </c>
      <c r="G1007" s="770" t="s">
        <v>103</v>
      </c>
      <c r="H1007" s="770">
        <v>2019.0</v>
      </c>
      <c r="I1007" s="771">
        <v>0.0</v>
      </c>
      <c r="J1007" s="771">
        <v>0.0</v>
      </c>
      <c r="K1007" s="772">
        <v>0.0</v>
      </c>
      <c r="M1007" s="769" t="s">
        <v>493</v>
      </c>
      <c r="N1007" s="770" t="s">
        <v>645</v>
      </c>
      <c r="O1007" s="770" t="s">
        <v>494</v>
      </c>
      <c r="P1007" s="770" t="s">
        <v>512</v>
      </c>
      <c r="Q1007" s="770" t="s">
        <v>521</v>
      </c>
      <c r="R1007" s="770" t="s">
        <v>497</v>
      </c>
      <c r="S1007" s="770">
        <v>2019.0</v>
      </c>
      <c r="T1007" s="771">
        <v>0.0</v>
      </c>
      <c r="U1007" s="771">
        <v>0.0</v>
      </c>
      <c r="V1007" s="772">
        <v>0.0</v>
      </c>
      <c r="AW1007" s="714"/>
    </row>
    <row r="1008">
      <c r="A1008" s="761"/>
      <c r="B1008" s="769" t="s">
        <v>493</v>
      </c>
      <c r="C1008" s="770" t="s">
        <v>645</v>
      </c>
      <c r="D1008" s="770" t="s">
        <v>494</v>
      </c>
      <c r="E1008" s="770" t="s">
        <v>495</v>
      </c>
      <c r="F1008" s="770" t="s">
        <v>523</v>
      </c>
      <c r="G1008" s="770" t="s">
        <v>103</v>
      </c>
      <c r="H1008" s="770">
        <v>2019.0</v>
      </c>
      <c r="I1008" s="771">
        <v>235.169569</v>
      </c>
      <c r="J1008" s="771">
        <v>471.2301448</v>
      </c>
      <c r="K1008" s="772">
        <v>82.15074377</v>
      </c>
      <c r="M1008" s="769" t="s">
        <v>493</v>
      </c>
      <c r="N1008" s="770" t="s">
        <v>645</v>
      </c>
      <c r="O1008" s="770" t="s">
        <v>494</v>
      </c>
      <c r="P1008" s="770" t="s">
        <v>495</v>
      </c>
      <c r="Q1008" s="770" t="s">
        <v>523</v>
      </c>
      <c r="R1008" s="770" t="s">
        <v>497</v>
      </c>
      <c r="S1008" s="770">
        <v>2019.0</v>
      </c>
      <c r="T1008" s="771">
        <v>10.93503313</v>
      </c>
      <c r="U1008" s="771">
        <v>21.91149673</v>
      </c>
      <c r="V1008" s="772">
        <v>3.819886681</v>
      </c>
      <c r="AW1008" s="714"/>
    </row>
    <row r="1009">
      <c r="A1009" s="761"/>
      <c r="B1009" s="769" t="s">
        <v>493</v>
      </c>
      <c r="C1009" s="770" t="s">
        <v>645</v>
      </c>
      <c r="D1009" s="770" t="s">
        <v>494</v>
      </c>
      <c r="E1009" s="770" t="s">
        <v>505</v>
      </c>
      <c r="F1009" s="770" t="s">
        <v>523</v>
      </c>
      <c r="G1009" s="770" t="s">
        <v>103</v>
      </c>
      <c r="H1009" s="770">
        <v>2019.0</v>
      </c>
      <c r="I1009" s="771">
        <v>0.0</v>
      </c>
      <c r="J1009" s="771">
        <v>0.0</v>
      </c>
      <c r="K1009" s="772">
        <v>0.0</v>
      </c>
      <c r="M1009" s="769" t="s">
        <v>493</v>
      </c>
      <c r="N1009" s="770" t="s">
        <v>645</v>
      </c>
      <c r="O1009" s="770" t="s">
        <v>494</v>
      </c>
      <c r="P1009" s="770" t="s">
        <v>505</v>
      </c>
      <c r="Q1009" s="770" t="s">
        <v>523</v>
      </c>
      <c r="R1009" s="770" t="s">
        <v>497</v>
      </c>
      <c r="S1009" s="770">
        <v>2019.0</v>
      </c>
      <c r="T1009" s="771">
        <v>0.0</v>
      </c>
      <c r="U1009" s="771">
        <v>0.0</v>
      </c>
      <c r="V1009" s="772">
        <v>0.0</v>
      </c>
      <c r="AW1009" s="714"/>
    </row>
    <row r="1010">
      <c r="A1010" s="761"/>
      <c r="B1010" s="769" t="s">
        <v>493</v>
      </c>
      <c r="C1010" s="770" t="s">
        <v>645</v>
      </c>
      <c r="D1010" s="770" t="s">
        <v>494</v>
      </c>
      <c r="E1010" s="770" t="s">
        <v>508</v>
      </c>
      <c r="F1010" s="770" t="s">
        <v>523</v>
      </c>
      <c r="G1010" s="770" t="s">
        <v>103</v>
      </c>
      <c r="H1010" s="770">
        <v>2019.0</v>
      </c>
      <c r="I1010" s="771">
        <v>117.5375765</v>
      </c>
      <c r="J1010" s="771">
        <v>266.8364724</v>
      </c>
      <c r="K1010" s="772">
        <v>36.51724937</v>
      </c>
      <c r="M1010" s="769" t="s">
        <v>493</v>
      </c>
      <c r="N1010" s="770" t="s">
        <v>645</v>
      </c>
      <c r="O1010" s="770" t="s">
        <v>494</v>
      </c>
      <c r="P1010" s="770" t="s">
        <v>508</v>
      </c>
      <c r="Q1010" s="770" t="s">
        <v>523</v>
      </c>
      <c r="R1010" s="770" t="s">
        <v>497</v>
      </c>
      <c r="S1010" s="770">
        <v>2019.0</v>
      </c>
      <c r="T1010" s="771">
        <v>28.60162895</v>
      </c>
      <c r="U1010" s="771">
        <v>64.93206688</v>
      </c>
      <c r="V1010" s="772">
        <v>8.886118366</v>
      </c>
      <c r="AW1010" s="714"/>
    </row>
    <row r="1011">
      <c r="A1011" s="761"/>
      <c r="B1011" s="769" t="s">
        <v>493</v>
      </c>
      <c r="C1011" s="770" t="s">
        <v>645</v>
      </c>
      <c r="D1011" s="770" t="s">
        <v>494</v>
      </c>
      <c r="E1011" s="770" t="s">
        <v>512</v>
      </c>
      <c r="F1011" s="770" t="s">
        <v>523</v>
      </c>
      <c r="G1011" s="770" t="s">
        <v>103</v>
      </c>
      <c r="H1011" s="770">
        <v>2019.0</v>
      </c>
      <c r="I1011" s="771">
        <v>0.0</v>
      </c>
      <c r="J1011" s="771">
        <v>0.0</v>
      </c>
      <c r="K1011" s="772">
        <v>0.0</v>
      </c>
      <c r="M1011" s="769" t="s">
        <v>493</v>
      </c>
      <c r="N1011" s="770" t="s">
        <v>645</v>
      </c>
      <c r="O1011" s="770" t="s">
        <v>494</v>
      </c>
      <c r="P1011" s="770" t="s">
        <v>512</v>
      </c>
      <c r="Q1011" s="770" t="s">
        <v>523</v>
      </c>
      <c r="R1011" s="770" t="s">
        <v>497</v>
      </c>
      <c r="S1011" s="770">
        <v>2019.0</v>
      </c>
      <c r="T1011" s="771">
        <v>0.0</v>
      </c>
      <c r="U1011" s="771">
        <v>0.0</v>
      </c>
      <c r="V1011" s="772">
        <v>0.0</v>
      </c>
      <c r="AW1011" s="714"/>
    </row>
    <row r="1012">
      <c r="A1012" s="761"/>
      <c r="B1012" s="769" t="s">
        <v>493</v>
      </c>
      <c r="C1012" s="770" t="s">
        <v>646</v>
      </c>
      <c r="D1012" s="770" t="s">
        <v>494</v>
      </c>
      <c r="E1012" s="770" t="s">
        <v>495</v>
      </c>
      <c r="F1012" s="770" t="s">
        <v>496</v>
      </c>
      <c r="G1012" s="770" t="s">
        <v>103</v>
      </c>
      <c r="H1012" s="770">
        <v>2019.0</v>
      </c>
      <c r="I1012" s="771">
        <v>28123.75102</v>
      </c>
      <c r="J1012" s="771">
        <v>34295.32888</v>
      </c>
      <c r="K1012" s="772">
        <v>22859.61779</v>
      </c>
      <c r="M1012" s="769" t="s">
        <v>493</v>
      </c>
      <c r="N1012" s="770" t="s">
        <v>646</v>
      </c>
      <c r="O1012" s="770" t="s">
        <v>494</v>
      </c>
      <c r="P1012" s="770" t="s">
        <v>495</v>
      </c>
      <c r="Q1012" s="770" t="s">
        <v>496</v>
      </c>
      <c r="R1012" s="770" t="s">
        <v>497</v>
      </c>
      <c r="S1012" s="770">
        <v>2019.0</v>
      </c>
      <c r="T1012" s="771">
        <v>2287.119594</v>
      </c>
      <c r="U1012" s="771">
        <v>2789.013407</v>
      </c>
      <c r="V1012" s="772">
        <v>1859.022281</v>
      </c>
      <c r="AW1012" s="714"/>
    </row>
    <row r="1013">
      <c r="A1013" s="761"/>
      <c r="B1013" s="769" t="s">
        <v>493</v>
      </c>
      <c r="C1013" s="770" t="s">
        <v>646</v>
      </c>
      <c r="D1013" s="770" t="s">
        <v>494</v>
      </c>
      <c r="E1013" s="770" t="s">
        <v>505</v>
      </c>
      <c r="F1013" s="770" t="s">
        <v>496</v>
      </c>
      <c r="G1013" s="770" t="s">
        <v>103</v>
      </c>
      <c r="H1013" s="770">
        <v>2019.0</v>
      </c>
      <c r="I1013" s="771">
        <v>6231.042656</v>
      </c>
      <c r="J1013" s="771">
        <v>7576.289972</v>
      </c>
      <c r="K1013" s="772">
        <v>5101.174165</v>
      </c>
      <c r="M1013" s="769" t="s">
        <v>493</v>
      </c>
      <c r="N1013" s="770" t="s">
        <v>646</v>
      </c>
      <c r="O1013" s="770" t="s">
        <v>494</v>
      </c>
      <c r="P1013" s="770" t="s">
        <v>505</v>
      </c>
      <c r="Q1013" s="770" t="s">
        <v>496</v>
      </c>
      <c r="R1013" s="770" t="s">
        <v>497</v>
      </c>
      <c r="S1013" s="770">
        <v>2019.0</v>
      </c>
      <c r="T1013" s="771">
        <v>117481.972</v>
      </c>
      <c r="U1013" s="771">
        <v>142845.6737</v>
      </c>
      <c r="V1013" s="772">
        <v>96179.08806</v>
      </c>
      <c r="AW1013" s="714"/>
    </row>
    <row r="1014">
      <c r="A1014" s="761"/>
      <c r="B1014" s="769" t="s">
        <v>493</v>
      </c>
      <c r="C1014" s="770" t="s">
        <v>646</v>
      </c>
      <c r="D1014" s="770" t="s">
        <v>494</v>
      </c>
      <c r="E1014" s="770" t="s">
        <v>508</v>
      </c>
      <c r="F1014" s="770" t="s">
        <v>496</v>
      </c>
      <c r="G1014" s="770" t="s">
        <v>103</v>
      </c>
      <c r="H1014" s="770">
        <v>2019.0</v>
      </c>
      <c r="I1014" s="771">
        <v>10739.07716</v>
      </c>
      <c r="J1014" s="771">
        <v>13013.14017</v>
      </c>
      <c r="K1014" s="772">
        <v>8821.456006</v>
      </c>
      <c r="M1014" s="769" t="s">
        <v>493</v>
      </c>
      <c r="N1014" s="770" t="s">
        <v>646</v>
      </c>
      <c r="O1014" s="770" t="s">
        <v>494</v>
      </c>
      <c r="P1014" s="770" t="s">
        <v>508</v>
      </c>
      <c r="Q1014" s="770" t="s">
        <v>496</v>
      </c>
      <c r="R1014" s="770" t="s">
        <v>497</v>
      </c>
      <c r="S1014" s="770">
        <v>2019.0</v>
      </c>
      <c r="T1014" s="771">
        <v>4435.193136</v>
      </c>
      <c r="U1014" s="771">
        <v>5374.371479</v>
      </c>
      <c r="V1014" s="772">
        <v>3643.223767</v>
      </c>
      <c r="AW1014" s="714"/>
    </row>
    <row r="1015">
      <c r="A1015" s="761"/>
      <c r="B1015" s="769" t="s">
        <v>493</v>
      </c>
      <c r="C1015" s="770" t="s">
        <v>646</v>
      </c>
      <c r="D1015" s="770" t="s">
        <v>494</v>
      </c>
      <c r="E1015" s="770" t="s">
        <v>512</v>
      </c>
      <c r="F1015" s="770" t="s">
        <v>496</v>
      </c>
      <c r="G1015" s="770" t="s">
        <v>103</v>
      </c>
      <c r="H1015" s="770">
        <v>2019.0</v>
      </c>
      <c r="I1015" s="771">
        <v>1797.251987</v>
      </c>
      <c r="J1015" s="771">
        <v>2667.260019</v>
      </c>
      <c r="K1015" s="772">
        <v>1167.764895</v>
      </c>
      <c r="M1015" s="769" t="s">
        <v>493</v>
      </c>
      <c r="N1015" s="770" t="s">
        <v>646</v>
      </c>
      <c r="O1015" s="770" t="s">
        <v>494</v>
      </c>
      <c r="P1015" s="770" t="s">
        <v>512</v>
      </c>
      <c r="Q1015" s="770" t="s">
        <v>496</v>
      </c>
      <c r="R1015" s="770" t="s">
        <v>497</v>
      </c>
      <c r="S1015" s="770">
        <v>2019.0</v>
      </c>
      <c r="T1015" s="771">
        <v>11473.34974</v>
      </c>
      <c r="U1015" s="771">
        <v>17027.33244</v>
      </c>
      <c r="V1015" s="772">
        <v>7454.811656</v>
      </c>
      <c r="AW1015" s="714"/>
    </row>
    <row r="1016">
      <c r="A1016" s="761"/>
      <c r="B1016" s="769" t="s">
        <v>493</v>
      </c>
      <c r="C1016" s="770" t="s">
        <v>646</v>
      </c>
      <c r="D1016" s="770" t="s">
        <v>494</v>
      </c>
      <c r="E1016" s="770" t="s">
        <v>495</v>
      </c>
      <c r="F1016" s="770" t="s">
        <v>514</v>
      </c>
      <c r="G1016" s="770" t="s">
        <v>103</v>
      </c>
      <c r="H1016" s="770">
        <v>2019.0</v>
      </c>
      <c r="I1016" s="771">
        <v>23066.64998</v>
      </c>
      <c r="J1016" s="771">
        <v>28597.54016</v>
      </c>
      <c r="K1016" s="772">
        <v>18044.45587</v>
      </c>
      <c r="M1016" s="769" t="s">
        <v>493</v>
      </c>
      <c r="N1016" s="770" t="s">
        <v>646</v>
      </c>
      <c r="O1016" s="770" t="s">
        <v>494</v>
      </c>
      <c r="P1016" s="770" t="s">
        <v>495</v>
      </c>
      <c r="Q1016" s="770" t="s">
        <v>514</v>
      </c>
      <c r="R1016" s="770" t="s">
        <v>497</v>
      </c>
      <c r="S1016" s="770">
        <v>2019.0</v>
      </c>
      <c r="T1016" s="771">
        <v>1875.858846</v>
      </c>
      <c r="U1016" s="771">
        <v>2325.649747</v>
      </c>
      <c r="V1016" s="772">
        <v>1467.436849</v>
      </c>
      <c r="AW1016" s="714"/>
    </row>
    <row r="1017">
      <c r="A1017" s="761"/>
      <c r="B1017" s="769" t="s">
        <v>493</v>
      </c>
      <c r="C1017" s="770" t="s">
        <v>646</v>
      </c>
      <c r="D1017" s="770" t="s">
        <v>494</v>
      </c>
      <c r="E1017" s="770" t="s">
        <v>505</v>
      </c>
      <c r="F1017" s="770" t="s">
        <v>514</v>
      </c>
      <c r="G1017" s="770" t="s">
        <v>103</v>
      </c>
      <c r="H1017" s="770">
        <v>2019.0</v>
      </c>
      <c r="I1017" s="771">
        <v>5715.171125</v>
      </c>
      <c r="J1017" s="771">
        <v>6950.588612</v>
      </c>
      <c r="K1017" s="772">
        <v>4614.826193</v>
      </c>
      <c r="M1017" s="769" t="s">
        <v>493</v>
      </c>
      <c r="N1017" s="770" t="s">
        <v>646</v>
      </c>
      <c r="O1017" s="770" t="s">
        <v>494</v>
      </c>
      <c r="P1017" s="770" t="s">
        <v>505</v>
      </c>
      <c r="Q1017" s="770" t="s">
        <v>514</v>
      </c>
      <c r="R1017" s="770" t="s">
        <v>497</v>
      </c>
      <c r="S1017" s="770">
        <v>2019.0</v>
      </c>
      <c r="T1017" s="771">
        <v>107755.5734</v>
      </c>
      <c r="U1017" s="771">
        <v>131048.5101</v>
      </c>
      <c r="V1017" s="772">
        <v>87009.3356</v>
      </c>
      <c r="AW1017" s="714"/>
    </row>
    <row r="1018">
      <c r="A1018" s="761"/>
      <c r="B1018" s="769" t="s">
        <v>493</v>
      </c>
      <c r="C1018" s="770" t="s">
        <v>646</v>
      </c>
      <c r="D1018" s="770" t="s">
        <v>494</v>
      </c>
      <c r="E1018" s="770" t="s">
        <v>508</v>
      </c>
      <c r="F1018" s="770" t="s">
        <v>514</v>
      </c>
      <c r="G1018" s="770" t="s">
        <v>103</v>
      </c>
      <c r="H1018" s="770">
        <v>2019.0</v>
      </c>
      <c r="I1018" s="771">
        <v>8403.012022</v>
      </c>
      <c r="J1018" s="771">
        <v>10646.39854</v>
      </c>
      <c r="K1018" s="772">
        <v>6381.158528</v>
      </c>
      <c r="M1018" s="769" t="s">
        <v>493</v>
      </c>
      <c r="N1018" s="770" t="s">
        <v>646</v>
      </c>
      <c r="O1018" s="770" t="s">
        <v>494</v>
      </c>
      <c r="P1018" s="770" t="s">
        <v>508</v>
      </c>
      <c r="Q1018" s="770" t="s">
        <v>514</v>
      </c>
      <c r="R1018" s="770" t="s">
        <v>497</v>
      </c>
      <c r="S1018" s="770">
        <v>2019.0</v>
      </c>
      <c r="T1018" s="771">
        <v>3470.408183</v>
      </c>
      <c r="U1018" s="771">
        <v>4396.917264</v>
      </c>
      <c r="V1018" s="772">
        <v>2635.3913</v>
      </c>
      <c r="AW1018" s="714"/>
    </row>
    <row r="1019">
      <c r="A1019" s="761"/>
      <c r="B1019" s="769" t="s">
        <v>493</v>
      </c>
      <c r="C1019" s="770" t="s">
        <v>646</v>
      </c>
      <c r="D1019" s="770" t="s">
        <v>494</v>
      </c>
      <c r="E1019" s="770" t="s">
        <v>512</v>
      </c>
      <c r="F1019" s="770" t="s">
        <v>514</v>
      </c>
      <c r="G1019" s="770" t="s">
        <v>103</v>
      </c>
      <c r="H1019" s="770">
        <v>2019.0</v>
      </c>
      <c r="I1019" s="771">
        <v>1570.365729</v>
      </c>
      <c r="J1019" s="771">
        <v>2343.095942</v>
      </c>
      <c r="K1019" s="772">
        <v>1018.760583</v>
      </c>
      <c r="M1019" s="769" t="s">
        <v>493</v>
      </c>
      <c r="N1019" s="770" t="s">
        <v>646</v>
      </c>
      <c r="O1019" s="770" t="s">
        <v>494</v>
      </c>
      <c r="P1019" s="770" t="s">
        <v>512</v>
      </c>
      <c r="Q1019" s="770" t="s">
        <v>514</v>
      </c>
      <c r="R1019" s="770" t="s">
        <v>497</v>
      </c>
      <c r="S1019" s="770">
        <v>2019.0</v>
      </c>
      <c r="T1019" s="771">
        <v>10024.94662</v>
      </c>
      <c r="U1019" s="771">
        <v>14957.92434</v>
      </c>
      <c r="V1019" s="772">
        <v>6503.593573</v>
      </c>
      <c r="AW1019" s="714"/>
    </row>
    <row r="1020">
      <c r="A1020" s="761"/>
      <c r="B1020" s="769" t="s">
        <v>493</v>
      </c>
      <c r="C1020" s="770" t="s">
        <v>646</v>
      </c>
      <c r="D1020" s="770" t="s">
        <v>494</v>
      </c>
      <c r="E1020" s="770" t="s">
        <v>495</v>
      </c>
      <c r="F1020" s="770" t="s">
        <v>518</v>
      </c>
      <c r="G1020" s="770" t="s">
        <v>103</v>
      </c>
      <c r="H1020" s="770">
        <v>2019.0</v>
      </c>
      <c r="I1020" s="771">
        <v>1208.910621</v>
      </c>
      <c r="J1020" s="771">
        <v>3085.951748</v>
      </c>
      <c r="K1020" s="772">
        <v>130.8980771</v>
      </c>
      <c r="M1020" s="769" t="s">
        <v>493</v>
      </c>
      <c r="N1020" s="770" t="s">
        <v>646</v>
      </c>
      <c r="O1020" s="770" t="s">
        <v>494</v>
      </c>
      <c r="P1020" s="770" t="s">
        <v>495</v>
      </c>
      <c r="Q1020" s="770" t="s">
        <v>518</v>
      </c>
      <c r="R1020" s="770" t="s">
        <v>497</v>
      </c>
      <c r="S1020" s="770">
        <v>2019.0</v>
      </c>
      <c r="T1020" s="771">
        <v>98.31274522</v>
      </c>
      <c r="U1020" s="771">
        <v>250.9601477</v>
      </c>
      <c r="V1020" s="772">
        <v>10.6450792</v>
      </c>
      <c r="AW1020" s="714"/>
    </row>
    <row r="1021">
      <c r="A1021" s="761"/>
      <c r="B1021" s="769" t="s">
        <v>493</v>
      </c>
      <c r="C1021" s="770" t="s">
        <v>646</v>
      </c>
      <c r="D1021" s="770" t="s">
        <v>494</v>
      </c>
      <c r="E1021" s="770" t="s">
        <v>505</v>
      </c>
      <c r="F1021" s="770" t="s">
        <v>518</v>
      </c>
      <c r="G1021" s="770" t="s">
        <v>103</v>
      </c>
      <c r="H1021" s="770">
        <v>2019.0</v>
      </c>
      <c r="I1021" s="771">
        <v>14.41069209</v>
      </c>
      <c r="J1021" s="771">
        <v>37.09956147</v>
      </c>
      <c r="K1021" s="772">
        <v>1.513787</v>
      </c>
      <c r="M1021" s="769" t="s">
        <v>493</v>
      </c>
      <c r="N1021" s="770" t="s">
        <v>646</v>
      </c>
      <c r="O1021" s="770" t="s">
        <v>494</v>
      </c>
      <c r="P1021" s="770" t="s">
        <v>505</v>
      </c>
      <c r="Q1021" s="770" t="s">
        <v>518</v>
      </c>
      <c r="R1021" s="770" t="s">
        <v>497</v>
      </c>
      <c r="S1021" s="770">
        <v>2019.0</v>
      </c>
      <c r="T1021" s="771">
        <v>271.7035684</v>
      </c>
      <c r="U1021" s="771">
        <v>699.4864073</v>
      </c>
      <c r="V1021" s="772">
        <v>28.54140017</v>
      </c>
      <c r="AW1021" s="714"/>
    </row>
    <row r="1022">
      <c r="A1022" s="761"/>
      <c r="B1022" s="769" t="s">
        <v>493</v>
      </c>
      <c r="C1022" s="770" t="s">
        <v>646</v>
      </c>
      <c r="D1022" s="770" t="s">
        <v>494</v>
      </c>
      <c r="E1022" s="770" t="s">
        <v>508</v>
      </c>
      <c r="F1022" s="770" t="s">
        <v>518</v>
      </c>
      <c r="G1022" s="770" t="s">
        <v>103</v>
      </c>
      <c r="H1022" s="770">
        <v>2019.0</v>
      </c>
      <c r="I1022" s="771">
        <v>647.6449937</v>
      </c>
      <c r="J1022" s="771">
        <v>1743.897524</v>
      </c>
      <c r="K1022" s="772">
        <v>58.2144848</v>
      </c>
      <c r="M1022" s="769" t="s">
        <v>493</v>
      </c>
      <c r="N1022" s="770" t="s">
        <v>646</v>
      </c>
      <c r="O1022" s="770" t="s">
        <v>494</v>
      </c>
      <c r="P1022" s="770" t="s">
        <v>508</v>
      </c>
      <c r="Q1022" s="770" t="s">
        <v>518</v>
      </c>
      <c r="R1022" s="770" t="s">
        <v>497</v>
      </c>
      <c r="S1022" s="770">
        <v>2019.0</v>
      </c>
      <c r="T1022" s="771">
        <v>267.4746246</v>
      </c>
      <c r="U1022" s="771">
        <v>720.2222517</v>
      </c>
      <c r="V1022" s="772">
        <v>24.04233433</v>
      </c>
      <c r="AW1022" s="714"/>
    </row>
    <row r="1023">
      <c r="A1023" s="761"/>
      <c r="B1023" s="769" t="s">
        <v>493</v>
      </c>
      <c r="C1023" s="770" t="s">
        <v>646</v>
      </c>
      <c r="D1023" s="770" t="s">
        <v>494</v>
      </c>
      <c r="E1023" s="770" t="s">
        <v>512</v>
      </c>
      <c r="F1023" s="770" t="s">
        <v>518</v>
      </c>
      <c r="G1023" s="770" t="s">
        <v>103</v>
      </c>
      <c r="H1023" s="770">
        <v>2019.0</v>
      </c>
      <c r="I1023" s="771">
        <v>36.92939988</v>
      </c>
      <c r="J1023" s="771">
        <v>114.5151896</v>
      </c>
      <c r="K1023" s="772">
        <v>3.450711185</v>
      </c>
      <c r="M1023" s="769" t="s">
        <v>493</v>
      </c>
      <c r="N1023" s="770" t="s">
        <v>646</v>
      </c>
      <c r="O1023" s="770" t="s">
        <v>494</v>
      </c>
      <c r="P1023" s="770" t="s">
        <v>512</v>
      </c>
      <c r="Q1023" s="770" t="s">
        <v>518</v>
      </c>
      <c r="R1023" s="770" t="s">
        <v>497</v>
      </c>
      <c r="S1023" s="770">
        <v>2019.0</v>
      </c>
      <c r="T1023" s="771">
        <v>235.750982</v>
      </c>
      <c r="U1023" s="771">
        <v>731.0454135</v>
      </c>
      <c r="V1023" s="772">
        <v>22.02875089</v>
      </c>
      <c r="AW1023" s="714"/>
    </row>
    <row r="1024">
      <c r="A1024" s="761"/>
      <c r="B1024" s="769" t="s">
        <v>493</v>
      </c>
      <c r="C1024" s="770" t="s">
        <v>646</v>
      </c>
      <c r="D1024" s="770" t="s">
        <v>494</v>
      </c>
      <c r="E1024" s="770" t="s">
        <v>495</v>
      </c>
      <c r="F1024" s="770" t="s">
        <v>519</v>
      </c>
      <c r="G1024" s="770" t="s">
        <v>103</v>
      </c>
      <c r="H1024" s="770">
        <v>2019.0</v>
      </c>
      <c r="I1024" s="771">
        <v>6765.448784</v>
      </c>
      <c r="J1024" s="771">
        <v>8490.786255</v>
      </c>
      <c r="K1024" s="772">
        <v>5341.595632</v>
      </c>
      <c r="M1024" s="769" t="s">
        <v>493</v>
      </c>
      <c r="N1024" s="770" t="s">
        <v>646</v>
      </c>
      <c r="O1024" s="770" t="s">
        <v>494</v>
      </c>
      <c r="P1024" s="770" t="s">
        <v>495</v>
      </c>
      <c r="Q1024" s="770" t="s">
        <v>519</v>
      </c>
      <c r="R1024" s="770" t="s">
        <v>497</v>
      </c>
      <c r="S1024" s="770">
        <v>2019.0</v>
      </c>
      <c r="T1024" s="771">
        <v>550.1894276</v>
      </c>
      <c r="U1024" s="771">
        <v>690.4997701</v>
      </c>
      <c r="V1024" s="772">
        <v>434.3968208</v>
      </c>
      <c r="AW1024" s="714"/>
    </row>
    <row r="1025">
      <c r="A1025" s="761"/>
      <c r="B1025" s="769" t="s">
        <v>493</v>
      </c>
      <c r="C1025" s="770" t="s">
        <v>646</v>
      </c>
      <c r="D1025" s="770" t="s">
        <v>494</v>
      </c>
      <c r="E1025" s="770" t="s">
        <v>505</v>
      </c>
      <c r="F1025" s="770" t="s">
        <v>519</v>
      </c>
      <c r="G1025" s="770" t="s">
        <v>103</v>
      </c>
      <c r="H1025" s="770">
        <v>2019.0</v>
      </c>
      <c r="I1025" s="771">
        <v>5205.014577</v>
      </c>
      <c r="J1025" s="771">
        <v>6379.408201</v>
      </c>
      <c r="K1025" s="772">
        <v>4166.225897</v>
      </c>
      <c r="M1025" s="769" t="s">
        <v>493</v>
      </c>
      <c r="N1025" s="770" t="s">
        <v>646</v>
      </c>
      <c r="O1025" s="770" t="s">
        <v>494</v>
      </c>
      <c r="P1025" s="770" t="s">
        <v>505</v>
      </c>
      <c r="Q1025" s="770" t="s">
        <v>519</v>
      </c>
      <c r="R1025" s="770" t="s">
        <v>497</v>
      </c>
      <c r="S1025" s="770">
        <v>2019.0</v>
      </c>
      <c r="T1025" s="771">
        <v>98136.92676</v>
      </c>
      <c r="U1025" s="771">
        <v>120279.3011</v>
      </c>
      <c r="V1025" s="772">
        <v>78551.28928</v>
      </c>
      <c r="AW1025" s="714"/>
    </row>
    <row r="1026">
      <c r="A1026" s="761"/>
      <c r="B1026" s="769" t="s">
        <v>493</v>
      </c>
      <c r="C1026" s="770" t="s">
        <v>646</v>
      </c>
      <c r="D1026" s="770" t="s">
        <v>494</v>
      </c>
      <c r="E1026" s="770" t="s">
        <v>508</v>
      </c>
      <c r="F1026" s="770" t="s">
        <v>519</v>
      </c>
      <c r="G1026" s="770" t="s">
        <v>103</v>
      </c>
      <c r="H1026" s="770">
        <v>2019.0</v>
      </c>
      <c r="I1026" s="771">
        <v>533.734039</v>
      </c>
      <c r="J1026" s="771">
        <v>916.9311935</v>
      </c>
      <c r="K1026" s="772">
        <v>285.6769234</v>
      </c>
      <c r="M1026" s="769" t="s">
        <v>493</v>
      </c>
      <c r="N1026" s="770" t="s">
        <v>646</v>
      </c>
      <c r="O1026" s="770" t="s">
        <v>494</v>
      </c>
      <c r="P1026" s="770" t="s">
        <v>508</v>
      </c>
      <c r="Q1026" s="770" t="s">
        <v>519</v>
      </c>
      <c r="R1026" s="770" t="s">
        <v>497</v>
      </c>
      <c r="S1026" s="770">
        <v>2019.0</v>
      </c>
      <c r="T1026" s="771">
        <v>220.4298854</v>
      </c>
      <c r="U1026" s="771">
        <v>378.6886784</v>
      </c>
      <c r="V1026" s="772">
        <v>117.9833529</v>
      </c>
      <c r="AW1026" s="714"/>
    </row>
    <row r="1027">
      <c r="A1027" s="761"/>
      <c r="B1027" s="769" t="s">
        <v>493</v>
      </c>
      <c r="C1027" s="770" t="s">
        <v>646</v>
      </c>
      <c r="D1027" s="770" t="s">
        <v>494</v>
      </c>
      <c r="E1027" s="770" t="s">
        <v>512</v>
      </c>
      <c r="F1027" s="770" t="s">
        <v>519</v>
      </c>
      <c r="G1027" s="770" t="s">
        <v>103</v>
      </c>
      <c r="H1027" s="770">
        <v>2019.0</v>
      </c>
      <c r="I1027" s="771">
        <v>981.8020698</v>
      </c>
      <c r="J1027" s="771">
        <v>1508.299106</v>
      </c>
      <c r="K1027" s="772">
        <v>602.7656915</v>
      </c>
      <c r="M1027" s="769" t="s">
        <v>493</v>
      </c>
      <c r="N1027" s="770" t="s">
        <v>646</v>
      </c>
      <c r="O1027" s="770" t="s">
        <v>494</v>
      </c>
      <c r="P1027" s="770" t="s">
        <v>512</v>
      </c>
      <c r="Q1027" s="770" t="s">
        <v>519</v>
      </c>
      <c r="R1027" s="770" t="s">
        <v>497</v>
      </c>
      <c r="S1027" s="770">
        <v>2019.0</v>
      </c>
      <c r="T1027" s="771">
        <v>6267.656739</v>
      </c>
      <c r="U1027" s="771">
        <v>9628.7239</v>
      </c>
      <c r="V1027" s="772">
        <v>3847.953233</v>
      </c>
      <c r="AW1027" s="714"/>
    </row>
    <row r="1028">
      <c r="A1028" s="761"/>
      <c r="B1028" s="769" t="s">
        <v>493</v>
      </c>
      <c r="C1028" s="770" t="s">
        <v>646</v>
      </c>
      <c r="D1028" s="770" t="s">
        <v>494</v>
      </c>
      <c r="E1028" s="770" t="s">
        <v>495</v>
      </c>
      <c r="F1028" s="770" t="s">
        <v>521</v>
      </c>
      <c r="G1028" s="770" t="s">
        <v>103</v>
      </c>
      <c r="H1028" s="770">
        <v>2019.0</v>
      </c>
      <c r="I1028" s="771">
        <v>49.31819541</v>
      </c>
      <c r="J1028" s="771">
        <v>126.1045042</v>
      </c>
      <c r="K1028" s="772">
        <v>14.20506992</v>
      </c>
      <c r="M1028" s="769" t="s">
        <v>493</v>
      </c>
      <c r="N1028" s="770" t="s">
        <v>646</v>
      </c>
      <c r="O1028" s="770" t="s">
        <v>494</v>
      </c>
      <c r="P1028" s="770" t="s">
        <v>495</v>
      </c>
      <c r="Q1028" s="770" t="s">
        <v>521</v>
      </c>
      <c r="R1028" s="770" t="s">
        <v>497</v>
      </c>
      <c r="S1028" s="770">
        <v>2019.0</v>
      </c>
      <c r="T1028" s="771">
        <v>4.01072428</v>
      </c>
      <c r="U1028" s="771">
        <v>10.25524946</v>
      </c>
      <c r="V1028" s="772">
        <v>1.155204856</v>
      </c>
      <c r="AW1028" s="714"/>
    </row>
    <row r="1029">
      <c r="A1029" s="761"/>
      <c r="B1029" s="769" t="s">
        <v>493</v>
      </c>
      <c r="C1029" s="770" t="s">
        <v>646</v>
      </c>
      <c r="D1029" s="770" t="s">
        <v>494</v>
      </c>
      <c r="E1029" s="770" t="s">
        <v>505</v>
      </c>
      <c r="F1029" s="770" t="s">
        <v>521</v>
      </c>
      <c r="G1029" s="770" t="s">
        <v>103</v>
      </c>
      <c r="H1029" s="770">
        <v>2019.0</v>
      </c>
      <c r="I1029" s="771">
        <v>0.0</v>
      </c>
      <c r="J1029" s="771">
        <v>0.0</v>
      </c>
      <c r="K1029" s="772">
        <v>0.0</v>
      </c>
      <c r="M1029" s="769" t="s">
        <v>493</v>
      </c>
      <c r="N1029" s="770" t="s">
        <v>646</v>
      </c>
      <c r="O1029" s="770" t="s">
        <v>494</v>
      </c>
      <c r="P1029" s="770" t="s">
        <v>505</v>
      </c>
      <c r="Q1029" s="770" t="s">
        <v>521</v>
      </c>
      <c r="R1029" s="770" t="s">
        <v>497</v>
      </c>
      <c r="S1029" s="770">
        <v>2019.0</v>
      </c>
      <c r="T1029" s="771">
        <v>0.0</v>
      </c>
      <c r="U1029" s="771">
        <v>0.0</v>
      </c>
      <c r="V1029" s="772">
        <v>0.0</v>
      </c>
      <c r="AW1029" s="714"/>
    </row>
    <row r="1030">
      <c r="A1030" s="761"/>
      <c r="B1030" s="769" t="s">
        <v>493</v>
      </c>
      <c r="C1030" s="770" t="s">
        <v>646</v>
      </c>
      <c r="D1030" s="770" t="s">
        <v>494</v>
      </c>
      <c r="E1030" s="770" t="s">
        <v>508</v>
      </c>
      <c r="F1030" s="770" t="s">
        <v>521</v>
      </c>
      <c r="G1030" s="770" t="s">
        <v>103</v>
      </c>
      <c r="H1030" s="770">
        <v>2019.0</v>
      </c>
      <c r="I1030" s="771">
        <v>15.37841033</v>
      </c>
      <c r="J1030" s="771">
        <v>37.76939588</v>
      </c>
      <c r="K1030" s="772">
        <v>4.590964185</v>
      </c>
      <c r="M1030" s="769" t="s">
        <v>493</v>
      </c>
      <c r="N1030" s="770" t="s">
        <v>646</v>
      </c>
      <c r="O1030" s="770" t="s">
        <v>494</v>
      </c>
      <c r="P1030" s="770" t="s">
        <v>508</v>
      </c>
      <c r="Q1030" s="770" t="s">
        <v>521</v>
      </c>
      <c r="R1030" s="770" t="s">
        <v>497</v>
      </c>
      <c r="S1030" s="770">
        <v>2019.0</v>
      </c>
      <c r="T1030" s="771">
        <v>6.351217981</v>
      </c>
      <c r="U1030" s="771">
        <v>15.59859967</v>
      </c>
      <c r="V1030" s="772">
        <v>1.896048659</v>
      </c>
      <c r="AW1030" s="714"/>
    </row>
    <row r="1031">
      <c r="A1031" s="761"/>
      <c r="B1031" s="769" t="s">
        <v>493</v>
      </c>
      <c r="C1031" s="770" t="s">
        <v>646</v>
      </c>
      <c r="D1031" s="770" t="s">
        <v>494</v>
      </c>
      <c r="E1031" s="770" t="s">
        <v>512</v>
      </c>
      <c r="F1031" s="770" t="s">
        <v>521</v>
      </c>
      <c r="G1031" s="770" t="s">
        <v>103</v>
      </c>
      <c r="H1031" s="770">
        <v>2019.0</v>
      </c>
      <c r="I1031" s="771">
        <v>0.0</v>
      </c>
      <c r="J1031" s="771">
        <v>0.0</v>
      </c>
      <c r="K1031" s="772">
        <v>0.0</v>
      </c>
      <c r="M1031" s="769" t="s">
        <v>493</v>
      </c>
      <c r="N1031" s="770" t="s">
        <v>646</v>
      </c>
      <c r="O1031" s="770" t="s">
        <v>494</v>
      </c>
      <c r="P1031" s="770" t="s">
        <v>512</v>
      </c>
      <c r="Q1031" s="770" t="s">
        <v>521</v>
      </c>
      <c r="R1031" s="770" t="s">
        <v>497</v>
      </c>
      <c r="S1031" s="770">
        <v>2019.0</v>
      </c>
      <c r="T1031" s="771">
        <v>0.0</v>
      </c>
      <c r="U1031" s="771">
        <v>0.0</v>
      </c>
      <c r="V1031" s="772">
        <v>0.0</v>
      </c>
      <c r="AW1031" s="714"/>
    </row>
    <row r="1032">
      <c r="A1032" s="761"/>
      <c r="B1032" s="769" t="s">
        <v>493</v>
      </c>
      <c r="C1032" s="770" t="s">
        <v>646</v>
      </c>
      <c r="D1032" s="770" t="s">
        <v>494</v>
      </c>
      <c r="E1032" s="770" t="s">
        <v>495</v>
      </c>
      <c r="F1032" s="770" t="s">
        <v>523</v>
      </c>
      <c r="G1032" s="770" t="s">
        <v>103</v>
      </c>
      <c r="H1032" s="770">
        <v>2019.0</v>
      </c>
      <c r="I1032" s="771">
        <v>971.7854418</v>
      </c>
      <c r="J1032" s="771">
        <v>1699.000129</v>
      </c>
      <c r="K1032" s="772">
        <v>494.9711479</v>
      </c>
      <c r="M1032" s="769" t="s">
        <v>493</v>
      </c>
      <c r="N1032" s="770" t="s">
        <v>646</v>
      </c>
      <c r="O1032" s="770" t="s">
        <v>494</v>
      </c>
      <c r="P1032" s="770" t="s">
        <v>495</v>
      </c>
      <c r="Q1032" s="770" t="s">
        <v>523</v>
      </c>
      <c r="R1032" s="770" t="s">
        <v>497</v>
      </c>
      <c r="S1032" s="770">
        <v>2019.0</v>
      </c>
      <c r="T1032" s="771">
        <v>79.02891487</v>
      </c>
      <c r="U1032" s="771">
        <v>138.1684998</v>
      </c>
      <c r="V1032" s="772">
        <v>40.25274616</v>
      </c>
      <c r="AW1032" s="714"/>
    </row>
    <row r="1033">
      <c r="A1033" s="761"/>
      <c r="B1033" s="769" t="s">
        <v>493</v>
      </c>
      <c r="C1033" s="770" t="s">
        <v>646</v>
      </c>
      <c r="D1033" s="770" t="s">
        <v>494</v>
      </c>
      <c r="E1033" s="770" t="s">
        <v>505</v>
      </c>
      <c r="F1033" s="770" t="s">
        <v>523</v>
      </c>
      <c r="G1033" s="770" t="s">
        <v>103</v>
      </c>
      <c r="H1033" s="770">
        <v>2019.0</v>
      </c>
      <c r="I1033" s="771">
        <v>0.0</v>
      </c>
      <c r="J1033" s="771">
        <v>0.0</v>
      </c>
      <c r="K1033" s="772">
        <v>0.0</v>
      </c>
      <c r="M1033" s="769" t="s">
        <v>493</v>
      </c>
      <c r="N1033" s="770" t="s">
        <v>646</v>
      </c>
      <c r="O1033" s="770" t="s">
        <v>494</v>
      </c>
      <c r="P1033" s="770" t="s">
        <v>505</v>
      </c>
      <c r="Q1033" s="770" t="s">
        <v>523</v>
      </c>
      <c r="R1033" s="770" t="s">
        <v>497</v>
      </c>
      <c r="S1033" s="770">
        <v>2019.0</v>
      </c>
      <c r="T1033" s="771">
        <v>0.0</v>
      </c>
      <c r="U1033" s="771">
        <v>0.0</v>
      </c>
      <c r="V1033" s="772">
        <v>0.0</v>
      </c>
      <c r="AW1033" s="714"/>
    </row>
    <row r="1034">
      <c r="A1034" s="761"/>
      <c r="B1034" s="769" t="s">
        <v>493</v>
      </c>
      <c r="C1034" s="770" t="s">
        <v>646</v>
      </c>
      <c r="D1034" s="770" t="s">
        <v>494</v>
      </c>
      <c r="E1034" s="770" t="s">
        <v>508</v>
      </c>
      <c r="F1034" s="770" t="s">
        <v>523</v>
      </c>
      <c r="G1034" s="770" t="s">
        <v>103</v>
      </c>
      <c r="H1034" s="770">
        <v>2019.0</v>
      </c>
      <c r="I1034" s="771">
        <v>519.3500139</v>
      </c>
      <c r="J1034" s="771">
        <v>987.9983876</v>
      </c>
      <c r="K1034" s="772">
        <v>236.1996014</v>
      </c>
      <c r="M1034" s="769" t="s">
        <v>493</v>
      </c>
      <c r="N1034" s="770" t="s">
        <v>646</v>
      </c>
      <c r="O1034" s="770" t="s">
        <v>494</v>
      </c>
      <c r="P1034" s="770" t="s">
        <v>508</v>
      </c>
      <c r="Q1034" s="770" t="s">
        <v>523</v>
      </c>
      <c r="R1034" s="770" t="s">
        <v>497</v>
      </c>
      <c r="S1034" s="770">
        <v>2019.0</v>
      </c>
      <c r="T1034" s="771">
        <v>214.4893442</v>
      </c>
      <c r="U1034" s="771">
        <v>408.039127</v>
      </c>
      <c r="V1034" s="772">
        <v>97.54942959</v>
      </c>
      <c r="AW1034" s="714"/>
    </row>
    <row r="1035">
      <c r="A1035" s="761"/>
      <c r="B1035" s="769" t="s">
        <v>493</v>
      </c>
      <c r="C1035" s="770" t="s">
        <v>646</v>
      </c>
      <c r="D1035" s="770" t="s">
        <v>494</v>
      </c>
      <c r="E1035" s="770" t="s">
        <v>512</v>
      </c>
      <c r="F1035" s="770" t="s">
        <v>523</v>
      </c>
      <c r="G1035" s="770" t="s">
        <v>103</v>
      </c>
      <c r="H1035" s="770">
        <v>2019.0</v>
      </c>
      <c r="I1035" s="771">
        <v>0.0</v>
      </c>
      <c r="J1035" s="771">
        <v>0.0</v>
      </c>
      <c r="K1035" s="772">
        <v>0.0</v>
      </c>
      <c r="M1035" s="769" t="s">
        <v>493</v>
      </c>
      <c r="N1035" s="770" t="s">
        <v>646</v>
      </c>
      <c r="O1035" s="770" t="s">
        <v>494</v>
      </c>
      <c r="P1035" s="770" t="s">
        <v>512</v>
      </c>
      <c r="Q1035" s="770" t="s">
        <v>523</v>
      </c>
      <c r="R1035" s="770" t="s">
        <v>497</v>
      </c>
      <c r="S1035" s="770">
        <v>2019.0</v>
      </c>
      <c r="T1035" s="771">
        <v>0.0</v>
      </c>
      <c r="U1035" s="771">
        <v>0.0</v>
      </c>
      <c r="V1035" s="772">
        <v>0.0</v>
      </c>
      <c r="AW1035" s="714"/>
    </row>
    <row r="1036">
      <c r="A1036" s="761"/>
      <c r="B1036" s="769" t="s">
        <v>493</v>
      </c>
      <c r="C1036" s="770" t="s">
        <v>647</v>
      </c>
      <c r="D1036" s="770" t="s">
        <v>494</v>
      </c>
      <c r="E1036" s="770" t="s">
        <v>495</v>
      </c>
      <c r="F1036" s="770" t="s">
        <v>496</v>
      </c>
      <c r="G1036" s="770" t="s">
        <v>103</v>
      </c>
      <c r="H1036" s="770">
        <v>2019.0</v>
      </c>
      <c r="I1036" s="771">
        <v>80623.17048</v>
      </c>
      <c r="J1036" s="771">
        <v>103690.4271</v>
      </c>
      <c r="K1036" s="772">
        <v>62945.07797</v>
      </c>
      <c r="M1036" s="769" t="s">
        <v>493</v>
      </c>
      <c r="N1036" s="770" t="s">
        <v>647</v>
      </c>
      <c r="O1036" s="770" t="s">
        <v>494</v>
      </c>
      <c r="P1036" s="770" t="s">
        <v>495</v>
      </c>
      <c r="Q1036" s="770" t="s">
        <v>496</v>
      </c>
      <c r="R1036" s="770" t="s">
        <v>497</v>
      </c>
      <c r="S1036" s="770">
        <v>2019.0</v>
      </c>
      <c r="T1036" s="771">
        <v>2160.317361</v>
      </c>
      <c r="U1036" s="771">
        <v>2778.410083</v>
      </c>
      <c r="V1036" s="772">
        <v>1686.628594</v>
      </c>
      <c r="AW1036" s="714"/>
    </row>
    <row r="1037">
      <c r="A1037" s="761"/>
      <c r="B1037" s="769" t="s">
        <v>493</v>
      </c>
      <c r="C1037" s="770" t="s">
        <v>647</v>
      </c>
      <c r="D1037" s="770" t="s">
        <v>494</v>
      </c>
      <c r="E1037" s="770" t="s">
        <v>505</v>
      </c>
      <c r="F1037" s="770" t="s">
        <v>496</v>
      </c>
      <c r="G1037" s="770" t="s">
        <v>103</v>
      </c>
      <c r="H1037" s="770">
        <v>2019.0</v>
      </c>
      <c r="I1037" s="771">
        <v>18753.29675</v>
      </c>
      <c r="J1037" s="771">
        <v>24535.26766</v>
      </c>
      <c r="K1037" s="772">
        <v>14475.74756</v>
      </c>
      <c r="M1037" s="769" t="s">
        <v>493</v>
      </c>
      <c r="N1037" s="770" t="s">
        <v>647</v>
      </c>
      <c r="O1037" s="770" t="s">
        <v>494</v>
      </c>
      <c r="P1037" s="770" t="s">
        <v>505</v>
      </c>
      <c r="Q1037" s="770" t="s">
        <v>496</v>
      </c>
      <c r="R1037" s="770" t="s">
        <v>497</v>
      </c>
      <c r="S1037" s="770">
        <v>2019.0</v>
      </c>
      <c r="T1037" s="771">
        <v>113455.1753</v>
      </c>
      <c r="U1037" s="771">
        <v>148435.3993</v>
      </c>
      <c r="V1037" s="772">
        <v>87576.52045</v>
      </c>
      <c r="AW1037" s="714"/>
    </row>
    <row r="1038">
      <c r="A1038" s="761"/>
      <c r="B1038" s="769" t="s">
        <v>493</v>
      </c>
      <c r="C1038" s="770" t="s">
        <v>647</v>
      </c>
      <c r="D1038" s="770" t="s">
        <v>494</v>
      </c>
      <c r="E1038" s="770" t="s">
        <v>508</v>
      </c>
      <c r="F1038" s="770" t="s">
        <v>496</v>
      </c>
      <c r="G1038" s="770" t="s">
        <v>103</v>
      </c>
      <c r="H1038" s="770">
        <v>2019.0</v>
      </c>
      <c r="I1038" s="771">
        <v>28344.19993</v>
      </c>
      <c r="J1038" s="771">
        <v>36607.35998</v>
      </c>
      <c r="K1038" s="772">
        <v>22076.99102</v>
      </c>
      <c r="M1038" s="769" t="s">
        <v>493</v>
      </c>
      <c r="N1038" s="770" t="s">
        <v>647</v>
      </c>
      <c r="O1038" s="770" t="s">
        <v>494</v>
      </c>
      <c r="P1038" s="770" t="s">
        <v>508</v>
      </c>
      <c r="Q1038" s="770" t="s">
        <v>496</v>
      </c>
      <c r="R1038" s="770" t="s">
        <v>497</v>
      </c>
      <c r="S1038" s="770">
        <v>2019.0</v>
      </c>
      <c r="T1038" s="771">
        <v>3773.402537</v>
      </c>
      <c r="U1038" s="771">
        <v>4873.45931</v>
      </c>
      <c r="V1038" s="772">
        <v>2939.062459</v>
      </c>
      <c r="AW1038" s="714"/>
    </row>
    <row r="1039">
      <c r="A1039" s="761"/>
      <c r="B1039" s="769" t="s">
        <v>493</v>
      </c>
      <c r="C1039" s="770" t="s">
        <v>647</v>
      </c>
      <c r="D1039" s="770" t="s">
        <v>494</v>
      </c>
      <c r="E1039" s="770" t="s">
        <v>512</v>
      </c>
      <c r="F1039" s="770" t="s">
        <v>496</v>
      </c>
      <c r="G1039" s="770" t="s">
        <v>103</v>
      </c>
      <c r="H1039" s="770">
        <v>2019.0</v>
      </c>
      <c r="I1039" s="771">
        <v>8251.982865</v>
      </c>
      <c r="J1039" s="771">
        <v>10694.17357</v>
      </c>
      <c r="K1039" s="772">
        <v>6418.561032</v>
      </c>
      <c r="M1039" s="769" t="s">
        <v>493</v>
      </c>
      <c r="N1039" s="770" t="s">
        <v>647</v>
      </c>
      <c r="O1039" s="770" t="s">
        <v>494</v>
      </c>
      <c r="P1039" s="770" t="s">
        <v>512</v>
      </c>
      <c r="Q1039" s="770" t="s">
        <v>496</v>
      </c>
      <c r="R1039" s="770" t="s">
        <v>497</v>
      </c>
      <c r="S1039" s="770">
        <v>2019.0</v>
      </c>
      <c r="T1039" s="771">
        <v>16929.89238</v>
      </c>
      <c r="U1039" s="771">
        <v>21940.32762</v>
      </c>
      <c r="V1039" s="772">
        <v>13168.41652</v>
      </c>
      <c r="AW1039" s="714"/>
    </row>
    <row r="1040">
      <c r="A1040" s="761"/>
      <c r="B1040" s="769" t="s">
        <v>493</v>
      </c>
      <c r="C1040" s="770" t="s">
        <v>647</v>
      </c>
      <c r="D1040" s="770" t="s">
        <v>494</v>
      </c>
      <c r="E1040" s="770" t="s">
        <v>495</v>
      </c>
      <c r="F1040" s="770" t="s">
        <v>514</v>
      </c>
      <c r="G1040" s="770" t="s">
        <v>103</v>
      </c>
      <c r="H1040" s="770">
        <v>2019.0</v>
      </c>
      <c r="I1040" s="771">
        <v>71026.61926</v>
      </c>
      <c r="J1040" s="771">
        <v>91401.29648</v>
      </c>
      <c r="K1040" s="772">
        <v>55407.71017</v>
      </c>
      <c r="M1040" s="769" t="s">
        <v>493</v>
      </c>
      <c r="N1040" s="770" t="s">
        <v>647</v>
      </c>
      <c r="O1040" s="770" t="s">
        <v>494</v>
      </c>
      <c r="P1040" s="770" t="s">
        <v>495</v>
      </c>
      <c r="Q1040" s="770" t="s">
        <v>514</v>
      </c>
      <c r="R1040" s="770" t="s">
        <v>497</v>
      </c>
      <c r="S1040" s="770">
        <v>2019.0</v>
      </c>
      <c r="T1040" s="771">
        <v>1903.175449</v>
      </c>
      <c r="U1040" s="771">
        <v>2449.119855</v>
      </c>
      <c r="V1040" s="772">
        <v>1484.663001</v>
      </c>
      <c r="AW1040" s="714"/>
    </row>
    <row r="1041">
      <c r="A1041" s="761"/>
      <c r="B1041" s="769" t="s">
        <v>493</v>
      </c>
      <c r="C1041" s="770" t="s">
        <v>647</v>
      </c>
      <c r="D1041" s="770" t="s">
        <v>494</v>
      </c>
      <c r="E1041" s="770" t="s">
        <v>505</v>
      </c>
      <c r="F1041" s="770" t="s">
        <v>514</v>
      </c>
      <c r="G1041" s="770" t="s">
        <v>103</v>
      </c>
      <c r="H1041" s="770">
        <v>2019.0</v>
      </c>
      <c r="I1041" s="771">
        <v>17359.43583</v>
      </c>
      <c r="J1041" s="771">
        <v>22562.98701</v>
      </c>
      <c r="K1041" s="772">
        <v>13349.06932</v>
      </c>
      <c r="M1041" s="769" t="s">
        <v>493</v>
      </c>
      <c r="N1041" s="770" t="s">
        <v>647</v>
      </c>
      <c r="O1041" s="770" t="s">
        <v>494</v>
      </c>
      <c r="P1041" s="770" t="s">
        <v>505</v>
      </c>
      <c r="Q1041" s="770" t="s">
        <v>514</v>
      </c>
      <c r="R1041" s="770" t="s">
        <v>497</v>
      </c>
      <c r="S1041" s="770">
        <v>2019.0</v>
      </c>
      <c r="T1041" s="771">
        <v>105022.4854</v>
      </c>
      <c r="U1041" s="771">
        <v>136503.3401</v>
      </c>
      <c r="V1041" s="772">
        <v>80760.25348</v>
      </c>
      <c r="AW1041" s="714"/>
    </row>
    <row r="1042">
      <c r="A1042" s="761"/>
      <c r="B1042" s="769" t="s">
        <v>493</v>
      </c>
      <c r="C1042" s="770" t="s">
        <v>647</v>
      </c>
      <c r="D1042" s="770" t="s">
        <v>494</v>
      </c>
      <c r="E1042" s="770" t="s">
        <v>508</v>
      </c>
      <c r="F1042" s="770" t="s">
        <v>514</v>
      </c>
      <c r="G1042" s="770" t="s">
        <v>103</v>
      </c>
      <c r="H1042" s="770">
        <v>2019.0</v>
      </c>
      <c r="I1042" s="771">
        <v>24576.08173</v>
      </c>
      <c r="J1042" s="771">
        <v>31803.51027</v>
      </c>
      <c r="K1042" s="772">
        <v>19007.64191</v>
      </c>
      <c r="M1042" s="769" t="s">
        <v>493</v>
      </c>
      <c r="N1042" s="770" t="s">
        <v>647</v>
      </c>
      <c r="O1042" s="770" t="s">
        <v>494</v>
      </c>
      <c r="P1042" s="770" t="s">
        <v>508</v>
      </c>
      <c r="Q1042" s="770" t="s">
        <v>514</v>
      </c>
      <c r="R1042" s="770" t="s">
        <v>497</v>
      </c>
      <c r="S1042" s="770">
        <v>2019.0</v>
      </c>
      <c r="T1042" s="771">
        <v>3271.761044</v>
      </c>
      <c r="U1042" s="771">
        <v>4233.933102</v>
      </c>
      <c r="V1042" s="772">
        <v>2530.446595</v>
      </c>
      <c r="AW1042" s="714"/>
    </row>
    <row r="1043">
      <c r="A1043" s="761"/>
      <c r="B1043" s="769" t="s">
        <v>493</v>
      </c>
      <c r="C1043" s="770" t="s">
        <v>647</v>
      </c>
      <c r="D1043" s="770" t="s">
        <v>494</v>
      </c>
      <c r="E1043" s="770" t="s">
        <v>512</v>
      </c>
      <c r="F1043" s="770" t="s">
        <v>514</v>
      </c>
      <c r="G1043" s="770" t="s">
        <v>103</v>
      </c>
      <c r="H1043" s="770">
        <v>2019.0</v>
      </c>
      <c r="I1043" s="771">
        <v>7484.324901</v>
      </c>
      <c r="J1043" s="771">
        <v>9761.07402</v>
      </c>
      <c r="K1043" s="772">
        <v>5725.496084</v>
      </c>
      <c r="M1043" s="769" t="s">
        <v>493</v>
      </c>
      <c r="N1043" s="770" t="s">
        <v>647</v>
      </c>
      <c r="O1043" s="770" t="s">
        <v>494</v>
      </c>
      <c r="P1043" s="770" t="s">
        <v>512</v>
      </c>
      <c r="Q1043" s="770" t="s">
        <v>514</v>
      </c>
      <c r="R1043" s="770" t="s">
        <v>497</v>
      </c>
      <c r="S1043" s="770">
        <v>2019.0</v>
      </c>
      <c r="T1043" s="771">
        <v>15354.95373</v>
      </c>
      <c r="U1043" s="771">
        <v>20025.96653</v>
      </c>
      <c r="V1043" s="772">
        <v>11746.51403</v>
      </c>
      <c r="AW1043" s="714"/>
    </row>
    <row r="1044">
      <c r="A1044" s="761"/>
      <c r="B1044" s="769" t="s">
        <v>493</v>
      </c>
      <c r="C1044" s="770" t="s">
        <v>647</v>
      </c>
      <c r="D1044" s="770" t="s">
        <v>494</v>
      </c>
      <c r="E1044" s="770" t="s">
        <v>495</v>
      </c>
      <c r="F1044" s="770" t="s">
        <v>518</v>
      </c>
      <c r="G1044" s="770" t="s">
        <v>103</v>
      </c>
      <c r="H1044" s="770">
        <v>2019.0</v>
      </c>
      <c r="I1044" s="771">
        <v>9530.646006</v>
      </c>
      <c r="J1044" s="771">
        <v>15263.34973</v>
      </c>
      <c r="K1044" s="772">
        <v>5154.443245</v>
      </c>
      <c r="M1044" s="769" t="s">
        <v>493</v>
      </c>
      <c r="N1044" s="770" t="s">
        <v>647</v>
      </c>
      <c r="O1044" s="770" t="s">
        <v>494</v>
      </c>
      <c r="P1044" s="770" t="s">
        <v>495</v>
      </c>
      <c r="Q1044" s="770" t="s">
        <v>518</v>
      </c>
      <c r="R1044" s="770" t="s">
        <v>497</v>
      </c>
      <c r="S1044" s="770">
        <v>2019.0</v>
      </c>
      <c r="T1044" s="771">
        <v>255.3759658</v>
      </c>
      <c r="U1044" s="771">
        <v>408.9851492</v>
      </c>
      <c r="V1044" s="772">
        <v>138.1145539</v>
      </c>
      <c r="AW1044" s="714"/>
    </row>
    <row r="1045">
      <c r="A1045" s="761"/>
      <c r="B1045" s="769" t="s">
        <v>493</v>
      </c>
      <c r="C1045" s="770" t="s">
        <v>647</v>
      </c>
      <c r="D1045" s="770" t="s">
        <v>494</v>
      </c>
      <c r="E1045" s="770" t="s">
        <v>505</v>
      </c>
      <c r="F1045" s="770" t="s">
        <v>518</v>
      </c>
      <c r="G1045" s="770" t="s">
        <v>103</v>
      </c>
      <c r="H1045" s="770">
        <v>2019.0</v>
      </c>
      <c r="I1045" s="771">
        <v>252.6709452</v>
      </c>
      <c r="J1045" s="771">
        <v>503.8866412</v>
      </c>
      <c r="K1045" s="772">
        <v>110.4193531</v>
      </c>
      <c r="M1045" s="769" t="s">
        <v>493</v>
      </c>
      <c r="N1045" s="770" t="s">
        <v>647</v>
      </c>
      <c r="O1045" s="770" t="s">
        <v>494</v>
      </c>
      <c r="P1045" s="770" t="s">
        <v>505</v>
      </c>
      <c r="Q1045" s="770" t="s">
        <v>518</v>
      </c>
      <c r="R1045" s="770" t="s">
        <v>497</v>
      </c>
      <c r="S1045" s="770">
        <v>2019.0</v>
      </c>
      <c r="T1045" s="771">
        <v>1528.628633</v>
      </c>
      <c r="U1045" s="771">
        <v>3048.453183</v>
      </c>
      <c r="V1045" s="772">
        <v>668.02372</v>
      </c>
      <c r="AW1045" s="714"/>
    </row>
    <row r="1046">
      <c r="A1046" s="761"/>
      <c r="B1046" s="769" t="s">
        <v>493</v>
      </c>
      <c r="C1046" s="770" t="s">
        <v>647</v>
      </c>
      <c r="D1046" s="770" t="s">
        <v>494</v>
      </c>
      <c r="E1046" s="770" t="s">
        <v>508</v>
      </c>
      <c r="F1046" s="770" t="s">
        <v>518</v>
      </c>
      <c r="G1046" s="770" t="s">
        <v>103</v>
      </c>
      <c r="H1046" s="770">
        <v>2019.0</v>
      </c>
      <c r="I1046" s="771">
        <v>4836.15258</v>
      </c>
      <c r="J1046" s="771">
        <v>8728.321487</v>
      </c>
      <c r="K1046" s="772">
        <v>2306.341837</v>
      </c>
      <c r="M1046" s="769" t="s">
        <v>493</v>
      </c>
      <c r="N1046" s="770" t="s">
        <v>647</v>
      </c>
      <c r="O1046" s="770" t="s">
        <v>494</v>
      </c>
      <c r="P1046" s="770" t="s">
        <v>508</v>
      </c>
      <c r="Q1046" s="770" t="s">
        <v>518</v>
      </c>
      <c r="R1046" s="770" t="s">
        <v>497</v>
      </c>
      <c r="S1046" s="770">
        <v>2019.0</v>
      </c>
      <c r="T1046" s="771">
        <v>643.8266192</v>
      </c>
      <c r="U1046" s="771">
        <v>1161.982717</v>
      </c>
      <c r="V1046" s="772">
        <v>307.0383415</v>
      </c>
      <c r="AW1046" s="714"/>
    </row>
    <row r="1047">
      <c r="A1047" s="761"/>
      <c r="B1047" s="769" t="s">
        <v>493</v>
      </c>
      <c r="C1047" s="770" t="s">
        <v>647</v>
      </c>
      <c r="D1047" s="770" t="s">
        <v>494</v>
      </c>
      <c r="E1047" s="770" t="s">
        <v>512</v>
      </c>
      <c r="F1047" s="770" t="s">
        <v>518</v>
      </c>
      <c r="G1047" s="770" t="s">
        <v>103</v>
      </c>
      <c r="H1047" s="770">
        <v>2019.0</v>
      </c>
      <c r="I1047" s="771">
        <v>615.2179046</v>
      </c>
      <c r="J1047" s="771">
        <v>1214.003609</v>
      </c>
      <c r="K1047" s="772">
        <v>259.6716779</v>
      </c>
      <c r="M1047" s="769" t="s">
        <v>493</v>
      </c>
      <c r="N1047" s="770" t="s">
        <v>647</v>
      </c>
      <c r="O1047" s="770" t="s">
        <v>494</v>
      </c>
      <c r="P1047" s="770" t="s">
        <v>512</v>
      </c>
      <c r="Q1047" s="770" t="s">
        <v>518</v>
      </c>
      <c r="R1047" s="770" t="s">
        <v>497</v>
      </c>
      <c r="S1047" s="770">
        <v>2019.0</v>
      </c>
      <c r="T1047" s="771">
        <v>1262.190322</v>
      </c>
      <c r="U1047" s="771">
        <v>2490.668094</v>
      </c>
      <c r="V1047" s="772">
        <v>532.7463267</v>
      </c>
      <c r="AW1047" s="714"/>
    </row>
    <row r="1048">
      <c r="A1048" s="761"/>
      <c r="B1048" s="769" t="s">
        <v>493</v>
      </c>
      <c r="C1048" s="770" t="s">
        <v>647</v>
      </c>
      <c r="D1048" s="770" t="s">
        <v>494</v>
      </c>
      <c r="E1048" s="770" t="s">
        <v>495</v>
      </c>
      <c r="F1048" s="770" t="s">
        <v>519</v>
      </c>
      <c r="G1048" s="770" t="s">
        <v>103</v>
      </c>
      <c r="H1048" s="770">
        <v>2019.0</v>
      </c>
      <c r="I1048" s="771">
        <v>19724.62194</v>
      </c>
      <c r="J1048" s="771">
        <v>26571.07288</v>
      </c>
      <c r="K1048" s="772">
        <v>14615.53739</v>
      </c>
      <c r="M1048" s="769" t="s">
        <v>493</v>
      </c>
      <c r="N1048" s="770" t="s">
        <v>647</v>
      </c>
      <c r="O1048" s="770" t="s">
        <v>494</v>
      </c>
      <c r="P1048" s="770" t="s">
        <v>495</v>
      </c>
      <c r="Q1048" s="770" t="s">
        <v>519</v>
      </c>
      <c r="R1048" s="770" t="s">
        <v>497</v>
      </c>
      <c r="S1048" s="770">
        <v>2019.0</v>
      </c>
      <c r="T1048" s="771">
        <v>528.5260174</v>
      </c>
      <c r="U1048" s="771">
        <v>711.978327</v>
      </c>
      <c r="V1048" s="772">
        <v>391.6268607</v>
      </c>
      <c r="AW1048" s="714"/>
    </row>
    <row r="1049">
      <c r="A1049" s="761"/>
      <c r="B1049" s="769" t="s">
        <v>493</v>
      </c>
      <c r="C1049" s="770" t="s">
        <v>647</v>
      </c>
      <c r="D1049" s="770" t="s">
        <v>494</v>
      </c>
      <c r="E1049" s="770" t="s">
        <v>505</v>
      </c>
      <c r="F1049" s="770" t="s">
        <v>519</v>
      </c>
      <c r="G1049" s="770" t="s">
        <v>103</v>
      </c>
      <c r="H1049" s="770">
        <v>2019.0</v>
      </c>
      <c r="I1049" s="771">
        <v>14178.08673</v>
      </c>
      <c r="J1049" s="771">
        <v>18803.33494</v>
      </c>
      <c r="K1049" s="772">
        <v>10544.58039</v>
      </c>
      <c r="M1049" s="769" t="s">
        <v>493</v>
      </c>
      <c r="N1049" s="770" t="s">
        <v>647</v>
      </c>
      <c r="O1049" s="770" t="s">
        <v>494</v>
      </c>
      <c r="P1049" s="770" t="s">
        <v>505</v>
      </c>
      <c r="Q1049" s="770" t="s">
        <v>519</v>
      </c>
      <c r="R1049" s="770" t="s">
        <v>497</v>
      </c>
      <c r="S1049" s="770">
        <v>2019.0</v>
      </c>
      <c r="T1049" s="771">
        <v>85775.70844</v>
      </c>
      <c r="U1049" s="771">
        <v>113757.9002</v>
      </c>
      <c r="V1049" s="772">
        <v>63793.43494</v>
      </c>
      <c r="AW1049" s="714"/>
    </row>
    <row r="1050">
      <c r="A1050" s="761"/>
      <c r="B1050" s="769" t="s">
        <v>493</v>
      </c>
      <c r="C1050" s="770" t="s">
        <v>647</v>
      </c>
      <c r="D1050" s="770" t="s">
        <v>494</v>
      </c>
      <c r="E1050" s="770" t="s">
        <v>508</v>
      </c>
      <c r="F1050" s="770" t="s">
        <v>519</v>
      </c>
      <c r="G1050" s="770" t="s">
        <v>103</v>
      </c>
      <c r="H1050" s="770">
        <v>2019.0</v>
      </c>
      <c r="I1050" s="771">
        <v>1326.839147</v>
      </c>
      <c r="J1050" s="771">
        <v>2352.49253</v>
      </c>
      <c r="K1050" s="772">
        <v>638.2606589</v>
      </c>
      <c r="M1050" s="769" t="s">
        <v>493</v>
      </c>
      <c r="N1050" s="770" t="s">
        <v>647</v>
      </c>
      <c r="O1050" s="770" t="s">
        <v>494</v>
      </c>
      <c r="P1050" s="770" t="s">
        <v>508</v>
      </c>
      <c r="Q1050" s="770" t="s">
        <v>519</v>
      </c>
      <c r="R1050" s="770" t="s">
        <v>497</v>
      </c>
      <c r="S1050" s="770">
        <v>2019.0</v>
      </c>
      <c r="T1050" s="771">
        <v>176.6392495</v>
      </c>
      <c r="U1050" s="771">
        <v>313.1822843</v>
      </c>
      <c r="V1050" s="772">
        <v>84.97027242</v>
      </c>
      <c r="AW1050" s="714"/>
    </row>
    <row r="1051">
      <c r="A1051" s="761"/>
      <c r="B1051" s="769" t="s">
        <v>493</v>
      </c>
      <c r="C1051" s="770" t="s">
        <v>647</v>
      </c>
      <c r="D1051" s="770" t="s">
        <v>494</v>
      </c>
      <c r="E1051" s="770" t="s">
        <v>512</v>
      </c>
      <c r="F1051" s="770" t="s">
        <v>519</v>
      </c>
      <c r="G1051" s="770" t="s">
        <v>103</v>
      </c>
      <c r="H1051" s="770">
        <v>2019.0</v>
      </c>
      <c r="I1051" s="771">
        <v>4102.731385</v>
      </c>
      <c r="J1051" s="771">
        <v>5741.286933</v>
      </c>
      <c r="K1051" s="772">
        <v>2789.023535</v>
      </c>
      <c r="M1051" s="769" t="s">
        <v>493</v>
      </c>
      <c r="N1051" s="770" t="s">
        <v>647</v>
      </c>
      <c r="O1051" s="770" t="s">
        <v>494</v>
      </c>
      <c r="P1051" s="770" t="s">
        <v>512</v>
      </c>
      <c r="Q1051" s="770" t="s">
        <v>519</v>
      </c>
      <c r="R1051" s="770" t="s">
        <v>497</v>
      </c>
      <c r="S1051" s="770">
        <v>2019.0</v>
      </c>
      <c r="T1051" s="771">
        <v>8417.225525</v>
      </c>
      <c r="U1051" s="771">
        <v>11778.91077</v>
      </c>
      <c r="V1051" s="772">
        <v>5722.002706</v>
      </c>
      <c r="AW1051" s="714"/>
    </row>
    <row r="1052">
      <c r="A1052" s="761"/>
      <c r="B1052" s="769" t="s">
        <v>493</v>
      </c>
      <c r="C1052" s="770" t="s">
        <v>647</v>
      </c>
      <c r="D1052" s="770" t="s">
        <v>494</v>
      </c>
      <c r="E1052" s="770" t="s">
        <v>495</v>
      </c>
      <c r="F1052" s="770" t="s">
        <v>521</v>
      </c>
      <c r="G1052" s="770" t="s">
        <v>103</v>
      </c>
      <c r="H1052" s="770">
        <v>2019.0</v>
      </c>
      <c r="I1052" s="771">
        <v>6568.937957</v>
      </c>
      <c r="J1052" s="771">
        <v>14326.90989</v>
      </c>
      <c r="K1052" s="772">
        <v>2134.061825</v>
      </c>
      <c r="M1052" s="769" t="s">
        <v>493</v>
      </c>
      <c r="N1052" s="770" t="s">
        <v>647</v>
      </c>
      <c r="O1052" s="770" t="s">
        <v>494</v>
      </c>
      <c r="P1052" s="770" t="s">
        <v>495</v>
      </c>
      <c r="Q1052" s="770" t="s">
        <v>521</v>
      </c>
      <c r="R1052" s="770" t="s">
        <v>497</v>
      </c>
      <c r="S1052" s="770">
        <v>2019.0</v>
      </c>
      <c r="T1052" s="771">
        <v>176.016282</v>
      </c>
      <c r="U1052" s="771">
        <v>383.893017</v>
      </c>
      <c r="V1052" s="772">
        <v>57.18270297</v>
      </c>
      <c r="AW1052" s="714"/>
    </row>
    <row r="1053">
      <c r="A1053" s="761"/>
      <c r="B1053" s="769" t="s">
        <v>493</v>
      </c>
      <c r="C1053" s="770" t="s">
        <v>647</v>
      </c>
      <c r="D1053" s="770" t="s">
        <v>494</v>
      </c>
      <c r="E1053" s="770" t="s">
        <v>505</v>
      </c>
      <c r="F1053" s="770" t="s">
        <v>521</v>
      </c>
      <c r="G1053" s="770" t="s">
        <v>103</v>
      </c>
      <c r="H1053" s="770">
        <v>2019.0</v>
      </c>
      <c r="I1053" s="771">
        <v>0.0</v>
      </c>
      <c r="J1053" s="771">
        <v>0.0</v>
      </c>
      <c r="K1053" s="772">
        <v>0.0</v>
      </c>
      <c r="M1053" s="769" t="s">
        <v>493</v>
      </c>
      <c r="N1053" s="770" t="s">
        <v>647</v>
      </c>
      <c r="O1053" s="770" t="s">
        <v>494</v>
      </c>
      <c r="P1053" s="770" t="s">
        <v>505</v>
      </c>
      <c r="Q1053" s="770" t="s">
        <v>521</v>
      </c>
      <c r="R1053" s="770" t="s">
        <v>497</v>
      </c>
      <c r="S1053" s="770">
        <v>2019.0</v>
      </c>
      <c r="T1053" s="771">
        <v>0.0</v>
      </c>
      <c r="U1053" s="771">
        <v>0.0</v>
      </c>
      <c r="V1053" s="772">
        <v>0.0</v>
      </c>
      <c r="AW1053" s="714"/>
    </row>
    <row r="1054">
      <c r="A1054" s="761"/>
      <c r="B1054" s="769" t="s">
        <v>493</v>
      </c>
      <c r="C1054" s="770" t="s">
        <v>647</v>
      </c>
      <c r="D1054" s="770" t="s">
        <v>494</v>
      </c>
      <c r="E1054" s="770" t="s">
        <v>508</v>
      </c>
      <c r="F1054" s="770" t="s">
        <v>521</v>
      </c>
      <c r="G1054" s="770" t="s">
        <v>103</v>
      </c>
      <c r="H1054" s="770">
        <v>2019.0</v>
      </c>
      <c r="I1054" s="771">
        <v>2023.372793</v>
      </c>
      <c r="J1054" s="771">
        <v>4876.134306</v>
      </c>
      <c r="K1054" s="772">
        <v>615.9045643</v>
      </c>
      <c r="M1054" s="769" t="s">
        <v>493</v>
      </c>
      <c r="N1054" s="770" t="s">
        <v>647</v>
      </c>
      <c r="O1054" s="770" t="s">
        <v>494</v>
      </c>
      <c r="P1054" s="770" t="s">
        <v>508</v>
      </c>
      <c r="Q1054" s="770" t="s">
        <v>521</v>
      </c>
      <c r="R1054" s="770" t="s">
        <v>497</v>
      </c>
      <c r="S1054" s="770">
        <v>2019.0</v>
      </c>
      <c r="T1054" s="771">
        <v>269.3672797</v>
      </c>
      <c r="U1054" s="771">
        <v>649.1493007</v>
      </c>
      <c r="V1054" s="772">
        <v>81.9940535</v>
      </c>
      <c r="AW1054" s="714"/>
    </row>
    <row r="1055">
      <c r="A1055" s="761"/>
      <c r="B1055" s="769" t="s">
        <v>493</v>
      </c>
      <c r="C1055" s="770" t="s">
        <v>647</v>
      </c>
      <c r="D1055" s="770" t="s">
        <v>494</v>
      </c>
      <c r="E1055" s="770" t="s">
        <v>512</v>
      </c>
      <c r="F1055" s="770" t="s">
        <v>521</v>
      </c>
      <c r="G1055" s="770" t="s">
        <v>103</v>
      </c>
      <c r="H1055" s="770">
        <v>2019.0</v>
      </c>
      <c r="I1055" s="771">
        <v>0.0</v>
      </c>
      <c r="J1055" s="771">
        <v>0.0</v>
      </c>
      <c r="K1055" s="772">
        <v>0.0</v>
      </c>
      <c r="M1055" s="769" t="s">
        <v>493</v>
      </c>
      <c r="N1055" s="770" t="s">
        <v>647</v>
      </c>
      <c r="O1055" s="770" t="s">
        <v>494</v>
      </c>
      <c r="P1055" s="770" t="s">
        <v>512</v>
      </c>
      <c r="Q1055" s="770" t="s">
        <v>521</v>
      </c>
      <c r="R1055" s="770" t="s">
        <v>497</v>
      </c>
      <c r="S1055" s="770">
        <v>2019.0</v>
      </c>
      <c r="T1055" s="771">
        <v>0.0</v>
      </c>
      <c r="U1055" s="771">
        <v>0.0</v>
      </c>
      <c r="V1055" s="772">
        <v>0.0</v>
      </c>
      <c r="AW1055" s="714"/>
    </row>
    <row r="1056">
      <c r="A1056" s="761"/>
      <c r="B1056" s="769" t="s">
        <v>493</v>
      </c>
      <c r="C1056" s="770" t="s">
        <v>647</v>
      </c>
      <c r="D1056" s="770" t="s">
        <v>494</v>
      </c>
      <c r="E1056" s="770" t="s">
        <v>495</v>
      </c>
      <c r="F1056" s="770" t="s">
        <v>523</v>
      </c>
      <c r="G1056" s="770" t="s">
        <v>103</v>
      </c>
      <c r="H1056" s="770">
        <v>2019.0</v>
      </c>
      <c r="I1056" s="771">
        <v>5334.26244</v>
      </c>
      <c r="J1056" s="771">
        <v>9292.061789</v>
      </c>
      <c r="K1056" s="772">
        <v>2823.35266</v>
      </c>
      <c r="M1056" s="769" t="s">
        <v>493</v>
      </c>
      <c r="N1056" s="770" t="s">
        <v>647</v>
      </c>
      <c r="O1056" s="770" t="s">
        <v>494</v>
      </c>
      <c r="P1056" s="770" t="s">
        <v>495</v>
      </c>
      <c r="Q1056" s="770" t="s">
        <v>523</v>
      </c>
      <c r="R1056" s="770" t="s">
        <v>497</v>
      </c>
      <c r="S1056" s="770">
        <v>2019.0</v>
      </c>
      <c r="T1056" s="771">
        <v>142.9328528</v>
      </c>
      <c r="U1056" s="771">
        <v>248.9830439</v>
      </c>
      <c r="V1056" s="772">
        <v>75.65241767</v>
      </c>
      <c r="AW1056" s="714"/>
    </row>
    <row r="1057">
      <c r="A1057" s="761"/>
      <c r="B1057" s="769" t="s">
        <v>493</v>
      </c>
      <c r="C1057" s="770" t="s">
        <v>647</v>
      </c>
      <c r="D1057" s="770" t="s">
        <v>494</v>
      </c>
      <c r="E1057" s="770" t="s">
        <v>505</v>
      </c>
      <c r="F1057" s="770" t="s">
        <v>523</v>
      </c>
      <c r="G1057" s="770" t="s">
        <v>103</v>
      </c>
      <c r="H1057" s="770">
        <v>2019.0</v>
      </c>
      <c r="I1057" s="771">
        <v>0.0</v>
      </c>
      <c r="J1057" s="771">
        <v>0.0</v>
      </c>
      <c r="K1057" s="772">
        <v>0.0</v>
      </c>
      <c r="M1057" s="769" t="s">
        <v>493</v>
      </c>
      <c r="N1057" s="770" t="s">
        <v>647</v>
      </c>
      <c r="O1057" s="770" t="s">
        <v>494</v>
      </c>
      <c r="P1057" s="770" t="s">
        <v>505</v>
      </c>
      <c r="Q1057" s="770" t="s">
        <v>523</v>
      </c>
      <c r="R1057" s="770" t="s">
        <v>497</v>
      </c>
      <c r="S1057" s="770">
        <v>2019.0</v>
      </c>
      <c r="T1057" s="771">
        <v>0.0</v>
      </c>
      <c r="U1057" s="771">
        <v>0.0</v>
      </c>
      <c r="V1057" s="772">
        <v>0.0</v>
      </c>
      <c r="AW1057" s="714"/>
    </row>
    <row r="1058">
      <c r="A1058" s="761"/>
      <c r="B1058" s="769" t="s">
        <v>493</v>
      </c>
      <c r="C1058" s="770" t="s">
        <v>647</v>
      </c>
      <c r="D1058" s="770" t="s">
        <v>494</v>
      </c>
      <c r="E1058" s="770" t="s">
        <v>508</v>
      </c>
      <c r="F1058" s="770" t="s">
        <v>523</v>
      </c>
      <c r="G1058" s="770" t="s">
        <v>103</v>
      </c>
      <c r="H1058" s="770">
        <v>2019.0</v>
      </c>
      <c r="I1058" s="771">
        <v>2571.563228</v>
      </c>
      <c r="J1058" s="771">
        <v>4690.913432</v>
      </c>
      <c r="K1058" s="772">
        <v>1153.999663</v>
      </c>
      <c r="M1058" s="769" t="s">
        <v>493</v>
      </c>
      <c r="N1058" s="770" t="s">
        <v>647</v>
      </c>
      <c r="O1058" s="770" t="s">
        <v>494</v>
      </c>
      <c r="P1058" s="770" t="s">
        <v>508</v>
      </c>
      <c r="Q1058" s="770" t="s">
        <v>523</v>
      </c>
      <c r="R1058" s="770" t="s">
        <v>497</v>
      </c>
      <c r="S1058" s="770">
        <v>2019.0</v>
      </c>
      <c r="T1058" s="771">
        <v>342.3466964</v>
      </c>
      <c r="U1058" s="771">
        <v>624.491243</v>
      </c>
      <c r="V1058" s="772">
        <v>153.6294997</v>
      </c>
      <c r="AW1058" s="714"/>
    </row>
    <row r="1059">
      <c r="A1059" s="761"/>
      <c r="B1059" s="769" t="s">
        <v>493</v>
      </c>
      <c r="C1059" s="770" t="s">
        <v>647</v>
      </c>
      <c r="D1059" s="770" t="s">
        <v>494</v>
      </c>
      <c r="E1059" s="770" t="s">
        <v>512</v>
      </c>
      <c r="F1059" s="770" t="s">
        <v>523</v>
      </c>
      <c r="G1059" s="770" t="s">
        <v>103</v>
      </c>
      <c r="H1059" s="770">
        <v>2019.0</v>
      </c>
      <c r="I1059" s="771">
        <v>0.0</v>
      </c>
      <c r="J1059" s="771">
        <v>0.0</v>
      </c>
      <c r="K1059" s="772">
        <v>0.0</v>
      </c>
      <c r="M1059" s="769" t="s">
        <v>493</v>
      </c>
      <c r="N1059" s="770" t="s">
        <v>647</v>
      </c>
      <c r="O1059" s="770" t="s">
        <v>494</v>
      </c>
      <c r="P1059" s="770" t="s">
        <v>512</v>
      </c>
      <c r="Q1059" s="770" t="s">
        <v>523</v>
      </c>
      <c r="R1059" s="770" t="s">
        <v>497</v>
      </c>
      <c r="S1059" s="770">
        <v>2019.0</v>
      </c>
      <c r="T1059" s="771">
        <v>0.0</v>
      </c>
      <c r="U1059" s="771">
        <v>0.0</v>
      </c>
      <c r="V1059" s="772">
        <v>0.0</v>
      </c>
      <c r="AW1059" s="714"/>
    </row>
    <row r="1060">
      <c r="A1060" s="761"/>
      <c r="B1060" s="769" t="s">
        <v>493</v>
      </c>
      <c r="C1060" s="770" t="s">
        <v>648</v>
      </c>
      <c r="D1060" s="770" t="s">
        <v>494</v>
      </c>
      <c r="E1060" s="770" t="s">
        <v>495</v>
      </c>
      <c r="F1060" s="770" t="s">
        <v>496</v>
      </c>
      <c r="G1060" s="770" t="s">
        <v>103</v>
      </c>
      <c r="H1060" s="770">
        <v>2019.0</v>
      </c>
      <c r="I1060" s="771">
        <v>33145.70134</v>
      </c>
      <c r="J1060" s="771">
        <v>40601.54235</v>
      </c>
      <c r="K1060" s="772">
        <v>26840.74673</v>
      </c>
      <c r="M1060" s="769" t="s">
        <v>493</v>
      </c>
      <c r="N1060" s="770" t="s">
        <v>648</v>
      </c>
      <c r="O1060" s="770" t="s">
        <v>494</v>
      </c>
      <c r="P1060" s="770" t="s">
        <v>495</v>
      </c>
      <c r="Q1060" s="770" t="s">
        <v>496</v>
      </c>
      <c r="R1060" s="770" t="s">
        <v>497</v>
      </c>
      <c r="S1060" s="770">
        <v>2019.0</v>
      </c>
      <c r="T1060" s="771">
        <v>2185.85099</v>
      </c>
      <c r="U1060" s="771">
        <v>2677.539408</v>
      </c>
      <c r="V1060" s="772">
        <v>1770.059779</v>
      </c>
      <c r="AW1060" s="714"/>
    </row>
    <row r="1061">
      <c r="A1061" s="761"/>
      <c r="B1061" s="769" t="s">
        <v>493</v>
      </c>
      <c r="C1061" s="770" t="s">
        <v>648</v>
      </c>
      <c r="D1061" s="770" t="s">
        <v>494</v>
      </c>
      <c r="E1061" s="770" t="s">
        <v>505</v>
      </c>
      <c r="F1061" s="770" t="s">
        <v>496</v>
      </c>
      <c r="G1061" s="770" t="s">
        <v>103</v>
      </c>
      <c r="H1061" s="770">
        <v>2019.0</v>
      </c>
      <c r="I1061" s="771">
        <v>9317.827204</v>
      </c>
      <c r="J1061" s="771">
        <v>11518.85193</v>
      </c>
      <c r="K1061" s="772">
        <v>7478.710791</v>
      </c>
      <c r="M1061" s="769" t="s">
        <v>493</v>
      </c>
      <c r="N1061" s="770" t="s">
        <v>648</v>
      </c>
      <c r="O1061" s="770" t="s">
        <v>494</v>
      </c>
      <c r="P1061" s="770" t="s">
        <v>505</v>
      </c>
      <c r="Q1061" s="770" t="s">
        <v>496</v>
      </c>
      <c r="R1061" s="770" t="s">
        <v>497</v>
      </c>
      <c r="S1061" s="770">
        <v>2019.0</v>
      </c>
      <c r="T1061" s="771">
        <v>135697.253</v>
      </c>
      <c r="U1061" s="771">
        <v>167751.1859</v>
      </c>
      <c r="V1061" s="772">
        <v>108913.8581</v>
      </c>
      <c r="AW1061" s="714"/>
    </row>
    <row r="1062">
      <c r="A1062" s="761"/>
      <c r="B1062" s="769" t="s">
        <v>493</v>
      </c>
      <c r="C1062" s="770" t="s">
        <v>648</v>
      </c>
      <c r="D1062" s="770" t="s">
        <v>494</v>
      </c>
      <c r="E1062" s="770" t="s">
        <v>508</v>
      </c>
      <c r="F1062" s="770" t="s">
        <v>496</v>
      </c>
      <c r="G1062" s="770" t="s">
        <v>103</v>
      </c>
      <c r="H1062" s="770">
        <v>2019.0</v>
      </c>
      <c r="I1062" s="771">
        <v>11679.12471</v>
      </c>
      <c r="J1062" s="771">
        <v>14334.5203</v>
      </c>
      <c r="K1062" s="772">
        <v>9427.571883</v>
      </c>
      <c r="M1062" s="769" t="s">
        <v>493</v>
      </c>
      <c r="N1062" s="770" t="s">
        <v>648</v>
      </c>
      <c r="O1062" s="770" t="s">
        <v>494</v>
      </c>
      <c r="P1062" s="770" t="s">
        <v>508</v>
      </c>
      <c r="Q1062" s="770" t="s">
        <v>496</v>
      </c>
      <c r="R1062" s="770" t="s">
        <v>497</v>
      </c>
      <c r="S1062" s="770">
        <v>2019.0</v>
      </c>
      <c r="T1062" s="771">
        <v>3737.632371</v>
      </c>
      <c r="U1062" s="771">
        <v>4587.430005</v>
      </c>
      <c r="V1062" s="772">
        <v>3017.075229</v>
      </c>
      <c r="AW1062" s="714"/>
    </row>
    <row r="1063">
      <c r="A1063" s="761"/>
      <c r="B1063" s="769" t="s">
        <v>493</v>
      </c>
      <c r="C1063" s="770" t="s">
        <v>648</v>
      </c>
      <c r="D1063" s="770" t="s">
        <v>494</v>
      </c>
      <c r="E1063" s="770" t="s">
        <v>512</v>
      </c>
      <c r="F1063" s="770" t="s">
        <v>496</v>
      </c>
      <c r="G1063" s="770" t="s">
        <v>103</v>
      </c>
      <c r="H1063" s="770">
        <v>2019.0</v>
      </c>
      <c r="I1063" s="771">
        <v>2710.880129</v>
      </c>
      <c r="J1063" s="771">
        <v>3332.637236</v>
      </c>
      <c r="K1063" s="772">
        <v>2187.859436</v>
      </c>
      <c r="M1063" s="769" t="s">
        <v>493</v>
      </c>
      <c r="N1063" s="770" t="s">
        <v>648</v>
      </c>
      <c r="O1063" s="770" t="s">
        <v>494</v>
      </c>
      <c r="P1063" s="770" t="s">
        <v>512</v>
      </c>
      <c r="Q1063" s="770" t="s">
        <v>496</v>
      </c>
      <c r="R1063" s="770" t="s">
        <v>497</v>
      </c>
      <c r="S1063" s="770">
        <v>2019.0</v>
      </c>
      <c r="T1063" s="771">
        <v>13401.33948</v>
      </c>
      <c r="U1063" s="771">
        <v>16475.01949</v>
      </c>
      <c r="V1063" s="772">
        <v>10815.76671</v>
      </c>
      <c r="AW1063" s="714"/>
    </row>
    <row r="1064">
      <c r="A1064" s="761"/>
      <c r="B1064" s="769" t="s">
        <v>493</v>
      </c>
      <c r="C1064" s="770" t="s">
        <v>648</v>
      </c>
      <c r="D1064" s="770" t="s">
        <v>494</v>
      </c>
      <c r="E1064" s="770" t="s">
        <v>495</v>
      </c>
      <c r="F1064" s="770" t="s">
        <v>514</v>
      </c>
      <c r="G1064" s="770" t="s">
        <v>103</v>
      </c>
      <c r="H1064" s="770">
        <v>2019.0</v>
      </c>
      <c r="I1064" s="771">
        <v>28868.50183</v>
      </c>
      <c r="J1064" s="771">
        <v>35605.99731</v>
      </c>
      <c r="K1064" s="772">
        <v>23132.16765</v>
      </c>
      <c r="M1064" s="769" t="s">
        <v>493</v>
      </c>
      <c r="N1064" s="770" t="s">
        <v>648</v>
      </c>
      <c r="O1064" s="770" t="s">
        <v>494</v>
      </c>
      <c r="P1064" s="770" t="s">
        <v>495</v>
      </c>
      <c r="Q1064" s="770" t="s">
        <v>514</v>
      </c>
      <c r="R1064" s="770" t="s">
        <v>497</v>
      </c>
      <c r="S1064" s="770">
        <v>2019.0</v>
      </c>
      <c r="T1064" s="771">
        <v>1903.78362</v>
      </c>
      <c r="U1064" s="771">
        <v>2348.099491</v>
      </c>
      <c r="V1064" s="772">
        <v>1525.491075</v>
      </c>
      <c r="AW1064" s="714"/>
    </row>
    <row r="1065">
      <c r="A1065" s="761"/>
      <c r="B1065" s="769" t="s">
        <v>493</v>
      </c>
      <c r="C1065" s="770" t="s">
        <v>648</v>
      </c>
      <c r="D1065" s="770" t="s">
        <v>494</v>
      </c>
      <c r="E1065" s="770" t="s">
        <v>505</v>
      </c>
      <c r="F1065" s="770" t="s">
        <v>514</v>
      </c>
      <c r="G1065" s="770" t="s">
        <v>103</v>
      </c>
      <c r="H1065" s="770">
        <v>2019.0</v>
      </c>
      <c r="I1065" s="771">
        <v>8620.462423</v>
      </c>
      <c r="J1065" s="771">
        <v>10648.15515</v>
      </c>
      <c r="K1065" s="772">
        <v>6871.858605</v>
      </c>
      <c r="M1065" s="769" t="s">
        <v>493</v>
      </c>
      <c r="N1065" s="770" t="s">
        <v>648</v>
      </c>
      <c r="O1065" s="770" t="s">
        <v>494</v>
      </c>
      <c r="P1065" s="770" t="s">
        <v>505</v>
      </c>
      <c r="Q1065" s="770" t="s">
        <v>514</v>
      </c>
      <c r="R1065" s="770" t="s">
        <v>497</v>
      </c>
      <c r="S1065" s="770">
        <v>2019.0</v>
      </c>
      <c r="T1065" s="771">
        <v>125541.3998</v>
      </c>
      <c r="U1065" s="771">
        <v>155071.0666</v>
      </c>
      <c r="V1065" s="772">
        <v>100076.1567</v>
      </c>
      <c r="AW1065" s="714"/>
    </row>
    <row r="1066">
      <c r="A1066" s="761"/>
      <c r="B1066" s="769" t="s">
        <v>493</v>
      </c>
      <c r="C1066" s="770" t="s">
        <v>648</v>
      </c>
      <c r="D1066" s="770" t="s">
        <v>494</v>
      </c>
      <c r="E1066" s="770" t="s">
        <v>508</v>
      </c>
      <c r="F1066" s="770" t="s">
        <v>514</v>
      </c>
      <c r="G1066" s="770" t="s">
        <v>103</v>
      </c>
      <c r="H1066" s="770">
        <v>2019.0</v>
      </c>
      <c r="I1066" s="771">
        <v>9963.875268</v>
      </c>
      <c r="J1066" s="771">
        <v>12472.54814</v>
      </c>
      <c r="K1066" s="772">
        <v>7840.847</v>
      </c>
      <c r="M1066" s="769" t="s">
        <v>493</v>
      </c>
      <c r="N1066" s="770" t="s">
        <v>648</v>
      </c>
      <c r="O1066" s="770" t="s">
        <v>494</v>
      </c>
      <c r="P1066" s="770" t="s">
        <v>508</v>
      </c>
      <c r="Q1066" s="770" t="s">
        <v>514</v>
      </c>
      <c r="R1066" s="770" t="s">
        <v>497</v>
      </c>
      <c r="S1066" s="770">
        <v>2019.0</v>
      </c>
      <c r="T1066" s="771">
        <v>3188.706661</v>
      </c>
      <c r="U1066" s="771">
        <v>3991.549097</v>
      </c>
      <c r="V1066" s="772">
        <v>2509.280815</v>
      </c>
      <c r="AW1066" s="714"/>
    </row>
    <row r="1067">
      <c r="A1067" s="761"/>
      <c r="B1067" s="769" t="s">
        <v>493</v>
      </c>
      <c r="C1067" s="770" t="s">
        <v>648</v>
      </c>
      <c r="D1067" s="770" t="s">
        <v>494</v>
      </c>
      <c r="E1067" s="770" t="s">
        <v>512</v>
      </c>
      <c r="F1067" s="770" t="s">
        <v>514</v>
      </c>
      <c r="G1067" s="770" t="s">
        <v>103</v>
      </c>
      <c r="H1067" s="770">
        <v>2019.0</v>
      </c>
      <c r="I1067" s="771">
        <v>2442.214342</v>
      </c>
      <c r="J1067" s="771">
        <v>3004.945449</v>
      </c>
      <c r="K1067" s="772">
        <v>1950.013337</v>
      </c>
      <c r="M1067" s="769" t="s">
        <v>493</v>
      </c>
      <c r="N1067" s="770" t="s">
        <v>648</v>
      </c>
      <c r="O1067" s="770" t="s">
        <v>494</v>
      </c>
      <c r="P1067" s="770" t="s">
        <v>512</v>
      </c>
      <c r="Q1067" s="770" t="s">
        <v>514</v>
      </c>
      <c r="R1067" s="770" t="s">
        <v>497</v>
      </c>
      <c r="S1067" s="770">
        <v>2019.0</v>
      </c>
      <c r="T1067" s="771">
        <v>12073.1799</v>
      </c>
      <c r="U1067" s="771">
        <v>14855.06263</v>
      </c>
      <c r="V1067" s="772">
        <v>9639.965429</v>
      </c>
      <c r="AW1067" s="714"/>
    </row>
    <row r="1068">
      <c r="A1068" s="761"/>
      <c r="B1068" s="769" t="s">
        <v>493</v>
      </c>
      <c r="C1068" s="770" t="s">
        <v>648</v>
      </c>
      <c r="D1068" s="770" t="s">
        <v>494</v>
      </c>
      <c r="E1068" s="770" t="s">
        <v>495</v>
      </c>
      <c r="F1068" s="770" t="s">
        <v>518</v>
      </c>
      <c r="G1068" s="770" t="s">
        <v>103</v>
      </c>
      <c r="H1068" s="770">
        <v>2019.0</v>
      </c>
      <c r="I1068" s="771">
        <v>3451.979126</v>
      </c>
      <c r="J1068" s="771">
        <v>5909.036787</v>
      </c>
      <c r="K1068" s="772">
        <v>1843.034821</v>
      </c>
      <c r="M1068" s="769" t="s">
        <v>493</v>
      </c>
      <c r="N1068" s="770" t="s">
        <v>648</v>
      </c>
      <c r="O1068" s="770" t="s">
        <v>494</v>
      </c>
      <c r="P1068" s="770" t="s">
        <v>495</v>
      </c>
      <c r="Q1068" s="770" t="s">
        <v>518</v>
      </c>
      <c r="R1068" s="770" t="s">
        <v>497</v>
      </c>
      <c r="S1068" s="770">
        <v>2019.0</v>
      </c>
      <c r="T1068" s="771">
        <v>227.6467742</v>
      </c>
      <c r="U1068" s="771">
        <v>389.68172</v>
      </c>
      <c r="V1068" s="772">
        <v>121.5421404</v>
      </c>
      <c r="AW1068" s="714"/>
    </row>
    <row r="1069">
      <c r="A1069" s="761"/>
      <c r="B1069" s="769" t="s">
        <v>493</v>
      </c>
      <c r="C1069" s="770" t="s">
        <v>648</v>
      </c>
      <c r="D1069" s="770" t="s">
        <v>494</v>
      </c>
      <c r="E1069" s="770" t="s">
        <v>505</v>
      </c>
      <c r="F1069" s="770" t="s">
        <v>518</v>
      </c>
      <c r="G1069" s="770" t="s">
        <v>103</v>
      </c>
      <c r="H1069" s="770">
        <v>2019.0</v>
      </c>
      <c r="I1069" s="771">
        <v>89.08100541</v>
      </c>
      <c r="J1069" s="771">
        <v>175.9054717</v>
      </c>
      <c r="K1069" s="772">
        <v>40.13062704</v>
      </c>
      <c r="M1069" s="769" t="s">
        <v>493</v>
      </c>
      <c r="N1069" s="770" t="s">
        <v>648</v>
      </c>
      <c r="O1069" s="770" t="s">
        <v>494</v>
      </c>
      <c r="P1069" s="770" t="s">
        <v>505</v>
      </c>
      <c r="Q1069" s="770" t="s">
        <v>518</v>
      </c>
      <c r="R1069" s="770" t="s">
        <v>497</v>
      </c>
      <c r="S1069" s="770">
        <v>2019.0</v>
      </c>
      <c r="T1069" s="771">
        <v>1297.303273</v>
      </c>
      <c r="U1069" s="771">
        <v>2561.744145</v>
      </c>
      <c r="V1069" s="772">
        <v>584.4297956</v>
      </c>
      <c r="AW1069" s="714"/>
    </row>
    <row r="1070">
      <c r="A1070" s="761"/>
      <c r="B1070" s="769" t="s">
        <v>493</v>
      </c>
      <c r="C1070" s="770" t="s">
        <v>648</v>
      </c>
      <c r="D1070" s="770" t="s">
        <v>494</v>
      </c>
      <c r="E1070" s="770" t="s">
        <v>508</v>
      </c>
      <c r="F1070" s="770" t="s">
        <v>518</v>
      </c>
      <c r="G1070" s="770" t="s">
        <v>103</v>
      </c>
      <c r="H1070" s="770">
        <v>2019.0</v>
      </c>
      <c r="I1070" s="771">
        <v>1721.735165</v>
      </c>
      <c r="J1070" s="771">
        <v>3410.854049</v>
      </c>
      <c r="K1070" s="772">
        <v>737.8795961</v>
      </c>
      <c r="M1070" s="769" t="s">
        <v>493</v>
      </c>
      <c r="N1070" s="770" t="s">
        <v>648</v>
      </c>
      <c r="O1070" s="770" t="s">
        <v>494</v>
      </c>
      <c r="P1070" s="770" t="s">
        <v>508</v>
      </c>
      <c r="Q1070" s="770" t="s">
        <v>518</v>
      </c>
      <c r="R1070" s="770" t="s">
        <v>497</v>
      </c>
      <c r="S1070" s="770">
        <v>2019.0</v>
      </c>
      <c r="T1070" s="771">
        <v>551.0013164</v>
      </c>
      <c r="U1070" s="771">
        <v>1091.56455</v>
      </c>
      <c r="V1070" s="772">
        <v>236.1412121</v>
      </c>
      <c r="AW1070" s="714"/>
    </row>
    <row r="1071">
      <c r="A1071" s="761"/>
      <c r="B1071" s="769" t="s">
        <v>493</v>
      </c>
      <c r="C1071" s="770" t="s">
        <v>648</v>
      </c>
      <c r="D1071" s="770" t="s">
        <v>494</v>
      </c>
      <c r="E1071" s="770" t="s">
        <v>512</v>
      </c>
      <c r="F1071" s="770" t="s">
        <v>518</v>
      </c>
      <c r="G1071" s="770" t="s">
        <v>103</v>
      </c>
      <c r="H1071" s="770">
        <v>2019.0</v>
      </c>
      <c r="I1071" s="771">
        <v>195.6877354</v>
      </c>
      <c r="J1071" s="771">
        <v>386.4633541</v>
      </c>
      <c r="K1071" s="772">
        <v>81.71006924</v>
      </c>
      <c r="M1071" s="769" t="s">
        <v>493</v>
      </c>
      <c r="N1071" s="770" t="s">
        <v>648</v>
      </c>
      <c r="O1071" s="770" t="s">
        <v>494</v>
      </c>
      <c r="P1071" s="770" t="s">
        <v>512</v>
      </c>
      <c r="Q1071" s="770" t="s">
        <v>518</v>
      </c>
      <c r="R1071" s="770" t="s">
        <v>497</v>
      </c>
      <c r="S1071" s="770">
        <v>2019.0</v>
      </c>
      <c r="T1071" s="771">
        <v>967.3897959</v>
      </c>
      <c r="U1071" s="771">
        <v>1910.496356</v>
      </c>
      <c r="V1071" s="772">
        <v>403.9368489</v>
      </c>
      <c r="AW1071" s="714"/>
    </row>
    <row r="1072">
      <c r="A1072" s="761"/>
      <c r="B1072" s="769" t="s">
        <v>493</v>
      </c>
      <c r="C1072" s="770" t="s">
        <v>648</v>
      </c>
      <c r="D1072" s="770" t="s">
        <v>494</v>
      </c>
      <c r="E1072" s="770" t="s">
        <v>495</v>
      </c>
      <c r="F1072" s="770" t="s">
        <v>519</v>
      </c>
      <c r="G1072" s="770" t="s">
        <v>103</v>
      </c>
      <c r="H1072" s="770">
        <v>2019.0</v>
      </c>
      <c r="I1072" s="771">
        <v>8935.400529</v>
      </c>
      <c r="J1072" s="771">
        <v>11271.99746</v>
      </c>
      <c r="K1072" s="772">
        <v>7053.354709</v>
      </c>
      <c r="M1072" s="769" t="s">
        <v>493</v>
      </c>
      <c r="N1072" s="770" t="s">
        <v>648</v>
      </c>
      <c r="O1072" s="770" t="s">
        <v>494</v>
      </c>
      <c r="P1072" s="770" t="s">
        <v>495</v>
      </c>
      <c r="Q1072" s="770" t="s">
        <v>519</v>
      </c>
      <c r="R1072" s="770" t="s">
        <v>497</v>
      </c>
      <c r="S1072" s="770">
        <v>2019.0</v>
      </c>
      <c r="T1072" s="771">
        <v>589.2605466</v>
      </c>
      <c r="U1072" s="771">
        <v>743.3514999</v>
      </c>
      <c r="V1072" s="772">
        <v>465.1457579</v>
      </c>
      <c r="AW1072" s="714"/>
    </row>
    <row r="1073">
      <c r="A1073" s="761"/>
      <c r="B1073" s="769" t="s">
        <v>493</v>
      </c>
      <c r="C1073" s="770" t="s">
        <v>648</v>
      </c>
      <c r="D1073" s="770" t="s">
        <v>494</v>
      </c>
      <c r="E1073" s="770" t="s">
        <v>505</v>
      </c>
      <c r="F1073" s="770" t="s">
        <v>519</v>
      </c>
      <c r="G1073" s="770" t="s">
        <v>103</v>
      </c>
      <c r="H1073" s="770">
        <v>2019.0</v>
      </c>
      <c r="I1073" s="771">
        <v>7149.044801</v>
      </c>
      <c r="J1073" s="771">
        <v>8935.149889</v>
      </c>
      <c r="K1073" s="772">
        <v>5683.89991</v>
      </c>
      <c r="M1073" s="769" t="s">
        <v>493</v>
      </c>
      <c r="N1073" s="770" t="s">
        <v>648</v>
      </c>
      <c r="O1073" s="770" t="s">
        <v>494</v>
      </c>
      <c r="P1073" s="770" t="s">
        <v>505</v>
      </c>
      <c r="Q1073" s="770" t="s">
        <v>519</v>
      </c>
      <c r="R1073" s="770" t="s">
        <v>497</v>
      </c>
      <c r="S1073" s="770">
        <v>2019.0</v>
      </c>
      <c r="T1073" s="771">
        <v>104112.8709</v>
      </c>
      <c r="U1073" s="771">
        <v>130124.2519</v>
      </c>
      <c r="V1073" s="772">
        <v>82775.69298</v>
      </c>
      <c r="AW1073" s="714"/>
    </row>
    <row r="1074">
      <c r="A1074" s="761"/>
      <c r="B1074" s="769" t="s">
        <v>493</v>
      </c>
      <c r="C1074" s="770" t="s">
        <v>648</v>
      </c>
      <c r="D1074" s="770" t="s">
        <v>494</v>
      </c>
      <c r="E1074" s="770" t="s">
        <v>508</v>
      </c>
      <c r="F1074" s="770" t="s">
        <v>519</v>
      </c>
      <c r="G1074" s="770" t="s">
        <v>103</v>
      </c>
      <c r="H1074" s="770">
        <v>2019.0</v>
      </c>
      <c r="I1074" s="771">
        <v>490.8875418</v>
      </c>
      <c r="J1074" s="771">
        <v>845.2848876</v>
      </c>
      <c r="K1074" s="772">
        <v>239.9286511</v>
      </c>
      <c r="M1074" s="769" t="s">
        <v>493</v>
      </c>
      <c r="N1074" s="770" t="s">
        <v>648</v>
      </c>
      <c r="O1074" s="770" t="s">
        <v>494</v>
      </c>
      <c r="P1074" s="770" t="s">
        <v>508</v>
      </c>
      <c r="Q1074" s="770" t="s">
        <v>519</v>
      </c>
      <c r="R1074" s="770" t="s">
        <v>497</v>
      </c>
      <c r="S1074" s="770">
        <v>2019.0</v>
      </c>
      <c r="T1074" s="771">
        <v>157.0971467</v>
      </c>
      <c r="U1074" s="771">
        <v>270.5137789</v>
      </c>
      <c r="V1074" s="772">
        <v>76.78358744</v>
      </c>
      <c r="AW1074" s="714"/>
    </row>
    <row r="1075">
      <c r="A1075" s="761"/>
      <c r="B1075" s="769" t="s">
        <v>493</v>
      </c>
      <c r="C1075" s="770" t="s">
        <v>648</v>
      </c>
      <c r="D1075" s="770" t="s">
        <v>494</v>
      </c>
      <c r="E1075" s="770" t="s">
        <v>512</v>
      </c>
      <c r="F1075" s="770" t="s">
        <v>519</v>
      </c>
      <c r="G1075" s="770" t="s">
        <v>103</v>
      </c>
      <c r="H1075" s="770">
        <v>2019.0</v>
      </c>
      <c r="I1075" s="771">
        <v>1250.141691</v>
      </c>
      <c r="J1075" s="771">
        <v>1636.422527</v>
      </c>
      <c r="K1075" s="772">
        <v>885.3131766</v>
      </c>
      <c r="M1075" s="769" t="s">
        <v>493</v>
      </c>
      <c r="N1075" s="770" t="s">
        <v>648</v>
      </c>
      <c r="O1075" s="770" t="s">
        <v>494</v>
      </c>
      <c r="P1075" s="770" t="s">
        <v>512</v>
      </c>
      <c r="Q1075" s="770" t="s">
        <v>519</v>
      </c>
      <c r="R1075" s="770" t="s">
        <v>497</v>
      </c>
      <c r="S1075" s="770">
        <v>2019.0</v>
      </c>
      <c r="T1075" s="771">
        <v>6180.123208</v>
      </c>
      <c r="U1075" s="771">
        <v>8089.717279</v>
      </c>
      <c r="V1075" s="772">
        <v>4376.579511</v>
      </c>
      <c r="AW1075" s="714"/>
    </row>
    <row r="1076">
      <c r="A1076" s="761"/>
      <c r="B1076" s="769" t="s">
        <v>493</v>
      </c>
      <c r="C1076" s="770" t="s">
        <v>648</v>
      </c>
      <c r="D1076" s="770" t="s">
        <v>494</v>
      </c>
      <c r="E1076" s="770" t="s">
        <v>495</v>
      </c>
      <c r="F1076" s="770" t="s">
        <v>521</v>
      </c>
      <c r="G1076" s="770" t="s">
        <v>103</v>
      </c>
      <c r="H1076" s="770">
        <v>2019.0</v>
      </c>
      <c r="I1076" s="771">
        <v>227.2980553</v>
      </c>
      <c r="J1076" s="771">
        <v>569.1803327</v>
      </c>
      <c r="K1076" s="772">
        <v>67.62588593</v>
      </c>
      <c r="M1076" s="769" t="s">
        <v>493</v>
      </c>
      <c r="N1076" s="770" t="s">
        <v>648</v>
      </c>
      <c r="O1076" s="770" t="s">
        <v>494</v>
      </c>
      <c r="P1076" s="770" t="s">
        <v>495</v>
      </c>
      <c r="Q1076" s="770" t="s">
        <v>521</v>
      </c>
      <c r="R1076" s="770" t="s">
        <v>497</v>
      </c>
      <c r="S1076" s="770">
        <v>2019.0</v>
      </c>
      <c r="T1076" s="771">
        <v>14.98956604</v>
      </c>
      <c r="U1076" s="771">
        <v>37.53558812</v>
      </c>
      <c r="V1076" s="772">
        <v>4.459706801</v>
      </c>
      <c r="AW1076" s="714"/>
    </row>
    <row r="1077">
      <c r="A1077" s="761"/>
      <c r="B1077" s="769" t="s">
        <v>493</v>
      </c>
      <c r="C1077" s="770" t="s">
        <v>648</v>
      </c>
      <c r="D1077" s="770" t="s">
        <v>494</v>
      </c>
      <c r="E1077" s="770" t="s">
        <v>505</v>
      </c>
      <c r="F1077" s="770" t="s">
        <v>521</v>
      </c>
      <c r="G1077" s="770" t="s">
        <v>103</v>
      </c>
      <c r="H1077" s="770">
        <v>2019.0</v>
      </c>
      <c r="I1077" s="771">
        <v>0.0</v>
      </c>
      <c r="J1077" s="771">
        <v>0.0</v>
      </c>
      <c r="K1077" s="772">
        <v>0.0</v>
      </c>
      <c r="M1077" s="769" t="s">
        <v>493</v>
      </c>
      <c r="N1077" s="770" t="s">
        <v>648</v>
      </c>
      <c r="O1077" s="770" t="s">
        <v>494</v>
      </c>
      <c r="P1077" s="770" t="s">
        <v>505</v>
      </c>
      <c r="Q1077" s="770" t="s">
        <v>521</v>
      </c>
      <c r="R1077" s="770" t="s">
        <v>497</v>
      </c>
      <c r="S1077" s="770">
        <v>2019.0</v>
      </c>
      <c r="T1077" s="771">
        <v>0.0</v>
      </c>
      <c r="U1077" s="771">
        <v>0.0</v>
      </c>
      <c r="V1077" s="772">
        <v>0.0</v>
      </c>
      <c r="AW1077" s="714"/>
    </row>
    <row r="1078">
      <c r="A1078" s="761"/>
      <c r="B1078" s="769" t="s">
        <v>493</v>
      </c>
      <c r="C1078" s="770" t="s">
        <v>648</v>
      </c>
      <c r="D1078" s="770" t="s">
        <v>494</v>
      </c>
      <c r="E1078" s="770" t="s">
        <v>508</v>
      </c>
      <c r="F1078" s="770" t="s">
        <v>521</v>
      </c>
      <c r="G1078" s="770" t="s">
        <v>103</v>
      </c>
      <c r="H1078" s="770">
        <v>2019.0</v>
      </c>
      <c r="I1078" s="771">
        <v>65.52228105</v>
      </c>
      <c r="J1078" s="771">
        <v>171.0377112</v>
      </c>
      <c r="K1078" s="772">
        <v>19.08473371</v>
      </c>
      <c r="M1078" s="769" t="s">
        <v>493</v>
      </c>
      <c r="N1078" s="770" t="s">
        <v>648</v>
      </c>
      <c r="O1078" s="770" t="s">
        <v>494</v>
      </c>
      <c r="P1078" s="770" t="s">
        <v>508</v>
      </c>
      <c r="Q1078" s="770" t="s">
        <v>521</v>
      </c>
      <c r="R1078" s="770" t="s">
        <v>497</v>
      </c>
      <c r="S1078" s="770">
        <v>2019.0</v>
      </c>
      <c r="T1078" s="771">
        <v>20.96888293</v>
      </c>
      <c r="U1078" s="771">
        <v>54.73664356</v>
      </c>
      <c r="V1078" s="772">
        <v>6.107625383</v>
      </c>
      <c r="AW1078" s="714"/>
    </row>
    <row r="1079">
      <c r="A1079" s="761"/>
      <c r="B1079" s="769" t="s">
        <v>493</v>
      </c>
      <c r="C1079" s="770" t="s">
        <v>648</v>
      </c>
      <c r="D1079" s="770" t="s">
        <v>494</v>
      </c>
      <c r="E1079" s="770" t="s">
        <v>512</v>
      </c>
      <c r="F1079" s="770" t="s">
        <v>521</v>
      </c>
      <c r="G1079" s="770" t="s">
        <v>103</v>
      </c>
      <c r="H1079" s="770">
        <v>2019.0</v>
      </c>
      <c r="I1079" s="771">
        <v>0.0</v>
      </c>
      <c r="J1079" s="771">
        <v>0.0</v>
      </c>
      <c r="K1079" s="772">
        <v>0.0</v>
      </c>
      <c r="M1079" s="769" t="s">
        <v>493</v>
      </c>
      <c r="N1079" s="770" t="s">
        <v>648</v>
      </c>
      <c r="O1079" s="770" t="s">
        <v>494</v>
      </c>
      <c r="P1079" s="770" t="s">
        <v>512</v>
      </c>
      <c r="Q1079" s="770" t="s">
        <v>521</v>
      </c>
      <c r="R1079" s="770" t="s">
        <v>497</v>
      </c>
      <c r="S1079" s="770">
        <v>2019.0</v>
      </c>
      <c r="T1079" s="771">
        <v>0.0</v>
      </c>
      <c r="U1079" s="771">
        <v>0.0</v>
      </c>
      <c r="V1079" s="772">
        <v>0.0</v>
      </c>
      <c r="AW1079" s="714"/>
    </row>
    <row r="1080">
      <c r="A1080" s="761"/>
      <c r="B1080" s="769" t="s">
        <v>493</v>
      </c>
      <c r="C1080" s="770" t="s">
        <v>648</v>
      </c>
      <c r="D1080" s="770" t="s">
        <v>494</v>
      </c>
      <c r="E1080" s="770" t="s">
        <v>495</v>
      </c>
      <c r="F1080" s="770" t="s">
        <v>523</v>
      </c>
      <c r="G1080" s="770" t="s">
        <v>103</v>
      </c>
      <c r="H1080" s="770">
        <v>2019.0</v>
      </c>
      <c r="I1080" s="771">
        <v>1639.853825</v>
      </c>
      <c r="J1080" s="771">
        <v>2629.065703</v>
      </c>
      <c r="K1080" s="772">
        <v>939.8777937</v>
      </c>
      <c r="M1080" s="769" t="s">
        <v>493</v>
      </c>
      <c r="N1080" s="770" t="s">
        <v>648</v>
      </c>
      <c r="O1080" s="770" t="s">
        <v>494</v>
      </c>
      <c r="P1080" s="770" t="s">
        <v>495</v>
      </c>
      <c r="Q1080" s="770" t="s">
        <v>523</v>
      </c>
      <c r="R1080" s="770" t="s">
        <v>497</v>
      </c>
      <c r="S1080" s="770">
        <v>2019.0</v>
      </c>
      <c r="T1080" s="771">
        <v>108.1430158</v>
      </c>
      <c r="U1080" s="771">
        <v>173.3783156</v>
      </c>
      <c r="V1080" s="772">
        <v>61.98187766</v>
      </c>
      <c r="AW1080" s="714"/>
    </row>
    <row r="1081">
      <c r="A1081" s="761"/>
      <c r="B1081" s="769" t="s">
        <v>493</v>
      </c>
      <c r="C1081" s="770" t="s">
        <v>648</v>
      </c>
      <c r="D1081" s="770" t="s">
        <v>494</v>
      </c>
      <c r="E1081" s="770" t="s">
        <v>505</v>
      </c>
      <c r="F1081" s="770" t="s">
        <v>523</v>
      </c>
      <c r="G1081" s="770" t="s">
        <v>103</v>
      </c>
      <c r="H1081" s="770">
        <v>2019.0</v>
      </c>
      <c r="I1081" s="771">
        <v>0.0</v>
      </c>
      <c r="J1081" s="771">
        <v>0.0</v>
      </c>
      <c r="K1081" s="772">
        <v>0.0</v>
      </c>
      <c r="M1081" s="769" t="s">
        <v>493</v>
      </c>
      <c r="N1081" s="770" t="s">
        <v>648</v>
      </c>
      <c r="O1081" s="770" t="s">
        <v>494</v>
      </c>
      <c r="P1081" s="770" t="s">
        <v>505</v>
      </c>
      <c r="Q1081" s="770" t="s">
        <v>523</v>
      </c>
      <c r="R1081" s="770" t="s">
        <v>497</v>
      </c>
      <c r="S1081" s="770">
        <v>2019.0</v>
      </c>
      <c r="T1081" s="771">
        <v>0.0</v>
      </c>
      <c r="U1081" s="771">
        <v>0.0</v>
      </c>
      <c r="V1081" s="772">
        <v>0.0</v>
      </c>
      <c r="AW1081" s="714"/>
    </row>
    <row r="1082">
      <c r="A1082" s="761"/>
      <c r="B1082" s="769" t="s">
        <v>493</v>
      </c>
      <c r="C1082" s="770" t="s">
        <v>648</v>
      </c>
      <c r="D1082" s="770" t="s">
        <v>494</v>
      </c>
      <c r="E1082" s="770" t="s">
        <v>508</v>
      </c>
      <c r="F1082" s="770" t="s">
        <v>523</v>
      </c>
      <c r="G1082" s="770" t="s">
        <v>103</v>
      </c>
      <c r="H1082" s="770">
        <v>2019.0</v>
      </c>
      <c r="I1082" s="771">
        <v>771.3677085</v>
      </c>
      <c r="J1082" s="771">
        <v>1394.868312</v>
      </c>
      <c r="K1082" s="772">
        <v>378.0382504</v>
      </c>
      <c r="M1082" s="769" t="s">
        <v>493</v>
      </c>
      <c r="N1082" s="770" t="s">
        <v>648</v>
      </c>
      <c r="O1082" s="770" t="s">
        <v>494</v>
      </c>
      <c r="P1082" s="770" t="s">
        <v>508</v>
      </c>
      <c r="Q1082" s="770" t="s">
        <v>523</v>
      </c>
      <c r="R1082" s="770" t="s">
        <v>497</v>
      </c>
      <c r="S1082" s="770">
        <v>2019.0</v>
      </c>
      <c r="T1082" s="771">
        <v>246.858304</v>
      </c>
      <c r="U1082" s="771">
        <v>446.3951785</v>
      </c>
      <c r="V1082" s="772">
        <v>120.9823542</v>
      </c>
      <c r="AW1082" s="714"/>
    </row>
    <row r="1083">
      <c r="A1083" s="761"/>
      <c r="B1083" s="769" t="s">
        <v>493</v>
      </c>
      <c r="C1083" s="770" t="s">
        <v>648</v>
      </c>
      <c r="D1083" s="770" t="s">
        <v>494</v>
      </c>
      <c r="E1083" s="770" t="s">
        <v>512</v>
      </c>
      <c r="F1083" s="770" t="s">
        <v>523</v>
      </c>
      <c r="G1083" s="770" t="s">
        <v>103</v>
      </c>
      <c r="H1083" s="770">
        <v>2019.0</v>
      </c>
      <c r="I1083" s="771">
        <v>0.0</v>
      </c>
      <c r="J1083" s="771">
        <v>0.0</v>
      </c>
      <c r="K1083" s="772">
        <v>0.0</v>
      </c>
      <c r="M1083" s="769" t="s">
        <v>493</v>
      </c>
      <c r="N1083" s="770" t="s">
        <v>648</v>
      </c>
      <c r="O1083" s="770" t="s">
        <v>494</v>
      </c>
      <c r="P1083" s="770" t="s">
        <v>512</v>
      </c>
      <c r="Q1083" s="770" t="s">
        <v>523</v>
      </c>
      <c r="R1083" s="770" t="s">
        <v>497</v>
      </c>
      <c r="S1083" s="770">
        <v>2019.0</v>
      </c>
      <c r="T1083" s="771">
        <v>0.0</v>
      </c>
      <c r="U1083" s="771">
        <v>0.0</v>
      </c>
      <c r="V1083" s="772">
        <v>0.0</v>
      </c>
      <c r="AW1083" s="714"/>
    </row>
    <row r="1084">
      <c r="A1084" s="761"/>
      <c r="B1084" s="769" t="s">
        <v>493</v>
      </c>
      <c r="C1084" s="770" t="s">
        <v>20</v>
      </c>
      <c r="D1084" s="770" t="s">
        <v>494</v>
      </c>
      <c r="E1084" s="770" t="s">
        <v>495</v>
      </c>
      <c r="F1084" s="770" t="s">
        <v>496</v>
      </c>
      <c r="G1084" s="770" t="s">
        <v>103</v>
      </c>
      <c r="H1084" s="770">
        <v>2019.0</v>
      </c>
      <c r="I1084" s="771">
        <v>15010.42875</v>
      </c>
      <c r="J1084" s="771">
        <v>18960.52291</v>
      </c>
      <c r="K1084" s="772">
        <v>11965.64907</v>
      </c>
      <c r="M1084" s="769" t="s">
        <v>493</v>
      </c>
      <c r="N1084" s="770" t="s">
        <v>20</v>
      </c>
      <c r="O1084" s="770" t="s">
        <v>494</v>
      </c>
      <c r="P1084" s="770" t="s">
        <v>495</v>
      </c>
      <c r="Q1084" s="770" t="s">
        <v>496</v>
      </c>
      <c r="R1084" s="770" t="s">
        <v>497</v>
      </c>
      <c r="S1084" s="770">
        <v>2019.0</v>
      </c>
      <c r="T1084" s="771">
        <v>1346.401636</v>
      </c>
      <c r="U1084" s="771">
        <v>1700.716182</v>
      </c>
      <c r="V1084" s="772">
        <v>1073.29176</v>
      </c>
      <c r="AW1084" s="714"/>
    </row>
    <row r="1085">
      <c r="A1085" s="761"/>
      <c r="B1085" s="769" t="s">
        <v>493</v>
      </c>
      <c r="C1085" s="770" t="s">
        <v>20</v>
      </c>
      <c r="D1085" s="770" t="s">
        <v>494</v>
      </c>
      <c r="E1085" s="770" t="s">
        <v>505</v>
      </c>
      <c r="F1085" s="770" t="s">
        <v>496</v>
      </c>
      <c r="G1085" s="770" t="s">
        <v>103</v>
      </c>
      <c r="H1085" s="770">
        <v>2019.0</v>
      </c>
      <c r="I1085" s="771">
        <v>5107.64038</v>
      </c>
      <c r="J1085" s="771">
        <v>6429.376195</v>
      </c>
      <c r="K1085" s="772">
        <v>3980.071851</v>
      </c>
      <c r="M1085" s="769" t="s">
        <v>493</v>
      </c>
      <c r="N1085" s="770" t="s">
        <v>20</v>
      </c>
      <c r="O1085" s="770" t="s">
        <v>494</v>
      </c>
      <c r="P1085" s="770" t="s">
        <v>505</v>
      </c>
      <c r="Q1085" s="770" t="s">
        <v>496</v>
      </c>
      <c r="R1085" s="770" t="s">
        <v>497</v>
      </c>
      <c r="S1085" s="770">
        <v>2019.0</v>
      </c>
      <c r="T1085" s="771">
        <v>113816.2816</v>
      </c>
      <c r="U1085" s="771">
        <v>143269.2275</v>
      </c>
      <c r="V1085" s="772">
        <v>88690.06919</v>
      </c>
      <c r="AW1085" s="714"/>
    </row>
    <row r="1086">
      <c r="A1086" s="761"/>
      <c r="B1086" s="769" t="s">
        <v>493</v>
      </c>
      <c r="C1086" s="770" t="s">
        <v>20</v>
      </c>
      <c r="D1086" s="770" t="s">
        <v>494</v>
      </c>
      <c r="E1086" s="770" t="s">
        <v>508</v>
      </c>
      <c r="F1086" s="770" t="s">
        <v>496</v>
      </c>
      <c r="G1086" s="770" t="s">
        <v>103</v>
      </c>
      <c r="H1086" s="770">
        <v>2019.0</v>
      </c>
      <c r="I1086" s="771">
        <v>3686.52231</v>
      </c>
      <c r="J1086" s="771">
        <v>4554.373171</v>
      </c>
      <c r="K1086" s="772">
        <v>2992.384232</v>
      </c>
      <c r="M1086" s="769" t="s">
        <v>493</v>
      </c>
      <c r="N1086" s="770" t="s">
        <v>20</v>
      </c>
      <c r="O1086" s="770" t="s">
        <v>494</v>
      </c>
      <c r="P1086" s="770" t="s">
        <v>508</v>
      </c>
      <c r="Q1086" s="770" t="s">
        <v>496</v>
      </c>
      <c r="R1086" s="770" t="s">
        <v>497</v>
      </c>
      <c r="S1086" s="770">
        <v>2019.0</v>
      </c>
      <c r="T1086" s="771">
        <v>1755.863677</v>
      </c>
      <c r="U1086" s="771">
        <v>2169.21471</v>
      </c>
      <c r="V1086" s="772">
        <v>1425.250776</v>
      </c>
      <c r="AW1086" s="714"/>
    </row>
    <row r="1087">
      <c r="A1087" s="761"/>
      <c r="B1087" s="769" t="s">
        <v>493</v>
      </c>
      <c r="C1087" s="770" t="s">
        <v>20</v>
      </c>
      <c r="D1087" s="770" t="s">
        <v>494</v>
      </c>
      <c r="E1087" s="770" t="s">
        <v>512</v>
      </c>
      <c r="F1087" s="770" t="s">
        <v>496</v>
      </c>
      <c r="G1087" s="770" t="s">
        <v>103</v>
      </c>
      <c r="H1087" s="770">
        <v>2019.0</v>
      </c>
      <c r="I1087" s="771">
        <v>819.2103542</v>
      </c>
      <c r="J1087" s="771">
        <v>1159.174894</v>
      </c>
      <c r="K1087" s="772">
        <v>578.2858019</v>
      </c>
      <c r="M1087" s="769" t="s">
        <v>493</v>
      </c>
      <c r="N1087" s="770" t="s">
        <v>20</v>
      </c>
      <c r="O1087" s="770" t="s">
        <v>494</v>
      </c>
      <c r="P1087" s="770" t="s">
        <v>512</v>
      </c>
      <c r="Q1087" s="770" t="s">
        <v>496</v>
      </c>
      <c r="R1087" s="770" t="s">
        <v>497</v>
      </c>
      <c r="S1087" s="770">
        <v>2019.0</v>
      </c>
      <c r="T1087" s="771">
        <v>6165.3967</v>
      </c>
      <c r="U1087" s="771">
        <v>8723.977952</v>
      </c>
      <c r="V1087" s="772">
        <v>4352.192763</v>
      </c>
      <c r="AW1087" s="714"/>
    </row>
    <row r="1088">
      <c r="A1088" s="761"/>
      <c r="B1088" s="769" t="s">
        <v>493</v>
      </c>
      <c r="C1088" s="770" t="s">
        <v>20</v>
      </c>
      <c r="D1088" s="770" t="s">
        <v>494</v>
      </c>
      <c r="E1088" s="770" t="s">
        <v>495</v>
      </c>
      <c r="F1088" s="770" t="s">
        <v>514</v>
      </c>
      <c r="G1088" s="770" t="s">
        <v>103</v>
      </c>
      <c r="H1088" s="770">
        <v>2019.0</v>
      </c>
      <c r="I1088" s="771">
        <v>13360.25023</v>
      </c>
      <c r="J1088" s="771">
        <v>17026.92434</v>
      </c>
      <c r="K1088" s="772">
        <v>10636.12776</v>
      </c>
      <c r="M1088" s="769" t="s">
        <v>493</v>
      </c>
      <c r="N1088" s="770" t="s">
        <v>20</v>
      </c>
      <c r="O1088" s="770" t="s">
        <v>494</v>
      </c>
      <c r="P1088" s="770" t="s">
        <v>495</v>
      </c>
      <c r="Q1088" s="770" t="s">
        <v>514</v>
      </c>
      <c r="R1088" s="770" t="s">
        <v>497</v>
      </c>
      <c r="S1088" s="770">
        <v>2019.0</v>
      </c>
      <c r="T1088" s="771">
        <v>1198.384341</v>
      </c>
      <c r="U1088" s="771">
        <v>1527.276747</v>
      </c>
      <c r="V1088" s="772">
        <v>954.036694</v>
      </c>
      <c r="AW1088" s="714"/>
    </row>
    <row r="1089">
      <c r="A1089" s="761"/>
      <c r="B1089" s="769" t="s">
        <v>493</v>
      </c>
      <c r="C1089" s="770" t="s">
        <v>20</v>
      </c>
      <c r="D1089" s="770" t="s">
        <v>494</v>
      </c>
      <c r="E1089" s="770" t="s">
        <v>505</v>
      </c>
      <c r="F1089" s="770" t="s">
        <v>514</v>
      </c>
      <c r="G1089" s="770" t="s">
        <v>103</v>
      </c>
      <c r="H1089" s="770">
        <v>2019.0</v>
      </c>
      <c r="I1089" s="771">
        <v>4718.378935</v>
      </c>
      <c r="J1089" s="771">
        <v>5932.695166</v>
      </c>
      <c r="K1089" s="772">
        <v>3665.62211</v>
      </c>
      <c r="M1089" s="769" t="s">
        <v>493</v>
      </c>
      <c r="N1089" s="770" t="s">
        <v>20</v>
      </c>
      <c r="O1089" s="770" t="s">
        <v>494</v>
      </c>
      <c r="P1089" s="770" t="s">
        <v>505</v>
      </c>
      <c r="Q1089" s="770" t="s">
        <v>514</v>
      </c>
      <c r="R1089" s="770" t="s">
        <v>497</v>
      </c>
      <c r="S1089" s="770">
        <v>2019.0</v>
      </c>
      <c r="T1089" s="771">
        <v>105142.1607</v>
      </c>
      <c r="U1089" s="771">
        <v>132201.4186</v>
      </c>
      <c r="V1089" s="772">
        <v>81683.01748</v>
      </c>
      <c r="AW1089" s="714"/>
    </row>
    <row r="1090">
      <c r="A1090" s="761"/>
      <c r="B1090" s="769" t="s">
        <v>493</v>
      </c>
      <c r="C1090" s="770" t="s">
        <v>20</v>
      </c>
      <c r="D1090" s="770" t="s">
        <v>494</v>
      </c>
      <c r="E1090" s="770" t="s">
        <v>508</v>
      </c>
      <c r="F1090" s="770" t="s">
        <v>514</v>
      </c>
      <c r="G1090" s="770" t="s">
        <v>103</v>
      </c>
      <c r="H1090" s="770">
        <v>2019.0</v>
      </c>
      <c r="I1090" s="771">
        <v>3250.455847</v>
      </c>
      <c r="J1090" s="771">
        <v>4043.180824</v>
      </c>
      <c r="K1090" s="772">
        <v>2600.917558</v>
      </c>
      <c r="M1090" s="769" t="s">
        <v>493</v>
      </c>
      <c r="N1090" s="770" t="s">
        <v>20</v>
      </c>
      <c r="O1090" s="770" t="s">
        <v>494</v>
      </c>
      <c r="P1090" s="770" t="s">
        <v>508</v>
      </c>
      <c r="Q1090" s="770" t="s">
        <v>514</v>
      </c>
      <c r="R1090" s="770" t="s">
        <v>497</v>
      </c>
      <c r="S1090" s="770">
        <v>2019.0</v>
      </c>
      <c r="T1090" s="771">
        <v>1548.168403</v>
      </c>
      <c r="U1090" s="771">
        <v>1925.737525</v>
      </c>
      <c r="V1090" s="772">
        <v>1238.798055</v>
      </c>
      <c r="AW1090" s="714"/>
    </row>
    <row r="1091">
      <c r="A1091" s="761"/>
      <c r="B1091" s="769" t="s">
        <v>493</v>
      </c>
      <c r="C1091" s="770" t="s">
        <v>20</v>
      </c>
      <c r="D1091" s="770" t="s">
        <v>494</v>
      </c>
      <c r="E1091" s="770" t="s">
        <v>512</v>
      </c>
      <c r="F1091" s="770" t="s">
        <v>514</v>
      </c>
      <c r="G1091" s="770" t="s">
        <v>103</v>
      </c>
      <c r="H1091" s="770">
        <v>2019.0</v>
      </c>
      <c r="I1091" s="771">
        <v>736.6961144</v>
      </c>
      <c r="J1091" s="771">
        <v>1027.637055</v>
      </c>
      <c r="K1091" s="772">
        <v>519.3717827</v>
      </c>
      <c r="M1091" s="769" t="s">
        <v>493</v>
      </c>
      <c r="N1091" s="770" t="s">
        <v>20</v>
      </c>
      <c r="O1091" s="770" t="s">
        <v>494</v>
      </c>
      <c r="P1091" s="770" t="s">
        <v>512</v>
      </c>
      <c r="Q1091" s="770" t="s">
        <v>514</v>
      </c>
      <c r="R1091" s="770" t="s">
        <v>497</v>
      </c>
      <c r="S1091" s="770">
        <v>2019.0</v>
      </c>
      <c r="T1091" s="771">
        <v>5544.392559</v>
      </c>
      <c r="U1091" s="771">
        <v>7734.021031</v>
      </c>
      <c r="V1091" s="772">
        <v>3908.804446</v>
      </c>
      <c r="AW1091" s="714"/>
    </row>
    <row r="1092">
      <c r="A1092" s="761"/>
      <c r="B1092" s="769" t="s">
        <v>493</v>
      </c>
      <c r="C1092" s="770" t="s">
        <v>20</v>
      </c>
      <c r="D1092" s="770" t="s">
        <v>494</v>
      </c>
      <c r="E1092" s="770" t="s">
        <v>495</v>
      </c>
      <c r="F1092" s="770" t="s">
        <v>518</v>
      </c>
      <c r="G1092" s="770" t="s">
        <v>103</v>
      </c>
      <c r="H1092" s="770">
        <v>2019.0</v>
      </c>
      <c r="I1092" s="771">
        <v>4191.828969</v>
      </c>
      <c r="J1092" s="771">
        <v>6883.747866</v>
      </c>
      <c r="K1092" s="772">
        <v>1465.617034</v>
      </c>
      <c r="M1092" s="769" t="s">
        <v>493</v>
      </c>
      <c r="N1092" s="770" t="s">
        <v>20</v>
      </c>
      <c r="O1092" s="770" t="s">
        <v>494</v>
      </c>
      <c r="P1092" s="770" t="s">
        <v>495</v>
      </c>
      <c r="Q1092" s="770" t="s">
        <v>518</v>
      </c>
      <c r="R1092" s="770" t="s">
        <v>497</v>
      </c>
      <c r="S1092" s="770">
        <v>2019.0</v>
      </c>
      <c r="T1092" s="771">
        <v>375.9976131</v>
      </c>
      <c r="U1092" s="771">
        <v>617.4566726</v>
      </c>
      <c r="V1092" s="772">
        <v>131.4625455</v>
      </c>
      <c r="AW1092" s="714"/>
    </row>
    <row r="1093">
      <c r="A1093" s="761"/>
      <c r="B1093" s="769" t="s">
        <v>493</v>
      </c>
      <c r="C1093" s="770" t="s">
        <v>20</v>
      </c>
      <c r="D1093" s="770" t="s">
        <v>494</v>
      </c>
      <c r="E1093" s="770" t="s">
        <v>505</v>
      </c>
      <c r="F1093" s="770" t="s">
        <v>518</v>
      </c>
      <c r="G1093" s="770" t="s">
        <v>103</v>
      </c>
      <c r="H1093" s="770">
        <v>2019.0</v>
      </c>
      <c r="I1093" s="771">
        <v>141.5992773</v>
      </c>
      <c r="J1093" s="771">
        <v>290.5493612</v>
      </c>
      <c r="K1093" s="772">
        <v>34.93280883</v>
      </c>
      <c r="M1093" s="769" t="s">
        <v>493</v>
      </c>
      <c r="N1093" s="770" t="s">
        <v>20</v>
      </c>
      <c r="O1093" s="770" t="s">
        <v>494</v>
      </c>
      <c r="P1093" s="770" t="s">
        <v>505</v>
      </c>
      <c r="Q1093" s="770" t="s">
        <v>518</v>
      </c>
      <c r="R1093" s="770" t="s">
        <v>497</v>
      </c>
      <c r="S1093" s="770">
        <v>2019.0</v>
      </c>
      <c r="T1093" s="771">
        <v>3155.332408</v>
      </c>
      <c r="U1093" s="771">
        <v>6474.466771</v>
      </c>
      <c r="V1093" s="772">
        <v>778.4264576</v>
      </c>
      <c r="AW1093" s="714"/>
    </row>
    <row r="1094">
      <c r="A1094" s="761"/>
      <c r="B1094" s="769" t="s">
        <v>493</v>
      </c>
      <c r="C1094" s="770" t="s">
        <v>20</v>
      </c>
      <c r="D1094" s="770" t="s">
        <v>494</v>
      </c>
      <c r="E1094" s="770" t="s">
        <v>508</v>
      </c>
      <c r="F1094" s="770" t="s">
        <v>518</v>
      </c>
      <c r="G1094" s="770" t="s">
        <v>103</v>
      </c>
      <c r="H1094" s="770">
        <v>2019.0</v>
      </c>
      <c r="I1094" s="771">
        <v>1665.837634</v>
      </c>
      <c r="J1094" s="771">
        <v>2446.972334</v>
      </c>
      <c r="K1094" s="772">
        <v>630.8745734</v>
      </c>
      <c r="M1094" s="769" t="s">
        <v>493</v>
      </c>
      <c r="N1094" s="770" t="s">
        <v>20</v>
      </c>
      <c r="O1094" s="770" t="s">
        <v>494</v>
      </c>
      <c r="P1094" s="770" t="s">
        <v>508</v>
      </c>
      <c r="Q1094" s="770" t="s">
        <v>518</v>
      </c>
      <c r="R1094" s="770" t="s">
        <v>497</v>
      </c>
      <c r="S1094" s="770">
        <v>2019.0</v>
      </c>
      <c r="T1094" s="771">
        <v>793.42631</v>
      </c>
      <c r="U1094" s="771">
        <v>1165.475068</v>
      </c>
      <c r="V1094" s="772">
        <v>300.4809561</v>
      </c>
      <c r="AW1094" s="714"/>
    </row>
    <row r="1095">
      <c r="A1095" s="761"/>
      <c r="B1095" s="769" t="s">
        <v>493</v>
      </c>
      <c r="C1095" s="770" t="s">
        <v>20</v>
      </c>
      <c r="D1095" s="770" t="s">
        <v>494</v>
      </c>
      <c r="E1095" s="770" t="s">
        <v>512</v>
      </c>
      <c r="F1095" s="770" t="s">
        <v>518</v>
      </c>
      <c r="G1095" s="770" t="s">
        <v>103</v>
      </c>
      <c r="H1095" s="770">
        <v>2019.0</v>
      </c>
      <c r="I1095" s="771">
        <v>203.8362527</v>
      </c>
      <c r="J1095" s="771">
        <v>384.143698</v>
      </c>
      <c r="K1095" s="772">
        <v>42.26849047</v>
      </c>
      <c r="M1095" s="769" t="s">
        <v>493</v>
      </c>
      <c r="N1095" s="770" t="s">
        <v>20</v>
      </c>
      <c r="O1095" s="770" t="s">
        <v>494</v>
      </c>
      <c r="P1095" s="770" t="s">
        <v>512</v>
      </c>
      <c r="Q1095" s="770" t="s">
        <v>518</v>
      </c>
      <c r="R1095" s="770" t="s">
        <v>497</v>
      </c>
      <c r="S1095" s="770">
        <v>2019.0</v>
      </c>
      <c r="T1095" s="771">
        <v>1534.076509</v>
      </c>
      <c r="U1095" s="771">
        <v>2891.07465</v>
      </c>
      <c r="V1095" s="772">
        <v>318.1136692</v>
      </c>
      <c r="AW1095" s="714"/>
    </row>
    <row r="1096">
      <c r="A1096" s="761"/>
      <c r="B1096" s="769" t="s">
        <v>493</v>
      </c>
      <c r="C1096" s="770" t="s">
        <v>20</v>
      </c>
      <c r="D1096" s="770" t="s">
        <v>494</v>
      </c>
      <c r="E1096" s="770" t="s">
        <v>495</v>
      </c>
      <c r="F1096" s="770" t="s">
        <v>519</v>
      </c>
      <c r="G1096" s="770" t="s">
        <v>103</v>
      </c>
      <c r="H1096" s="770">
        <v>2019.0</v>
      </c>
      <c r="I1096" s="771">
        <v>4517.930813</v>
      </c>
      <c r="J1096" s="771">
        <v>5699.775422</v>
      </c>
      <c r="K1096" s="772">
        <v>3536.72977</v>
      </c>
      <c r="M1096" s="769" t="s">
        <v>493</v>
      </c>
      <c r="N1096" s="770" t="s">
        <v>20</v>
      </c>
      <c r="O1096" s="770" t="s">
        <v>494</v>
      </c>
      <c r="P1096" s="770" t="s">
        <v>495</v>
      </c>
      <c r="Q1096" s="770" t="s">
        <v>519</v>
      </c>
      <c r="R1096" s="770" t="s">
        <v>497</v>
      </c>
      <c r="S1096" s="770">
        <v>2019.0</v>
      </c>
      <c r="T1096" s="771">
        <v>405.2482137</v>
      </c>
      <c r="U1096" s="771">
        <v>511.2570121</v>
      </c>
      <c r="V1096" s="772">
        <v>317.2366912</v>
      </c>
      <c r="AW1096" s="714"/>
    </row>
    <row r="1097">
      <c r="A1097" s="761"/>
      <c r="B1097" s="769" t="s">
        <v>493</v>
      </c>
      <c r="C1097" s="770" t="s">
        <v>20</v>
      </c>
      <c r="D1097" s="770" t="s">
        <v>494</v>
      </c>
      <c r="E1097" s="770" t="s">
        <v>505</v>
      </c>
      <c r="F1097" s="770" t="s">
        <v>519</v>
      </c>
      <c r="G1097" s="770" t="s">
        <v>103</v>
      </c>
      <c r="H1097" s="770">
        <v>2019.0</v>
      </c>
      <c r="I1097" s="771">
        <v>4133.021645</v>
      </c>
      <c r="J1097" s="771">
        <v>5223.390507</v>
      </c>
      <c r="K1097" s="772">
        <v>3158.269795</v>
      </c>
      <c r="M1097" s="769" t="s">
        <v>493</v>
      </c>
      <c r="N1097" s="770" t="s">
        <v>20</v>
      </c>
      <c r="O1097" s="770" t="s">
        <v>494</v>
      </c>
      <c r="P1097" s="770" t="s">
        <v>505</v>
      </c>
      <c r="Q1097" s="770" t="s">
        <v>519</v>
      </c>
      <c r="R1097" s="770" t="s">
        <v>497</v>
      </c>
      <c r="S1097" s="770">
        <v>2019.0</v>
      </c>
      <c r="T1097" s="771">
        <v>92098.33123</v>
      </c>
      <c r="U1097" s="771">
        <v>116395.6036</v>
      </c>
      <c r="V1097" s="772">
        <v>70377.41456</v>
      </c>
      <c r="AW1097" s="714"/>
    </row>
    <row r="1098">
      <c r="A1098" s="761"/>
      <c r="B1098" s="769" t="s">
        <v>493</v>
      </c>
      <c r="C1098" s="770" t="s">
        <v>20</v>
      </c>
      <c r="D1098" s="770" t="s">
        <v>494</v>
      </c>
      <c r="E1098" s="770" t="s">
        <v>508</v>
      </c>
      <c r="F1098" s="770" t="s">
        <v>519</v>
      </c>
      <c r="G1098" s="770" t="s">
        <v>103</v>
      </c>
      <c r="H1098" s="770">
        <v>2019.0</v>
      </c>
      <c r="I1098" s="771">
        <v>54.21432658</v>
      </c>
      <c r="J1098" s="771">
        <v>109.2129738</v>
      </c>
      <c r="K1098" s="772">
        <v>21.55006189</v>
      </c>
      <c r="M1098" s="769" t="s">
        <v>493</v>
      </c>
      <c r="N1098" s="770" t="s">
        <v>20</v>
      </c>
      <c r="O1098" s="770" t="s">
        <v>494</v>
      </c>
      <c r="P1098" s="770" t="s">
        <v>508</v>
      </c>
      <c r="Q1098" s="770" t="s">
        <v>519</v>
      </c>
      <c r="R1098" s="770" t="s">
        <v>497</v>
      </c>
      <c r="S1098" s="770">
        <v>2019.0</v>
      </c>
      <c r="T1098" s="771">
        <v>25.82188817</v>
      </c>
      <c r="U1098" s="771">
        <v>52.01734253</v>
      </c>
      <c r="V1098" s="772">
        <v>10.26413724</v>
      </c>
      <c r="AW1098" s="714"/>
    </row>
    <row r="1099">
      <c r="A1099" s="761"/>
      <c r="B1099" s="769" t="s">
        <v>493</v>
      </c>
      <c r="C1099" s="770" t="s">
        <v>20</v>
      </c>
      <c r="D1099" s="770" t="s">
        <v>494</v>
      </c>
      <c r="E1099" s="770" t="s">
        <v>512</v>
      </c>
      <c r="F1099" s="770" t="s">
        <v>519</v>
      </c>
      <c r="G1099" s="770" t="s">
        <v>103</v>
      </c>
      <c r="H1099" s="770">
        <v>2019.0</v>
      </c>
      <c r="I1099" s="771">
        <v>318.3604065</v>
      </c>
      <c r="J1099" s="771">
        <v>516.5447894</v>
      </c>
      <c r="K1099" s="772">
        <v>176.1539387</v>
      </c>
      <c r="M1099" s="769" t="s">
        <v>493</v>
      </c>
      <c r="N1099" s="770" t="s">
        <v>20</v>
      </c>
      <c r="O1099" s="770" t="s">
        <v>494</v>
      </c>
      <c r="P1099" s="770" t="s">
        <v>512</v>
      </c>
      <c r="Q1099" s="770" t="s">
        <v>519</v>
      </c>
      <c r="R1099" s="770" t="s">
        <v>497</v>
      </c>
      <c r="S1099" s="770">
        <v>2019.0</v>
      </c>
      <c r="T1099" s="771">
        <v>2395.988026</v>
      </c>
      <c r="U1099" s="771">
        <v>3887.528428</v>
      </c>
      <c r="V1099" s="772">
        <v>1325.738752</v>
      </c>
      <c r="AW1099" s="714"/>
    </row>
    <row r="1100">
      <c r="A1100" s="761"/>
      <c r="B1100" s="769" t="s">
        <v>493</v>
      </c>
      <c r="C1100" s="770" t="s">
        <v>20</v>
      </c>
      <c r="D1100" s="770" t="s">
        <v>494</v>
      </c>
      <c r="E1100" s="770" t="s">
        <v>495</v>
      </c>
      <c r="F1100" s="770" t="s">
        <v>521</v>
      </c>
      <c r="G1100" s="770" t="s">
        <v>103</v>
      </c>
      <c r="H1100" s="770">
        <v>2019.0</v>
      </c>
      <c r="I1100" s="771">
        <v>48.89229568</v>
      </c>
      <c r="J1100" s="771">
        <v>125.8953823</v>
      </c>
      <c r="K1100" s="772">
        <v>12.57789893</v>
      </c>
      <c r="M1100" s="769" t="s">
        <v>493</v>
      </c>
      <c r="N1100" s="770" t="s">
        <v>20</v>
      </c>
      <c r="O1100" s="770" t="s">
        <v>494</v>
      </c>
      <c r="P1100" s="770" t="s">
        <v>495</v>
      </c>
      <c r="Q1100" s="770" t="s">
        <v>521</v>
      </c>
      <c r="R1100" s="770" t="s">
        <v>497</v>
      </c>
      <c r="S1100" s="770">
        <v>2019.0</v>
      </c>
      <c r="T1100" s="771">
        <v>4.385528755</v>
      </c>
      <c r="U1100" s="771">
        <v>11.29253212</v>
      </c>
      <c r="V1100" s="772">
        <v>1.128209193</v>
      </c>
      <c r="AW1100" s="714"/>
    </row>
    <row r="1101">
      <c r="A1101" s="761"/>
      <c r="B1101" s="769" t="s">
        <v>493</v>
      </c>
      <c r="C1101" s="770" t="s">
        <v>20</v>
      </c>
      <c r="D1101" s="770" t="s">
        <v>494</v>
      </c>
      <c r="E1101" s="770" t="s">
        <v>505</v>
      </c>
      <c r="F1101" s="770" t="s">
        <v>521</v>
      </c>
      <c r="G1101" s="770" t="s">
        <v>103</v>
      </c>
      <c r="H1101" s="770">
        <v>2019.0</v>
      </c>
      <c r="I1101" s="771">
        <v>0.0</v>
      </c>
      <c r="J1101" s="771">
        <v>0.0</v>
      </c>
      <c r="K1101" s="772">
        <v>0.0</v>
      </c>
      <c r="M1101" s="769" t="s">
        <v>493</v>
      </c>
      <c r="N1101" s="770" t="s">
        <v>20</v>
      </c>
      <c r="O1101" s="770" t="s">
        <v>494</v>
      </c>
      <c r="P1101" s="770" t="s">
        <v>505</v>
      </c>
      <c r="Q1101" s="770" t="s">
        <v>521</v>
      </c>
      <c r="R1101" s="770" t="s">
        <v>497</v>
      </c>
      <c r="S1101" s="770">
        <v>2019.0</v>
      </c>
      <c r="T1101" s="771">
        <v>0.0</v>
      </c>
      <c r="U1101" s="771">
        <v>0.0</v>
      </c>
      <c r="V1101" s="772">
        <v>0.0</v>
      </c>
      <c r="AW1101" s="714"/>
    </row>
    <row r="1102">
      <c r="A1102" s="761"/>
      <c r="B1102" s="769" t="s">
        <v>493</v>
      </c>
      <c r="C1102" s="770" t="s">
        <v>20</v>
      </c>
      <c r="D1102" s="770" t="s">
        <v>494</v>
      </c>
      <c r="E1102" s="770" t="s">
        <v>508</v>
      </c>
      <c r="F1102" s="770" t="s">
        <v>521</v>
      </c>
      <c r="G1102" s="770" t="s">
        <v>103</v>
      </c>
      <c r="H1102" s="770">
        <v>2019.0</v>
      </c>
      <c r="I1102" s="771">
        <v>12.52153691</v>
      </c>
      <c r="J1102" s="771">
        <v>31.93529175</v>
      </c>
      <c r="K1102" s="772">
        <v>3.341422208</v>
      </c>
      <c r="M1102" s="769" t="s">
        <v>493</v>
      </c>
      <c r="N1102" s="770" t="s">
        <v>20</v>
      </c>
      <c r="O1102" s="770" t="s">
        <v>494</v>
      </c>
      <c r="P1102" s="770" t="s">
        <v>508</v>
      </c>
      <c r="Q1102" s="770" t="s">
        <v>521</v>
      </c>
      <c r="R1102" s="770" t="s">
        <v>497</v>
      </c>
      <c r="S1102" s="770">
        <v>2019.0</v>
      </c>
      <c r="T1102" s="771">
        <v>5.963916665</v>
      </c>
      <c r="U1102" s="771">
        <v>15.21054645</v>
      </c>
      <c r="V1102" s="772">
        <v>1.591495017</v>
      </c>
      <c r="AW1102" s="714"/>
    </row>
    <row r="1103">
      <c r="A1103" s="761"/>
      <c r="B1103" s="769" t="s">
        <v>493</v>
      </c>
      <c r="C1103" s="770" t="s">
        <v>20</v>
      </c>
      <c r="D1103" s="770" t="s">
        <v>494</v>
      </c>
      <c r="E1103" s="770" t="s">
        <v>512</v>
      </c>
      <c r="F1103" s="770" t="s">
        <v>521</v>
      </c>
      <c r="G1103" s="770" t="s">
        <v>103</v>
      </c>
      <c r="H1103" s="770">
        <v>2019.0</v>
      </c>
      <c r="I1103" s="771">
        <v>0.0</v>
      </c>
      <c r="J1103" s="771">
        <v>0.0</v>
      </c>
      <c r="K1103" s="772">
        <v>0.0</v>
      </c>
      <c r="M1103" s="769" t="s">
        <v>493</v>
      </c>
      <c r="N1103" s="770" t="s">
        <v>20</v>
      </c>
      <c r="O1103" s="770" t="s">
        <v>494</v>
      </c>
      <c r="P1103" s="770" t="s">
        <v>512</v>
      </c>
      <c r="Q1103" s="770" t="s">
        <v>521</v>
      </c>
      <c r="R1103" s="770" t="s">
        <v>497</v>
      </c>
      <c r="S1103" s="770">
        <v>2019.0</v>
      </c>
      <c r="T1103" s="771">
        <v>0.0</v>
      </c>
      <c r="U1103" s="771">
        <v>0.0</v>
      </c>
      <c r="V1103" s="772">
        <v>0.0</v>
      </c>
      <c r="AW1103" s="714"/>
    </row>
    <row r="1104">
      <c r="A1104" s="761"/>
      <c r="B1104" s="769" t="s">
        <v>493</v>
      </c>
      <c r="C1104" s="770" t="s">
        <v>20</v>
      </c>
      <c r="D1104" s="770" t="s">
        <v>494</v>
      </c>
      <c r="E1104" s="770" t="s">
        <v>495</v>
      </c>
      <c r="F1104" s="770" t="s">
        <v>523</v>
      </c>
      <c r="G1104" s="770" t="s">
        <v>103</v>
      </c>
      <c r="H1104" s="770">
        <v>2019.0</v>
      </c>
      <c r="I1104" s="771">
        <v>94.18087009</v>
      </c>
      <c r="J1104" s="771">
        <v>175.3429441</v>
      </c>
      <c r="K1104" s="772">
        <v>42.90120993</v>
      </c>
      <c r="M1104" s="769" t="s">
        <v>493</v>
      </c>
      <c r="N1104" s="770" t="s">
        <v>20</v>
      </c>
      <c r="O1104" s="770" t="s">
        <v>494</v>
      </c>
      <c r="P1104" s="770" t="s">
        <v>495</v>
      </c>
      <c r="Q1104" s="770" t="s">
        <v>523</v>
      </c>
      <c r="R1104" s="770" t="s">
        <v>497</v>
      </c>
      <c r="S1104" s="770">
        <v>2019.0</v>
      </c>
      <c r="T1104" s="771">
        <v>8.447811831</v>
      </c>
      <c r="U1104" s="771">
        <v>15.72786699</v>
      </c>
      <c r="V1104" s="772">
        <v>3.848141862</v>
      </c>
      <c r="AW1104" s="714"/>
    </row>
    <row r="1105">
      <c r="A1105" s="761"/>
      <c r="B1105" s="769" t="s">
        <v>493</v>
      </c>
      <c r="C1105" s="770" t="s">
        <v>20</v>
      </c>
      <c r="D1105" s="770" t="s">
        <v>494</v>
      </c>
      <c r="E1105" s="770" t="s">
        <v>505</v>
      </c>
      <c r="F1105" s="770" t="s">
        <v>523</v>
      </c>
      <c r="G1105" s="770" t="s">
        <v>103</v>
      </c>
      <c r="H1105" s="770">
        <v>2019.0</v>
      </c>
      <c r="I1105" s="771">
        <v>0.0</v>
      </c>
      <c r="J1105" s="771">
        <v>0.0</v>
      </c>
      <c r="K1105" s="772">
        <v>0.0</v>
      </c>
      <c r="M1105" s="769" t="s">
        <v>493</v>
      </c>
      <c r="N1105" s="770" t="s">
        <v>20</v>
      </c>
      <c r="O1105" s="770" t="s">
        <v>494</v>
      </c>
      <c r="P1105" s="770" t="s">
        <v>505</v>
      </c>
      <c r="Q1105" s="770" t="s">
        <v>523</v>
      </c>
      <c r="R1105" s="770" t="s">
        <v>497</v>
      </c>
      <c r="S1105" s="770">
        <v>2019.0</v>
      </c>
      <c r="T1105" s="771">
        <v>0.0</v>
      </c>
      <c r="U1105" s="771">
        <v>0.0</v>
      </c>
      <c r="V1105" s="772">
        <v>0.0</v>
      </c>
      <c r="AW1105" s="714"/>
    </row>
    <row r="1106">
      <c r="A1106" s="761"/>
      <c r="B1106" s="769" t="s">
        <v>493</v>
      </c>
      <c r="C1106" s="770" t="s">
        <v>20</v>
      </c>
      <c r="D1106" s="770" t="s">
        <v>494</v>
      </c>
      <c r="E1106" s="770" t="s">
        <v>508</v>
      </c>
      <c r="F1106" s="770" t="s">
        <v>523</v>
      </c>
      <c r="G1106" s="770" t="s">
        <v>103</v>
      </c>
      <c r="H1106" s="770">
        <v>2019.0</v>
      </c>
      <c r="I1106" s="771">
        <v>35.94181968</v>
      </c>
      <c r="J1106" s="771">
        <v>72.26730585</v>
      </c>
      <c r="K1106" s="772">
        <v>14.23486022</v>
      </c>
      <c r="M1106" s="769" t="s">
        <v>493</v>
      </c>
      <c r="N1106" s="770" t="s">
        <v>20</v>
      </c>
      <c r="O1106" s="770" t="s">
        <v>494</v>
      </c>
      <c r="P1106" s="770" t="s">
        <v>508</v>
      </c>
      <c r="Q1106" s="770" t="s">
        <v>523</v>
      </c>
      <c r="R1106" s="770" t="s">
        <v>497</v>
      </c>
      <c r="S1106" s="770">
        <v>2019.0</v>
      </c>
      <c r="T1106" s="771">
        <v>17.11882646</v>
      </c>
      <c r="U1106" s="771">
        <v>34.42039048</v>
      </c>
      <c r="V1106" s="772">
        <v>6.779960058</v>
      </c>
      <c r="AW1106" s="714"/>
    </row>
    <row r="1107">
      <c r="A1107" s="761"/>
      <c r="B1107" s="769" t="s">
        <v>493</v>
      </c>
      <c r="C1107" s="770" t="s">
        <v>20</v>
      </c>
      <c r="D1107" s="770" t="s">
        <v>494</v>
      </c>
      <c r="E1107" s="770" t="s">
        <v>512</v>
      </c>
      <c r="F1107" s="770" t="s">
        <v>523</v>
      </c>
      <c r="G1107" s="770" t="s">
        <v>103</v>
      </c>
      <c r="H1107" s="770">
        <v>2019.0</v>
      </c>
      <c r="I1107" s="771">
        <v>0.0</v>
      </c>
      <c r="J1107" s="771">
        <v>0.0</v>
      </c>
      <c r="K1107" s="772">
        <v>0.0</v>
      </c>
      <c r="M1107" s="769" t="s">
        <v>493</v>
      </c>
      <c r="N1107" s="770" t="s">
        <v>20</v>
      </c>
      <c r="O1107" s="770" t="s">
        <v>494</v>
      </c>
      <c r="P1107" s="770" t="s">
        <v>512</v>
      </c>
      <c r="Q1107" s="770" t="s">
        <v>523</v>
      </c>
      <c r="R1107" s="770" t="s">
        <v>497</v>
      </c>
      <c r="S1107" s="770">
        <v>2019.0</v>
      </c>
      <c r="T1107" s="771">
        <v>0.0</v>
      </c>
      <c r="U1107" s="771">
        <v>0.0</v>
      </c>
      <c r="V1107" s="772">
        <v>0.0</v>
      </c>
      <c r="AW1107" s="714"/>
    </row>
    <row r="1108">
      <c r="A1108" s="761"/>
      <c r="B1108" s="769" t="s">
        <v>493</v>
      </c>
      <c r="C1108" s="770" t="s">
        <v>21</v>
      </c>
      <c r="D1108" s="770" t="s">
        <v>494</v>
      </c>
      <c r="E1108" s="770" t="s">
        <v>495</v>
      </c>
      <c r="F1108" s="770" t="s">
        <v>496</v>
      </c>
      <c r="G1108" s="770" t="s">
        <v>103</v>
      </c>
      <c r="H1108" s="770">
        <v>2019.0</v>
      </c>
      <c r="I1108" s="771">
        <v>91702.41553</v>
      </c>
      <c r="J1108" s="771">
        <v>112483.9471</v>
      </c>
      <c r="K1108" s="772">
        <v>75029.72159</v>
      </c>
      <c r="M1108" s="769" t="s">
        <v>493</v>
      </c>
      <c r="N1108" s="770" t="s">
        <v>21</v>
      </c>
      <c r="O1108" s="770" t="s">
        <v>494</v>
      </c>
      <c r="P1108" s="770" t="s">
        <v>495</v>
      </c>
      <c r="Q1108" s="770" t="s">
        <v>496</v>
      </c>
      <c r="R1108" s="770" t="s">
        <v>497</v>
      </c>
      <c r="S1108" s="770">
        <v>2019.0</v>
      </c>
      <c r="T1108" s="771">
        <v>1293.450656</v>
      </c>
      <c r="U1108" s="771">
        <v>1586.571459</v>
      </c>
      <c r="V1108" s="772">
        <v>1058.284475</v>
      </c>
      <c r="AW1108" s="714"/>
    </row>
    <row r="1109">
      <c r="A1109" s="761"/>
      <c r="B1109" s="769" t="s">
        <v>493</v>
      </c>
      <c r="C1109" s="770" t="s">
        <v>21</v>
      </c>
      <c r="D1109" s="770" t="s">
        <v>494</v>
      </c>
      <c r="E1109" s="770" t="s">
        <v>505</v>
      </c>
      <c r="F1109" s="770" t="s">
        <v>496</v>
      </c>
      <c r="G1109" s="770" t="s">
        <v>103</v>
      </c>
      <c r="H1109" s="770">
        <v>2019.0</v>
      </c>
      <c r="I1109" s="771">
        <v>33674.56533</v>
      </c>
      <c r="J1109" s="771">
        <v>41583.08128</v>
      </c>
      <c r="K1109" s="772">
        <v>27526.91188</v>
      </c>
      <c r="M1109" s="769" t="s">
        <v>493</v>
      </c>
      <c r="N1109" s="770" t="s">
        <v>21</v>
      </c>
      <c r="O1109" s="770" t="s">
        <v>494</v>
      </c>
      <c r="P1109" s="770" t="s">
        <v>505</v>
      </c>
      <c r="Q1109" s="770" t="s">
        <v>496</v>
      </c>
      <c r="R1109" s="770" t="s">
        <v>497</v>
      </c>
      <c r="S1109" s="770">
        <v>2019.0</v>
      </c>
      <c r="T1109" s="771">
        <v>112371.3648</v>
      </c>
      <c r="U1109" s="771">
        <v>138761.9276</v>
      </c>
      <c r="V1109" s="772">
        <v>91856.76568</v>
      </c>
      <c r="AW1109" s="714"/>
    </row>
    <row r="1110">
      <c r="A1110" s="761"/>
      <c r="B1110" s="769" t="s">
        <v>493</v>
      </c>
      <c r="C1110" s="770" t="s">
        <v>21</v>
      </c>
      <c r="D1110" s="770" t="s">
        <v>494</v>
      </c>
      <c r="E1110" s="770" t="s">
        <v>508</v>
      </c>
      <c r="F1110" s="770" t="s">
        <v>496</v>
      </c>
      <c r="G1110" s="770" t="s">
        <v>103</v>
      </c>
      <c r="H1110" s="770">
        <v>2019.0</v>
      </c>
      <c r="I1110" s="771">
        <v>25133.87915</v>
      </c>
      <c r="J1110" s="771">
        <v>30848.92043</v>
      </c>
      <c r="K1110" s="772">
        <v>20562.83724</v>
      </c>
      <c r="M1110" s="769" t="s">
        <v>493</v>
      </c>
      <c r="N1110" s="770" t="s">
        <v>21</v>
      </c>
      <c r="O1110" s="770" t="s">
        <v>494</v>
      </c>
      <c r="P1110" s="770" t="s">
        <v>508</v>
      </c>
      <c r="Q1110" s="770" t="s">
        <v>496</v>
      </c>
      <c r="R1110" s="770" t="s">
        <v>497</v>
      </c>
      <c r="S1110" s="770">
        <v>2019.0</v>
      </c>
      <c r="T1110" s="771">
        <v>1808.548184</v>
      </c>
      <c r="U1110" s="771">
        <v>2219.783053</v>
      </c>
      <c r="V1110" s="772">
        <v>1479.631604</v>
      </c>
      <c r="AW1110" s="714"/>
    </row>
    <row r="1111">
      <c r="A1111" s="761"/>
      <c r="B1111" s="769" t="s">
        <v>493</v>
      </c>
      <c r="C1111" s="770" t="s">
        <v>21</v>
      </c>
      <c r="D1111" s="770" t="s">
        <v>494</v>
      </c>
      <c r="E1111" s="770" t="s">
        <v>512</v>
      </c>
      <c r="F1111" s="770" t="s">
        <v>496</v>
      </c>
      <c r="G1111" s="770" t="s">
        <v>103</v>
      </c>
      <c r="H1111" s="770">
        <v>2019.0</v>
      </c>
      <c r="I1111" s="771">
        <v>7103.605519</v>
      </c>
      <c r="J1111" s="771">
        <v>8741.321089</v>
      </c>
      <c r="K1111" s="772">
        <v>5820.90557</v>
      </c>
      <c r="M1111" s="769" t="s">
        <v>493</v>
      </c>
      <c r="N1111" s="770" t="s">
        <v>21</v>
      </c>
      <c r="O1111" s="770" t="s">
        <v>494</v>
      </c>
      <c r="P1111" s="770" t="s">
        <v>512</v>
      </c>
      <c r="Q1111" s="770" t="s">
        <v>496</v>
      </c>
      <c r="R1111" s="770" t="s">
        <v>497</v>
      </c>
      <c r="S1111" s="770">
        <v>2019.0</v>
      </c>
      <c r="T1111" s="771">
        <v>8013.042693</v>
      </c>
      <c r="U1111" s="771">
        <v>9860.426357</v>
      </c>
      <c r="V1111" s="772">
        <v>6566.125431</v>
      </c>
      <c r="AW1111" s="714"/>
    </row>
    <row r="1112">
      <c r="A1112" s="761"/>
      <c r="B1112" s="769" t="s">
        <v>493</v>
      </c>
      <c r="C1112" s="770" t="s">
        <v>21</v>
      </c>
      <c r="D1112" s="770" t="s">
        <v>494</v>
      </c>
      <c r="E1112" s="770" t="s">
        <v>495</v>
      </c>
      <c r="F1112" s="770" t="s">
        <v>514</v>
      </c>
      <c r="G1112" s="770" t="s">
        <v>103</v>
      </c>
      <c r="H1112" s="770">
        <v>2019.0</v>
      </c>
      <c r="I1112" s="771">
        <v>79959.29327</v>
      </c>
      <c r="J1112" s="771">
        <v>98709.55051</v>
      </c>
      <c r="K1112" s="772">
        <v>64991.76861</v>
      </c>
      <c r="M1112" s="769" t="s">
        <v>493</v>
      </c>
      <c r="N1112" s="770" t="s">
        <v>21</v>
      </c>
      <c r="O1112" s="770" t="s">
        <v>494</v>
      </c>
      <c r="P1112" s="770" t="s">
        <v>495</v>
      </c>
      <c r="Q1112" s="770" t="s">
        <v>514</v>
      </c>
      <c r="R1112" s="770" t="s">
        <v>497</v>
      </c>
      <c r="S1112" s="770">
        <v>2019.0</v>
      </c>
      <c r="T1112" s="771">
        <v>1127.815443</v>
      </c>
      <c r="U1112" s="771">
        <v>1392.285385</v>
      </c>
      <c r="V1112" s="772">
        <v>916.7004521</v>
      </c>
      <c r="AW1112" s="714"/>
    </row>
    <row r="1113">
      <c r="A1113" s="761"/>
      <c r="B1113" s="769" t="s">
        <v>493</v>
      </c>
      <c r="C1113" s="770" t="s">
        <v>21</v>
      </c>
      <c r="D1113" s="770" t="s">
        <v>494</v>
      </c>
      <c r="E1113" s="770" t="s">
        <v>505</v>
      </c>
      <c r="F1113" s="770" t="s">
        <v>514</v>
      </c>
      <c r="G1113" s="770" t="s">
        <v>103</v>
      </c>
      <c r="H1113" s="770">
        <v>2019.0</v>
      </c>
      <c r="I1113" s="771">
        <v>31086.85527</v>
      </c>
      <c r="J1113" s="771">
        <v>38465.88392</v>
      </c>
      <c r="K1113" s="772">
        <v>25116.35333</v>
      </c>
      <c r="M1113" s="769" t="s">
        <v>493</v>
      </c>
      <c r="N1113" s="770" t="s">
        <v>21</v>
      </c>
      <c r="O1113" s="770" t="s">
        <v>494</v>
      </c>
      <c r="P1113" s="770" t="s">
        <v>505</v>
      </c>
      <c r="Q1113" s="770" t="s">
        <v>514</v>
      </c>
      <c r="R1113" s="770" t="s">
        <v>497</v>
      </c>
      <c r="S1113" s="770">
        <v>2019.0</v>
      </c>
      <c r="T1113" s="771">
        <v>103736.2271</v>
      </c>
      <c r="U1113" s="771">
        <v>128359.9011</v>
      </c>
      <c r="V1113" s="772">
        <v>83812.77904</v>
      </c>
      <c r="AW1113" s="714"/>
    </row>
    <row r="1114">
      <c r="A1114" s="761"/>
      <c r="B1114" s="769" t="s">
        <v>493</v>
      </c>
      <c r="C1114" s="770" t="s">
        <v>21</v>
      </c>
      <c r="D1114" s="770" t="s">
        <v>494</v>
      </c>
      <c r="E1114" s="770" t="s">
        <v>508</v>
      </c>
      <c r="F1114" s="770" t="s">
        <v>514</v>
      </c>
      <c r="G1114" s="770" t="s">
        <v>103</v>
      </c>
      <c r="H1114" s="770">
        <v>2019.0</v>
      </c>
      <c r="I1114" s="771">
        <v>21122.08707</v>
      </c>
      <c r="J1114" s="771">
        <v>26278.40954</v>
      </c>
      <c r="K1114" s="772">
        <v>16943.16145</v>
      </c>
      <c r="M1114" s="769" t="s">
        <v>493</v>
      </c>
      <c r="N1114" s="770" t="s">
        <v>21</v>
      </c>
      <c r="O1114" s="770" t="s">
        <v>494</v>
      </c>
      <c r="P1114" s="770" t="s">
        <v>508</v>
      </c>
      <c r="Q1114" s="770" t="s">
        <v>514</v>
      </c>
      <c r="R1114" s="770" t="s">
        <v>497</v>
      </c>
      <c r="S1114" s="770">
        <v>2019.0</v>
      </c>
      <c r="T1114" s="771">
        <v>1519.873314</v>
      </c>
      <c r="U1114" s="771">
        <v>1890.904685</v>
      </c>
      <c r="V1114" s="772">
        <v>1219.172086</v>
      </c>
      <c r="AW1114" s="714"/>
    </row>
    <row r="1115">
      <c r="A1115" s="761"/>
      <c r="B1115" s="769" t="s">
        <v>493</v>
      </c>
      <c r="C1115" s="770" t="s">
        <v>21</v>
      </c>
      <c r="D1115" s="770" t="s">
        <v>494</v>
      </c>
      <c r="E1115" s="770" t="s">
        <v>512</v>
      </c>
      <c r="F1115" s="770" t="s">
        <v>514</v>
      </c>
      <c r="G1115" s="770" t="s">
        <v>103</v>
      </c>
      <c r="H1115" s="770">
        <v>2019.0</v>
      </c>
      <c r="I1115" s="771">
        <v>6358.738547</v>
      </c>
      <c r="J1115" s="771">
        <v>7833.960967</v>
      </c>
      <c r="K1115" s="772">
        <v>5172.058378</v>
      </c>
      <c r="M1115" s="769" t="s">
        <v>493</v>
      </c>
      <c r="N1115" s="770" t="s">
        <v>21</v>
      </c>
      <c r="O1115" s="770" t="s">
        <v>494</v>
      </c>
      <c r="P1115" s="770" t="s">
        <v>512</v>
      </c>
      <c r="Q1115" s="770" t="s">
        <v>514</v>
      </c>
      <c r="R1115" s="770" t="s">
        <v>497</v>
      </c>
      <c r="S1115" s="770">
        <v>2019.0</v>
      </c>
      <c r="T1115" s="771">
        <v>7172.814329</v>
      </c>
      <c r="U1115" s="771">
        <v>8836.9017</v>
      </c>
      <c r="V1115" s="772">
        <v>5834.209752</v>
      </c>
      <c r="AW1115" s="714"/>
    </row>
    <row r="1116">
      <c r="A1116" s="761"/>
      <c r="B1116" s="769" t="s">
        <v>493</v>
      </c>
      <c r="C1116" s="770" t="s">
        <v>21</v>
      </c>
      <c r="D1116" s="770" t="s">
        <v>494</v>
      </c>
      <c r="E1116" s="770" t="s">
        <v>495</v>
      </c>
      <c r="F1116" s="770" t="s">
        <v>518</v>
      </c>
      <c r="G1116" s="770" t="s">
        <v>103</v>
      </c>
      <c r="H1116" s="770">
        <v>2019.0</v>
      </c>
      <c r="I1116" s="771">
        <v>4492.678036</v>
      </c>
      <c r="J1116" s="771">
        <v>7650.396612</v>
      </c>
      <c r="K1116" s="772">
        <v>2365.411666</v>
      </c>
      <c r="M1116" s="769" t="s">
        <v>493</v>
      </c>
      <c r="N1116" s="770" t="s">
        <v>21</v>
      </c>
      <c r="O1116" s="770" t="s">
        <v>494</v>
      </c>
      <c r="P1116" s="770" t="s">
        <v>495</v>
      </c>
      <c r="Q1116" s="770" t="s">
        <v>518</v>
      </c>
      <c r="R1116" s="770" t="s">
        <v>497</v>
      </c>
      <c r="S1116" s="770">
        <v>2019.0</v>
      </c>
      <c r="T1116" s="771">
        <v>63.36863997</v>
      </c>
      <c r="U1116" s="771">
        <v>107.9078502</v>
      </c>
      <c r="V1116" s="772">
        <v>33.36382422</v>
      </c>
      <c r="AW1116" s="714"/>
    </row>
    <row r="1117">
      <c r="A1117" s="761"/>
      <c r="B1117" s="769" t="s">
        <v>493</v>
      </c>
      <c r="C1117" s="770" t="s">
        <v>21</v>
      </c>
      <c r="D1117" s="770" t="s">
        <v>494</v>
      </c>
      <c r="E1117" s="770" t="s">
        <v>505</v>
      </c>
      <c r="F1117" s="770" t="s">
        <v>518</v>
      </c>
      <c r="G1117" s="770" t="s">
        <v>103</v>
      </c>
      <c r="H1117" s="770">
        <v>2019.0</v>
      </c>
      <c r="I1117" s="771">
        <v>149.9941463</v>
      </c>
      <c r="J1117" s="771">
        <v>324.1622862</v>
      </c>
      <c r="K1117" s="772">
        <v>59.01805376</v>
      </c>
      <c r="M1117" s="769" t="s">
        <v>493</v>
      </c>
      <c r="N1117" s="770" t="s">
        <v>21</v>
      </c>
      <c r="O1117" s="770" t="s">
        <v>494</v>
      </c>
      <c r="P1117" s="770" t="s">
        <v>505</v>
      </c>
      <c r="Q1117" s="770" t="s">
        <v>518</v>
      </c>
      <c r="R1117" s="770" t="s">
        <v>497</v>
      </c>
      <c r="S1117" s="770">
        <v>2019.0</v>
      </c>
      <c r="T1117" s="771">
        <v>500.5275278</v>
      </c>
      <c r="U1117" s="771">
        <v>1081.723199</v>
      </c>
      <c r="V1117" s="772">
        <v>196.9420892</v>
      </c>
      <c r="AW1117" s="714"/>
    </row>
    <row r="1118">
      <c r="A1118" s="761"/>
      <c r="B1118" s="769" t="s">
        <v>493</v>
      </c>
      <c r="C1118" s="770" t="s">
        <v>21</v>
      </c>
      <c r="D1118" s="770" t="s">
        <v>494</v>
      </c>
      <c r="E1118" s="770" t="s">
        <v>508</v>
      </c>
      <c r="F1118" s="770" t="s">
        <v>518</v>
      </c>
      <c r="G1118" s="770" t="s">
        <v>103</v>
      </c>
      <c r="H1118" s="770">
        <v>2019.0</v>
      </c>
      <c r="I1118" s="771">
        <v>2144.982486</v>
      </c>
      <c r="J1118" s="771">
        <v>4022.889827</v>
      </c>
      <c r="K1118" s="772">
        <v>875.8099005</v>
      </c>
      <c r="M1118" s="769" t="s">
        <v>493</v>
      </c>
      <c r="N1118" s="770" t="s">
        <v>21</v>
      </c>
      <c r="O1118" s="770" t="s">
        <v>494</v>
      </c>
      <c r="P1118" s="770" t="s">
        <v>508</v>
      </c>
      <c r="Q1118" s="770" t="s">
        <v>518</v>
      </c>
      <c r="R1118" s="770" t="s">
        <v>497</v>
      </c>
      <c r="S1118" s="770">
        <v>2019.0</v>
      </c>
      <c r="T1118" s="771">
        <v>154.3456207</v>
      </c>
      <c r="U1118" s="771">
        <v>289.4734253</v>
      </c>
      <c r="V1118" s="772">
        <v>63.02029206</v>
      </c>
      <c r="AW1118" s="714"/>
    </row>
    <row r="1119">
      <c r="A1119" s="761"/>
      <c r="B1119" s="769" t="s">
        <v>493</v>
      </c>
      <c r="C1119" s="770" t="s">
        <v>21</v>
      </c>
      <c r="D1119" s="770" t="s">
        <v>494</v>
      </c>
      <c r="E1119" s="770" t="s">
        <v>512</v>
      </c>
      <c r="F1119" s="770" t="s">
        <v>518</v>
      </c>
      <c r="G1119" s="770" t="s">
        <v>103</v>
      </c>
      <c r="H1119" s="770">
        <v>2019.0</v>
      </c>
      <c r="I1119" s="771">
        <v>257.4193881</v>
      </c>
      <c r="J1119" s="771">
        <v>603.6458798</v>
      </c>
      <c r="K1119" s="772">
        <v>84.90559667</v>
      </c>
      <c r="M1119" s="769" t="s">
        <v>493</v>
      </c>
      <c r="N1119" s="770" t="s">
        <v>21</v>
      </c>
      <c r="O1119" s="770" t="s">
        <v>494</v>
      </c>
      <c r="P1119" s="770" t="s">
        <v>512</v>
      </c>
      <c r="Q1119" s="770" t="s">
        <v>518</v>
      </c>
      <c r="R1119" s="770" t="s">
        <v>497</v>
      </c>
      <c r="S1119" s="770">
        <v>2019.0</v>
      </c>
      <c r="T1119" s="771">
        <v>290.3754356</v>
      </c>
      <c r="U1119" s="771">
        <v>680.9274802</v>
      </c>
      <c r="V1119" s="772">
        <v>95.77561271</v>
      </c>
      <c r="AW1119" s="714"/>
    </row>
    <row r="1120">
      <c r="A1120" s="761"/>
      <c r="B1120" s="786" t="s">
        <v>493</v>
      </c>
      <c r="C1120" s="787" t="s">
        <v>21</v>
      </c>
      <c r="D1120" s="787" t="s">
        <v>494</v>
      </c>
      <c r="E1120" s="787" t="s">
        <v>495</v>
      </c>
      <c r="F1120" s="787" t="s">
        <v>519</v>
      </c>
      <c r="G1120" s="787" t="s">
        <v>103</v>
      </c>
      <c r="H1120" s="788">
        <v>2019.0</v>
      </c>
      <c r="I1120" s="789">
        <v>30954.60232</v>
      </c>
      <c r="J1120" s="789">
        <v>38900.45901</v>
      </c>
      <c r="K1120" s="790">
        <v>24557.61168</v>
      </c>
      <c r="M1120" s="786" t="s">
        <v>493</v>
      </c>
      <c r="N1120" s="787" t="s">
        <v>21</v>
      </c>
      <c r="O1120" s="787" t="s">
        <v>494</v>
      </c>
      <c r="P1120" s="787" t="s">
        <v>495</v>
      </c>
      <c r="Q1120" s="787" t="s">
        <v>519</v>
      </c>
      <c r="R1120" s="787" t="s">
        <v>497</v>
      </c>
      <c r="S1120" s="788">
        <v>2019.0</v>
      </c>
      <c r="T1120" s="789">
        <v>436.6106439</v>
      </c>
      <c r="U1120" s="789">
        <v>548.6859201</v>
      </c>
      <c r="V1120" s="790">
        <v>346.3819221</v>
      </c>
      <c r="AW1120" s="714"/>
    </row>
    <row r="1121">
      <c r="A1121" s="761"/>
      <c r="B1121" s="776" t="s">
        <v>493</v>
      </c>
      <c r="C1121" s="777" t="s">
        <v>21</v>
      </c>
      <c r="D1121" s="777" t="s">
        <v>494</v>
      </c>
      <c r="E1121" s="777" t="s">
        <v>505</v>
      </c>
      <c r="F1121" s="777" t="s">
        <v>519</v>
      </c>
      <c r="G1121" s="777" t="s">
        <v>103</v>
      </c>
      <c r="H1121" s="778">
        <v>2019.0</v>
      </c>
      <c r="I1121" s="780">
        <v>26328.24175</v>
      </c>
      <c r="J1121" s="780">
        <v>33108.01237</v>
      </c>
      <c r="K1121" s="782">
        <v>20818.63517</v>
      </c>
      <c r="M1121" s="776" t="s">
        <v>493</v>
      </c>
      <c r="N1121" s="777" t="s">
        <v>21</v>
      </c>
      <c r="O1121" s="777" t="s">
        <v>494</v>
      </c>
      <c r="P1121" s="777" t="s">
        <v>505</v>
      </c>
      <c r="Q1121" s="777" t="s">
        <v>519</v>
      </c>
      <c r="R1121" s="777" t="s">
        <v>497</v>
      </c>
      <c r="S1121" s="778">
        <v>2019.0</v>
      </c>
      <c r="T1121" s="780">
        <v>87856.82694</v>
      </c>
      <c r="U1121" s="780">
        <v>110480.7887</v>
      </c>
      <c r="V1121" s="782">
        <v>69471.37772</v>
      </c>
      <c r="AW1121" s="714"/>
    </row>
    <row r="1122">
      <c r="A1122" s="761"/>
      <c r="B1122" s="776" t="s">
        <v>493</v>
      </c>
      <c r="C1122" s="777" t="s">
        <v>21</v>
      </c>
      <c r="D1122" s="777" t="s">
        <v>494</v>
      </c>
      <c r="E1122" s="777" t="s">
        <v>508</v>
      </c>
      <c r="F1122" s="777" t="s">
        <v>519</v>
      </c>
      <c r="G1122" s="777" t="s">
        <v>103</v>
      </c>
      <c r="H1122" s="778">
        <v>2019.0</v>
      </c>
      <c r="I1122" s="780">
        <v>1067.196919</v>
      </c>
      <c r="J1122" s="780">
        <v>1756.561894</v>
      </c>
      <c r="K1122" s="782">
        <v>552.0262865</v>
      </c>
      <c r="M1122" s="776" t="s">
        <v>493</v>
      </c>
      <c r="N1122" s="777" t="s">
        <v>21</v>
      </c>
      <c r="O1122" s="777" t="s">
        <v>494</v>
      </c>
      <c r="P1122" s="777" t="s">
        <v>508</v>
      </c>
      <c r="Q1122" s="777" t="s">
        <v>519</v>
      </c>
      <c r="R1122" s="777" t="s">
        <v>497</v>
      </c>
      <c r="S1122" s="778">
        <v>2019.0</v>
      </c>
      <c r="T1122" s="780">
        <v>76.79184889</v>
      </c>
      <c r="U1122" s="780">
        <v>126.3962003</v>
      </c>
      <c r="V1122" s="782">
        <v>39.72192799</v>
      </c>
      <c r="AW1122" s="714"/>
    </row>
    <row r="1123">
      <c r="A1123" s="761"/>
      <c r="B1123" s="786" t="s">
        <v>493</v>
      </c>
      <c r="C1123" s="787" t="s">
        <v>21</v>
      </c>
      <c r="D1123" s="787" t="s">
        <v>494</v>
      </c>
      <c r="E1123" s="787" t="s">
        <v>512</v>
      </c>
      <c r="F1123" s="787" t="s">
        <v>519</v>
      </c>
      <c r="G1123" s="787" t="s">
        <v>103</v>
      </c>
      <c r="H1123" s="788">
        <v>2019.0</v>
      </c>
      <c r="I1123" s="789">
        <v>3460.287761</v>
      </c>
      <c r="J1123" s="789">
        <v>4659.231497</v>
      </c>
      <c r="K1123" s="790">
        <v>2432.620753</v>
      </c>
      <c r="M1123" s="786" t="s">
        <v>493</v>
      </c>
      <c r="N1123" s="787" t="s">
        <v>21</v>
      </c>
      <c r="O1123" s="787" t="s">
        <v>494</v>
      </c>
      <c r="P1123" s="787" t="s">
        <v>512</v>
      </c>
      <c r="Q1123" s="787" t="s">
        <v>519</v>
      </c>
      <c r="R1123" s="787" t="s">
        <v>497</v>
      </c>
      <c r="S1123" s="788">
        <v>2019.0</v>
      </c>
      <c r="T1123" s="789">
        <v>3903.290165</v>
      </c>
      <c r="U1123" s="789">
        <v>5255.728348</v>
      </c>
      <c r="V1123" s="790">
        <v>2744.056367</v>
      </c>
      <c r="AW1123" s="714"/>
    </row>
    <row r="1124">
      <c r="A1124" s="761"/>
      <c r="B1124" s="769" t="s">
        <v>493</v>
      </c>
      <c r="C1124" s="770" t="s">
        <v>21</v>
      </c>
      <c r="D1124" s="770" t="s">
        <v>494</v>
      </c>
      <c r="E1124" s="770" t="s">
        <v>495</v>
      </c>
      <c r="F1124" s="770" t="s">
        <v>521</v>
      </c>
      <c r="G1124" s="770" t="s">
        <v>103</v>
      </c>
      <c r="H1124" s="770">
        <v>2019.0</v>
      </c>
      <c r="I1124" s="771">
        <v>3759.250822</v>
      </c>
      <c r="J1124" s="771">
        <v>8404.440889</v>
      </c>
      <c r="K1124" s="772">
        <v>1207.20042</v>
      </c>
      <c r="M1124" s="769" t="s">
        <v>493</v>
      </c>
      <c r="N1124" s="770" t="s">
        <v>21</v>
      </c>
      <c r="O1124" s="770" t="s">
        <v>494</v>
      </c>
      <c r="P1124" s="770" t="s">
        <v>495</v>
      </c>
      <c r="Q1124" s="770" t="s">
        <v>521</v>
      </c>
      <c r="R1124" s="770" t="s">
        <v>497</v>
      </c>
      <c r="S1124" s="770">
        <v>2019.0</v>
      </c>
      <c r="T1124" s="771">
        <v>53.02374442</v>
      </c>
      <c r="U1124" s="771">
        <v>118.5435468</v>
      </c>
      <c r="V1124" s="772">
        <v>17.02740508</v>
      </c>
      <c r="AW1124" s="714"/>
    </row>
    <row r="1125">
      <c r="A1125" s="761"/>
      <c r="B1125" s="769" t="s">
        <v>493</v>
      </c>
      <c r="C1125" s="770" t="s">
        <v>21</v>
      </c>
      <c r="D1125" s="770" t="s">
        <v>494</v>
      </c>
      <c r="E1125" s="770" t="s">
        <v>505</v>
      </c>
      <c r="F1125" s="770" t="s">
        <v>521</v>
      </c>
      <c r="G1125" s="770" t="s">
        <v>103</v>
      </c>
      <c r="H1125" s="770">
        <v>2019.0</v>
      </c>
      <c r="I1125" s="771">
        <v>0.0</v>
      </c>
      <c r="J1125" s="771">
        <v>0.0</v>
      </c>
      <c r="K1125" s="772">
        <v>0.0</v>
      </c>
      <c r="M1125" s="769" t="s">
        <v>493</v>
      </c>
      <c r="N1125" s="770" t="s">
        <v>21</v>
      </c>
      <c r="O1125" s="770" t="s">
        <v>494</v>
      </c>
      <c r="P1125" s="770" t="s">
        <v>505</v>
      </c>
      <c r="Q1125" s="770" t="s">
        <v>521</v>
      </c>
      <c r="R1125" s="770" t="s">
        <v>497</v>
      </c>
      <c r="S1125" s="770">
        <v>2019.0</v>
      </c>
      <c r="T1125" s="771">
        <v>0.0</v>
      </c>
      <c r="U1125" s="771">
        <v>0.0</v>
      </c>
      <c r="V1125" s="772">
        <v>0.0</v>
      </c>
      <c r="AW1125" s="714"/>
    </row>
    <row r="1126">
      <c r="A1126" s="761"/>
      <c r="B1126" s="769" t="s">
        <v>493</v>
      </c>
      <c r="C1126" s="770" t="s">
        <v>21</v>
      </c>
      <c r="D1126" s="770" t="s">
        <v>494</v>
      </c>
      <c r="E1126" s="770" t="s">
        <v>508</v>
      </c>
      <c r="F1126" s="770" t="s">
        <v>521</v>
      </c>
      <c r="G1126" s="770" t="s">
        <v>103</v>
      </c>
      <c r="H1126" s="770">
        <v>2019.0</v>
      </c>
      <c r="I1126" s="771">
        <v>1053.356701</v>
      </c>
      <c r="J1126" s="771">
        <v>2471.776043</v>
      </c>
      <c r="K1126" s="772">
        <v>326.5220383</v>
      </c>
      <c r="M1126" s="769" t="s">
        <v>493</v>
      </c>
      <c r="N1126" s="770" t="s">
        <v>21</v>
      </c>
      <c r="O1126" s="770" t="s">
        <v>494</v>
      </c>
      <c r="P1126" s="770" t="s">
        <v>508</v>
      </c>
      <c r="Q1126" s="770" t="s">
        <v>521</v>
      </c>
      <c r="R1126" s="770" t="s">
        <v>497</v>
      </c>
      <c r="S1126" s="770">
        <v>2019.0</v>
      </c>
      <c r="T1126" s="771">
        <v>75.79595399</v>
      </c>
      <c r="U1126" s="771">
        <v>177.86057</v>
      </c>
      <c r="V1126" s="772">
        <v>23.49541174</v>
      </c>
      <c r="AW1126" s="714"/>
    </row>
    <row r="1127">
      <c r="A1127" s="761"/>
      <c r="B1127" s="769" t="s">
        <v>493</v>
      </c>
      <c r="C1127" s="770" t="s">
        <v>21</v>
      </c>
      <c r="D1127" s="770" t="s">
        <v>494</v>
      </c>
      <c r="E1127" s="770" t="s">
        <v>512</v>
      </c>
      <c r="F1127" s="770" t="s">
        <v>521</v>
      </c>
      <c r="G1127" s="770" t="s">
        <v>103</v>
      </c>
      <c r="H1127" s="770">
        <v>2019.0</v>
      </c>
      <c r="I1127" s="771">
        <v>0.0</v>
      </c>
      <c r="J1127" s="771">
        <v>0.0</v>
      </c>
      <c r="K1127" s="772">
        <v>0.0</v>
      </c>
      <c r="M1127" s="769" t="s">
        <v>493</v>
      </c>
      <c r="N1127" s="770" t="s">
        <v>21</v>
      </c>
      <c r="O1127" s="770" t="s">
        <v>494</v>
      </c>
      <c r="P1127" s="770" t="s">
        <v>512</v>
      </c>
      <c r="Q1127" s="770" t="s">
        <v>521</v>
      </c>
      <c r="R1127" s="770" t="s">
        <v>497</v>
      </c>
      <c r="S1127" s="770">
        <v>2019.0</v>
      </c>
      <c r="T1127" s="771">
        <v>0.0</v>
      </c>
      <c r="U1127" s="771">
        <v>0.0</v>
      </c>
      <c r="V1127" s="772">
        <v>0.0</v>
      </c>
      <c r="AW1127" s="714"/>
    </row>
    <row r="1128">
      <c r="A1128" s="761"/>
      <c r="B1128" s="786" t="s">
        <v>493</v>
      </c>
      <c r="C1128" s="787" t="s">
        <v>21</v>
      </c>
      <c r="D1128" s="787" t="s">
        <v>494</v>
      </c>
      <c r="E1128" s="787" t="s">
        <v>495</v>
      </c>
      <c r="F1128" s="787" t="s">
        <v>523</v>
      </c>
      <c r="G1128" s="787" t="s">
        <v>103</v>
      </c>
      <c r="H1128" s="788">
        <v>2019.0</v>
      </c>
      <c r="I1128" s="789">
        <v>2544.791322</v>
      </c>
      <c r="J1128" s="789">
        <v>4127.064995</v>
      </c>
      <c r="K1128" s="790">
        <v>1306.919997</v>
      </c>
      <c r="M1128" s="786" t="s">
        <v>493</v>
      </c>
      <c r="N1128" s="787" t="s">
        <v>21</v>
      </c>
      <c r="O1128" s="787" t="s">
        <v>494</v>
      </c>
      <c r="P1128" s="787" t="s">
        <v>495</v>
      </c>
      <c r="Q1128" s="787" t="s">
        <v>523</v>
      </c>
      <c r="R1128" s="787" t="s">
        <v>497</v>
      </c>
      <c r="S1128" s="788">
        <v>2019.0</v>
      </c>
      <c r="T1128" s="789">
        <v>35.89395095</v>
      </c>
      <c r="U1128" s="789">
        <v>58.21171554</v>
      </c>
      <c r="V1128" s="790">
        <v>18.43393676</v>
      </c>
      <c r="AW1128" s="714"/>
    </row>
    <row r="1129">
      <c r="A1129" s="761"/>
      <c r="B1129" s="776" t="s">
        <v>493</v>
      </c>
      <c r="C1129" s="777" t="s">
        <v>21</v>
      </c>
      <c r="D1129" s="777" t="s">
        <v>494</v>
      </c>
      <c r="E1129" s="777" t="s">
        <v>505</v>
      </c>
      <c r="F1129" s="777" t="s">
        <v>523</v>
      </c>
      <c r="G1129" s="777" t="s">
        <v>103</v>
      </c>
      <c r="H1129" s="778">
        <v>2019.0</v>
      </c>
      <c r="I1129" s="780">
        <v>0.0</v>
      </c>
      <c r="J1129" s="780">
        <v>0.0</v>
      </c>
      <c r="K1129" s="782">
        <v>0.0</v>
      </c>
      <c r="M1129" s="776" t="s">
        <v>493</v>
      </c>
      <c r="N1129" s="777" t="s">
        <v>21</v>
      </c>
      <c r="O1129" s="777" t="s">
        <v>494</v>
      </c>
      <c r="P1129" s="777" t="s">
        <v>505</v>
      </c>
      <c r="Q1129" s="777" t="s">
        <v>523</v>
      </c>
      <c r="R1129" s="777" t="s">
        <v>497</v>
      </c>
      <c r="S1129" s="778">
        <v>2019.0</v>
      </c>
      <c r="T1129" s="780">
        <v>0.0</v>
      </c>
      <c r="U1129" s="780">
        <v>0.0</v>
      </c>
      <c r="V1129" s="782">
        <v>0.0</v>
      </c>
      <c r="AW1129" s="714"/>
    </row>
    <row r="1130">
      <c r="A1130" s="761"/>
      <c r="B1130" s="776" t="s">
        <v>493</v>
      </c>
      <c r="C1130" s="777" t="s">
        <v>21</v>
      </c>
      <c r="D1130" s="777" t="s">
        <v>494</v>
      </c>
      <c r="E1130" s="777" t="s">
        <v>508</v>
      </c>
      <c r="F1130" s="777" t="s">
        <v>523</v>
      </c>
      <c r="G1130" s="777" t="s">
        <v>103</v>
      </c>
      <c r="H1130" s="778">
        <v>2019.0</v>
      </c>
      <c r="I1130" s="780">
        <v>1087.170306</v>
      </c>
      <c r="J1130" s="780">
        <v>1893.837082</v>
      </c>
      <c r="K1130" s="782">
        <v>524.2747617</v>
      </c>
      <c r="M1130" s="776" t="s">
        <v>493</v>
      </c>
      <c r="N1130" s="777" t="s">
        <v>21</v>
      </c>
      <c r="O1130" s="777" t="s">
        <v>494</v>
      </c>
      <c r="P1130" s="777" t="s">
        <v>508</v>
      </c>
      <c r="Q1130" s="777" t="s">
        <v>523</v>
      </c>
      <c r="R1130" s="777" t="s">
        <v>497</v>
      </c>
      <c r="S1130" s="778">
        <v>2019.0</v>
      </c>
      <c r="T1130" s="780">
        <v>78.22906566</v>
      </c>
      <c r="U1130" s="780">
        <v>136.2740544</v>
      </c>
      <c r="V1130" s="782">
        <v>37.72502296</v>
      </c>
      <c r="AW1130" s="714"/>
    </row>
    <row r="1131">
      <c r="A1131" s="761"/>
      <c r="B1131" s="786" t="s">
        <v>493</v>
      </c>
      <c r="C1131" s="787" t="s">
        <v>21</v>
      </c>
      <c r="D1131" s="787" t="s">
        <v>494</v>
      </c>
      <c r="E1131" s="787" t="s">
        <v>512</v>
      </c>
      <c r="F1131" s="787" t="s">
        <v>523</v>
      </c>
      <c r="G1131" s="787" t="s">
        <v>103</v>
      </c>
      <c r="H1131" s="788">
        <v>2019.0</v>
      </c>
      <c r="I1131" s="789">
        <v>0.0</v>
      </c>
      <c r="J1131" s="789">
        <v>0.0</v>
      </c>
      <c r="K1131" s="790">
        <v>0.0</v>
      </c>
      <c r="M1131" s="786" t="s">
        <v>493</v>
      </c>
      <c r="N1131" s="787" t="s">
        <v>21</v>
      </c>
      <c r="O1131" s="787" t="s">
        <v>494</v>
      </c>
      <c r="P1131" s="787" t="s">
        <v>512</v>
      </c>
      <c r="Q1131" s="787" t="s">
        <v>523</v>
      </c>
      <c r="R1131" s="787" t="s">
        <v>497</v>
      </c>
      <c r="S1131" s="788">
        <v>2019.0</v>
      </c>
      <c r="T1131" s="789">
        <v>0.0</v>
      </c>
      <c r="U1131" s="789">
        <v>0.0</v>
      </c>
      <c r="V1131" s="790">
        <v>0.0</v>
      </c>
      <c r="AW1131" s="714"/>
    </row>
    <row r="1132">
      <c r="A1132" s="761"/>
      <c r="B1132" s="769" t="s">
        <v>493</v>
      </c>
      <c r="C1132" s="770" t="s">
        <v>649</v>
      </c>
      <c r="D1132" s="770" t="s">
        <v>494</v>
      </c>
      <c r="E1132" s="770" t="s">
        <v>495</v>
      </c>
      <c r="F1132" s="770" t="s">
        <v>496</v>
      </c>
      <c r="G1132" s="770" t="s">
        <v>103</v>
      </c>
      <c r="H1132" s="770">
        <v>2019.0</v>
      </c>
      <c r="I1132" s="771">
        <v>117916.6959</v>
      </c>
      <c r="J1132" s="771">
        <v>149909.2243</v>
      </c>
      <c r="K1132" s="772">
        <v>93246.68978</v>
      </c>
      <c r="M1132" s="769" t="s">
        <v>493</v>
      </c>
      <c r="N1132" s="770" t="s">
        <v>649</v>
      </c>
      <c r="O1132" s="770" t="s">
        <v>494</v>
      </c>
      <c r="P1132" s="770" t="s">
        <v>495</v>
      </c>
      <c r="Q1132" s="770" t="s">
        <v>496</v>
      </c>
      <c r="R1132" s="770" t="s">
        <v>497</v>
      </c>
      <c r="S1132" s="770">
        <v>2019.0</v>
      </c>
      <c r="T1132" s="771">
        <v>1266.930127</v>
      </c>
      <c r="U1132" s="771">
        <v>1610.666845</v>
      </c>
      <c r="V1132" s="772">
        <v>1001.868647</v>
      </c>
      <c r="AW1132" s="714"/>
    </row>
    <row r="1133">
      <c r="A1133" s="761"/>
      <c r="B1133" s="769" t="s">
        <v>493</v>
      </c>
      <c r="C1133" s="770" t="s">
        <v>649</v>
      </c>
      <c r="D1133" s="770" t="s">
        <v>494</v>
      </c>
      <c r="E1133" s="770" t="s">
        <v>505</v>
      </c>
      <c r="F1133" s="770" t="s">
        <v>496</v>
      </c>
      <c r="G1133" s="770" t="s">
        <v>103</v>
      </c>
      <c r="H1133" s="770">
        <v>2019.0</v>
      </c>
      <c r="I1133" s="771">
        <v>41455.00632</v>
      </c>
      <c r="J1133" s="771">
        <v>52971.30203</v>
      </c>
      <c r="K1133" s="772">
        <v>32579.64883</v>
      </c>
      <c r="M1133" s="769" t="s">
        <v>493</v>
      </c>
      <c r="N1133" s="770" t="s">
        <v>649</v>
      </c>
      <c r="O1133" s="770" t="s">
        <v>494</v>
      </c>
      <c r="P1133" s="770" t="s">
        <v>505</v>
      </c>
      <c r="Q1133" s="770" t="s">
        <v>496</v>
      </c>
      <c r="R1133" s="770" t="s">
        <v>497</v>
      </c>
      <c r="S1133" s="770">
        <v>2019.0</v>
      </c>
      <c r="T1133" s="771">
        <v>105787.7946</v>
      </c>
      <c r="U1133" s="771">
        <v>135175.8863</v>
      </c>
      <c r="V1133" s="772">
        <v>83139.03445</v>
      </c>
      <c r="AW1133" s="714"/>
    </row>
    <row r="1134">
      <c r="A1134" s="761"/>
      <c r="B1134" s="769" t="s">
        <v>493</v>
      </c>
      <c r="C1134" s="770" t="s">
        <v>649</v>
      </c>
      <c r="D1134" s="770" t="s">
        <v>494</v>
      </c>
      <c r="E1134" s="770" t="s">
        <v>508</v>
      </c>
      <c r="F1134" s="770" t="s">
        <v>496</v>
      </c>
      <c r="G1134" s="770" t="s">
        <v>103</v>
      </c>
      <c r="H1134" s="770">
        <v>2019.0</v>
      </c>
      <c r="I1134" s="771">
        <v>34345.12278</v>
      </c>
      <c r="J1134" s="771">
        <v>43654.7</v>
      </c>
      <c r="K1134" s="772">
        <v>27150.28491</v>
      </c>
      <c r="M1134" s="769" t="s">
        <v>493</v>
      </c>
      <c r="N1134" s="770" t="s">
        <v>649</v>
      </c>
      <c r="O1134" s="770" t="s">
        <v>494</v>
      </c>
      <c r="P1134" s="770" t="s">
        <v>508</v>
      </c>
      <c r="Q1134" s="770" t="s">
        <v>496</v>
      </c>
      <c r="R1134" s="770" t="s">
        <v>497</v>
      </c>
      <c r="S1134" s="770">
        <v>2019.0</v>
      </c>
      <c r="T1134" s="771">
        <v>1884.256791</v>
      </c>
      <c r="U1134" s="771">
        <v>2395.002791</v>
      </c>
      <c r="V1134" s="772">
        <v>1489.530523</v>
      </c>
      <c r="AW1134" s="714"/>
    </row>
    <row r="1135">
      <c r="A1135" s="761"/>
      <c r="B1135" s="769" t="s">
        <v>493</v>
      </c>
      <c r="C1135" s="770" t="s">
        <v>649</v>
      </c>
      <c r="D1135" s="770" t="s">
        <v>494</v>
      </c>
      <c r="E1135" s="770" t="s">
        <v>512</v>
      </c>
      <c r="F1135" s="770" t="s">
        <v>496</v>
      </c>
      <c r="G1135" s="770" t="s">
        <v>103</v>
      </c>
      <c r="H1135" s="770">
        <v>2019.0</v>
      </c>
      <c r="I1135" s="771">
        <v>8530.751803</v>
      </c>
      <c r="J1135" s="771">
        <v>10857.09016</v>
      </c>
      <c r="K1135" s="772">
        <v>6728.417787</v>
      </c>
      <c r="M1135" s="769" t="s">
        <v>493</v>
      </c>
      <c r="N1135" s="770" t="s">
        <v>649</v>
      </c>
      <c r="O1135" s="770" t="s">
        <v>494</v>
      </c>
      <c r="P1135" s="770" t="s">
        <v>512</v>
      </c>
      <c r="Q1135" s="770" t="s">
        <v>496</v>
      </c>
      <c r="R1135" s="770" t="s">
        <v>497</v>
      </c>
      <c r="S1135" s="770">
        <v>2019.0</v>
      </c>
      <c r="T1135" s="771">
        <v>7351.408937</v>
      </c>
      <c r="U1135" s="771">
        <v>9356.140169</v>
      </c>
      <c r="V1135" s="772">
        <v>5798.240505</v>
      </c>
      <c r="AW1135" s="714"/>
    </row>
    <row r="1136">
      <c r="A1136" s="761"/>
      <c r="B1136" s="769" t="s">
        <v>493</v>
      </c>
      <c r="C1136" s="770" t="s">
        <v>649</v>
      </c>
      <c r="D1136" s="770" t="s">
        <v>494</v>
      </c>
      <c r="E1136" s="770" t="s">
        <v>495</v>
      </c>
      <c r="F1136" s="770" t="s">
        <v>514</v>
      </c>
      <c r="G1136" s="770" t="s">
        <v>103</v>
      </c>
      <c r="H1136" s="770">
        <v>2019.0</v>
      </c>
      <c r="I1136" s="771">
        <v>94247.68967</v>
      </c>
      <c r="J1136" s="771">
        <v>121259.9229</v>
      </c>
      <c r="K1136" s="772">
        <v>73483.65018</v>
      </c>
      <c r="M1136" s="769" t="s">
        <v>493</v>
      </c>
      <c r="N1136" s="770" t="s">
        <v>649</v>
      </c>
      <c r="O1136" s="770" t="s">
        <v>494</v>
      </c>
      <c r="P1136" s="770" t="s">
        <v>495</v>
      </c>
      <c r="Q1136" s="770" t="s">
        <v>514</v>
      </c>
      <c r="R1136" s="770" t="s">
        <v>497</v>
      </c>
      <c r="S1136" s="770">
        <v>2019.0</v>
      </c>
      <c r="T1136" s="771">
        <v>1012.623671</v>
      </c>
      <c r="U1136" s="771">
        <v>1302.850698</v>
      </c>
      <c r="V1136" s="772">
        <v>789.528994</v>
      </c>
      <c r="AW1136" s="714"/>
    </row>
    <row r="1137">
      <c r="A1137" s="761"/>
      <c r="B1137" s="769" t="s">
        <v>493</v>
      </c>
      <c r="C1137" s="770" t="s">
        <v>649</v>
      </c>
      <c r="D1137" s="770" t="s">
        <v>494</v>
      </c>
      <c r="E1137" s="770" t="s">
        <v>505</v>
      </c>
      <c r="F1137" s="770" t="s">
        <v>514</v>
      </c>
      <c r="G1137" s="770" t="s">
        <v>103</v>
      </c>
      <c r="H1137" s="770">
        <v>2019.0</v>
      </c>
      <c r="I1137" s="771">
        <v>37535.47186</v>
      </c>
      <c r="J1137" s="771">
        <v>48228.62728</v>
      </c>
      <c r="K1137" s="772">
        <v>29216.64279</v>
      </c>
      <c r="M1137" s="769" t="s">
        <v>493</v>
      </c>
      <c r="N1137" s="770" t="s">
        <v>649</v>
      </c>
      <c r="O1137" s="770" t="s">
        <v>494</v>
      </c>
      <c r="P1137" s="770" t="s">
        <v>505</v>
      </c>
      <c r="Q1137" s="770" t="s">
        <v>514</v>
      </c>
      <c r="R1137" s="770" t="s">
        <v>497</v>
      </c>
      <c r="S1137" s="770">
        <v>2019.0</v>
      </c>
      <c r="T1137" s="771">
        <v>95785.6515</v>
      </c>
      <c r="U1137" s="771">
        <v>123073.196</v>
      </c>
      <c r="V1137" s="772">
        <v>74557.07963</v>
      </c>
      <c r="AW1137" s="714"/>
    </row>
    <row r="1138">
      <c r="A1138" s="761"/>
      <c r="B1138" s="769" t="s">
        <v>493</v>
      </c>
      <c r="C1138" s="770" t="s">
        <v>649</v>
      </c>
      <c r="D1138" s="770" t="s">
        <v>494</v>
      </c>
      <c r="E1138" s="770" t="s">
        <v>508</v>
      </c>
      <c r="F1138" s="770" t="s">
        <v>514</v>
      </c>
      <c r="G1138" s="770" t="s">
        <v>103</v>
      </c>
      <c r="H1138" s="770">
        <v>2019.0</v>
      </c>
      <c r="I1138" s="771">
        <v>25145.27829</v>
      </c>
      <c r="J1138" s="771">
        <v>32370.16221</v>
      </c>
      <c r="K1138" s="772">
        <v>19357.30037</v>
      </c>
      <c r="M1138" s="769" t="s">
        <v>493</v>
      </c>
      <c r="N1138" s="770" t="s">
        <v>649</v>
      </c>
      <c r="O1138" s="770" t="s">
        <v>494</v>
      </c>
      <c r="P1138" s="770" t="s">
        <v>508</v>
      </c>
      <c r="Q1138" s="770" t="s">
        <v>514</v>
      </c>
      <c r="R1138" s="770" t="s">
        <v>497</v>
      </c>
      <c r="S1138" s="770">
        <v>2019.0</v>
      </c>
      <c r="T1138" s="771">
        <v>1379.530994</v>
      </c>
      <c r="U1138" s="771">
        <v>1775.90566</v>
      </c>
      <c r="V1138" s="772">
        <v>1061.988478</v>
      </c>
      <c r="AW1138" s="714"/>
    </row>
    <row r="1139">
      <c r="A1139" s="761"/>
      <c r="B1139" s="769" t="s">
        <v>493</v>
      </c>
      <c r="C1139" s="770" t="s">
        <v>649</v>
      </c>
      <c r="D1139" s="770" t="s">
        <v>494</v>
      </c>
      <c r="E1139" s="770" t="s">
        <v>512</v>
      </c>
      <c r="F1139" s="770" t="s">
        <v>514</v>
      </c>
      <c r="G1139" s="770" t="s">
        <v>103</v>
      </c>
      <c r="H1139" s="770">
        <v>2019.0</v>
      </c>
      <c r="I1139" s="771">
        <v>7249.271478</v>
      </c>
      <c r="J1139" s="771">
        <v>9266.510099</v>
      </c>
      <c r="K1139" s="772">
        <v>5680.898551</v>
      </c>
      <c r="M1139" s="769" t="s">
        <v>493</v>
      </c>
      <c r="N1139" s="770" t="s">
        <v>649</v>
      </c>
      <c r="O1139" s="770" t="s">
        <v>494</v>
      </c>
      <c r="P1139" s="770" t="s">
        <v>512</v>
      </c>
      <c r="Q1139" s="770" t="s">
        <v>514</v>
      </c>
      <c r="R1139" s="770" t="s">
        <v>497</v>
      </c>
      <c r="S1139" s="770">
        <v>2019.0</v>
      </c>
      <c r="T1139" s="771">
        <v>6247.088223</v>
      </c>
      <c r="U1139" s="771">
        <v>7985.451543</v>
      </c>
      <c r="V1139" s="772">
        <v>4895.536681</v>
      </c>
      <c r="AW1139" s="714"/>
    </row>
    <row r="1140">
      <c r="A1140" s="761"/>
      <c r="B1140" s="769" t="s">
        <v>493</v>
      </c>
      <c r="C1140" s="770" t="s">
        <v>649</v>
      </c>
      <c r="D1140" s="770" t="s">
        <v>494</v>
      </c>
      <c r="E1140" s="770" t="s">
        <v>495</v>
      </c>
      <c r="F1140" s="770" t="s">
        <v>518</v>
      </c>
      <c r="G1140" s="770" t="s">
        <v>103</v>
      </c>
      <c r="H1140" s="770">
        <v>2019.0</v>
      </c>
      <c r="I1140" s="771">
        <v>3300.591331</v>
      </c>
      <c r="J1140" s="771">
        <v>5426.892442</v>
      </c>
      <c r="K1140" s="772">
        <v>1883.999456</v>
      </c>
      <c r="M1140" s="769" t="s">
        <v>493</v>
      </c>
      <c r="N1140" s="770" t="s">
        <v>649</v>
      </c>
      <c r="O1140" s="770" t="s">
        <v>494</v>
      </c>
      <c r="P1140" s="770" t="s">
        <v>495</v>
      </c>
      <c r="Q1140" s="770" t="s">
        <v>518</v>
      </c>
      <c r="R1140" s="770" t="s">
        <v>497</v>
      </c>
      <c r="S1140" s="770">
        <v>2019.0</v>
      </c>
      <c r="T1140" s="771">
        <v>35.46248107</v>
      </c>
      <c r="U1140" s="771">
        <v>58.30805791</v>
      </c>
      <c r="V1140" s="772">
        <v>20.24221975</v>
      </c>
      <c r="AW1140" s="714"/>
    </row>
    <row r="1141">
      <c r="A1141" s="761"/>
      <c r="B1141" s="769" t="s">
        <v>493</v>
      </c>
      <c r="C1141" s="770" t="s">
        <v>649</v>
      </c>
      <c r="D1141" s="770" t="s">
        <v>494</v>
      </c>
      <c r="E1141" s="770" t="s">
        <v>505</v>
      </c>
      <c r="F1141" s="770" t="s">
        <v>518</v>
      </c>
      <c r="G1141" s="770" t="s">
        <v>103</v>
      </c>
      <c r="H1141" s="770">
        <v>2019.0</v>
      </c>
      <c r="I1141" s="771">
        <v>113.0186576</v>
      </c>
      <c r="J1141" s="771">
        <v>247.6108008</v>
      </c>
      <c r="K1141" s="772">
        <v>43.11595823</v>
      </c>
      <c r="M1141" s="769" t="s">
        <v>493</v>
      </c>
      <c r="N1141" s="770" t="s">
        <v>649</v>
      </c>
      <c r="O1141" s="770" t="s">
        <v>494</v>
      </c>
      <c r="P1141" s="770" t="s">
        <v>505</v>
      </c>
      <c r="Q1141" s="770" t="s">
        <v>518</v>
      </c>
      <c r="R1141" s="770" t="s">
        <v>497</v>
      </c>
      <c r="S1141" s="770">
        <v>2019.0</v>
      </c>
      <c r="T1141" s="771">
        <v>288.4089427</v>
      </c>
      <c r="U1141" s="771">
        <v>631.87062</v>
      </c>
      <c r="V1141" s="772">
        <v>110.0263283</v>
      </c>
      <c r="AW1141" s="714"/>
    </row>
    <row r="1142">
      <c r="A1142" s="761"/>
      <c r="B1142" s="769" t="s">
        <v>493</v>
      </c>
      <c r="C1142" s="770" t="s">
        <v>649</v>
      </c>
      <c r="D1142" s="770" t="s">
        <v>494</v>
      </c>
      <c r="E1142" s="770" t="s">
        <v>508</v>
      </c>
      <c r="F1142" s="770" t="s">
        <v>518</v>
      </c>
      <c r="G1142" s="770" t="s">
        <v>103</v>
      </c>
      <c r="H1142" s="770">
        <v>2019.0</v>
      </c>
      <c r="I1142" s="771">
        <v>1405.019164</v>
      </c>
      <c r="J1142" s="771">
        <v>2718.434984</v>
      </c>
      <c r="K1142" s="772">
        <v>617.9770581</v>
      </c>
      <c r="M1142" s="769" t="s">
        <v>493</v>
      </c>
      <c r="N1142" s="770" t="s">
        <v>649</v>
      </c>
      <c r="O1142" s="770" t="s">
        <v>494</v>
      </c>
      <c r="P1142" s="770" t="s">
        <v>508</v>
      </c>
      <c r="Q1142" s="770" t="s">
        <v>518</v>
      </c>
      <c r="R1142" s="770" t="s">
        <v>497</v>
      </c>
      <c r="S1142" s="770">
        <v>2019.0</v>
      </c>
      <c r="T1142" s="771">
        <v>77.08276128</v>
      </c>
      <c r="U1142" s="771">
        <v>149.1399408</v>
      </c>
      <c r="V1142" s="772">
        <v>33.90372122</v>
      </c>
      <c r="AW1142" s="714"/>
    </row>
    <row r="1143">
      <c r="A1143" s="761"/>
      <c r="B1143" s="769" t="s">
        <v>493</v>
      </c>
      <c r="C1143" s="770" t="s">
        <v>649</v>
      </c>
      <c r="D1143" s="770" t="s">
        <v>494</v>
      </c>
      <c r="E1143" s="770" t="s">
        <v>512</v>
      </c>
      <c r="F1143" s="770" t="s">
        <v>518</v>
      </c>
      <c r="G1143" s="770" t="s">
        <v>103</v>
      </c>
      <c r="H1143" s="770">
        <v>2019.0</v>
      </c>
      <c r="I1143" s="771">
        <v>206.267494</v>
      </c>
      <c r="J1143" s="771">
        <v>482.986114</v>
      </c>
      <c r="K1143" s="772">
        <v>72.81787118</v>
      </c>
      <c r="M1143" s="769" t="s">
        <v>493</v>
      </c>
      <c r="N1143" s="770" t="s">
        <v>649</v>
      </c>
      <c r="O1143" s="770" t="s">
        <v>494</v>
      </c>
      <c r="P1143" s="770" t="s">
        <v>512</v>
      </c>
      <c r="Q1143" s="770" t="s">
        <v>518</v>
      </c>
      <c r="R1143" s="770" t="s">
        <v>497</v>
      </c>
      <c r="S1143" s="770">
        <v>2019.0</v>
      </c>
      <c r="T1143" s="771">
        <v>177.7518247</v>
      </c>
      <c r="U1143" s="771">
        <v>416.2151844</v>
      </c>
      <c r="V1143" s="772">
        <v>62.75108704</v>
      </c>
      <c r="AW1143" s="714"/>
    </row>
    <row r="1144">
      <c r="A1144" s="761"/>
      <c r="B1144" s="769" t="s">
        <v>493</v>
      </c>
      <c r="C1144" s="770" t="s">
        <v>649</v>
      </c>
      <c r="D1144" s="770" t="s">
        <v>494</v>
      </c>
      <c r="E1144" s="770" t="s">
        <v>495</v>
      </c>
      <c r="F1144" s="770" t="s">
        <v>519</v>
      </c>
      <c r="G1144" s="770" t="s">
        <v>103</v>
      </c>
      <c r="H1144" s="770">
        <v>2019.0</v>
      </c>
      <c r="I1144" s="771">
        <v>39593.90609</v>
      </c>
      <c r="J1144" s="771">
        <v>50877.57866</v>
      </c>
      <c r="K1144" s="772">
        <v>30668.67846</v>
      </c>
      <c r="M1144" s="769" t="s">
        <v>493</v>
      </c>
      <c r="N1144" s="770" t="s">
        <v>649</v>
      </c>
      <c r="O1144" s="770" t="s">
        <v>494</v>
      </c>
      <c r="P1144" s="770" t="s">
        <v>495</v>
      </c>
      <c r="Q1144" s="770" t="s">
        <v>519</v>
      </c>
      <c r="R1144" s="770" t="s">
        <v>497</v>
      </c>
      <c r="S1144" s="770">
        <v>2019.0</v>
      </c>
      <c r="T1144" s="771">
        <v>425.4080569</v>
      </c>
      <c r="U1144" s="771">
        <v>546.643007</v>
      </c>
      <c r="V1144" s="772">
        <v>329.5129025</v>
      </c>
      <c r="AW1144" s="714"/>
    </row>
    <row r="1145">
      <c r="A1145" s="761"/>
      <c r="B1145" s="769" t="s">
        <v>493</v>
      </c>
      <c r="C1145" s="770" t="s">
        <v>649</v>
      </c>
      <c r="D1145" s="770" t="s">
        <v>494</v>
      </c>
      <c r="E1145" s="770" t="s">
        <v>505</v>
      </c>
      <c r="F1145" s="770" t="s">
        <v>519</v>
      </c>
      <c r="G1145" s="770" t="s">
        <v>103</v>
      </c>
      <c r="H1145" s="770">
        <v>2019.0</v>
      </c>
      <c r="I1145" s="771">
        <v>33115.43365</v>
      </c>
      <c r="J1145" s="771">
        <v>42532.70925</v>
      </c>
      <c r="K1145" s="772">
        <v>25719.48632</v>
      </c>
      <c r="M1145" s="769" t="s">
        <v>493</v>
      </c>
      <c r="N1145" s="770" t="s">
        <v>649</v>
      </c>
      <c r="O1145" s="770" t="s">
        <v>494</v>
      </c>
      <c r="P1145" s="770" t="s">
        <v>505</v>
      </c>
      <c r="Q1145" s="770" t="s">
        <v>519</v>
      </c>
      <c r="R1145" s="770" t="s">
        <v>497</v>
      </c>
      <c r="S1145" s="770">
        <v>2019.0</v>
      </c>
      <c r="T1145" s="771">
        <v>84506.28778</v>
      </c>
      <c r="U1145" s="771">
        <v>108537.9526</v>
      </c>
      <c r="V1145" s="772">
        <v>65632.7903</v>
      </c>
      <c r="AW1145" s="714"/>
    </row>
    <row r="1146">
      <c r="A1146" s="761"/>
      <c r="B1146" s="769" t="s">
        <v>493</v>
      </c>
      <c r="C1146" s="770" t="s">
        <v>649</v>
      </c>
      <c r="D1146" s="770" t="s">
        <v>494</v>
      </c>
      <c r="E1146" s="770" t="s">
        <v>508</v>
      </c>
      <c r="F1146" s="770" t="s">
        <v>519</v>
      </c>
      <c r="G1146" s="770" t="s">
        <v>103</v>
      </c>
      <c r="H1146" s="770">
        <v>2019.0</v>
      </c>
      <c r="I1146" s="771">
        <v>1846.899133</v>
      </c>
      <c r="J1146" s="771">
        <v>3129.817092</v>
      </c>
      <c r="K1146" s="772">
        <v>1039.218227</v>
      </c>
      <c r="M1146" s="769" t="s">
        <v>493</v>
      </c>
      <c r="N1146" s="770" t="s">
        <v>649</v>
      </c>
      <c r="O1146" s="770" t="s">
        <v>494</v>
      </c>
      <c r="P1146" s="770" t="s">
        <v>508</v>
      </c>
      <c r="Q1146" s="770" t="s">
        <v>519</v>
      </c>
      <c r="R1146" s="770" t="s">
        <v>497</v>
      </c>
      <c r="S1146" s="770">
        <v>2019.0</v>
      </c>
      <c r="T1146" s="771">
        <v>101.3253688</v>
      </c>
      <c r="U1146" s="771">
        <v>171.7093617</v>
      </c>
      <c r="V1146" s="772">
        <v>57.01403408</v>
      </c>
      <c r="AW1146" s="714"/>
    </row>
    <row r="1147">
      <c r="A1147" s="761"/>
      <c r="B1147" s="769" t="s">
        <v>493</v>
      </c>
      <c r="C1147" s="770" t="s">
        <v>649</v>
      </c>
      <c r="D1147" s="770" t="s">
        <v>494</v>
      </c>
      <c r="E1147" s="770" t="s">
        <v>512</v>
      </c>
      <c r="F1147" s="770" t="s">
        <v>519</v>
      </c>
      <c r="G1147" s="770" t="s">
        <v>103</v>
      </c>
      <c r="H1147" s="770">
        <v>2019.0</v>
      </c>
      <c r="I1147" s="771">
        <v>4452.360213</v>
      </c>
      <c r="J1147" s="771">
        <v>6057.190918</v>
      </c>
      <c r="K1147" s="772">
        <v>3134.487894</v>
      </c>
      <c r="M1147" s="769" t="s">
        <v>493</v>
      </c>
      <c r="N1147" s="770" t="s">
        <v>649</v>
      </c>
      <c r="O1147" s="770" t="s">
        <v>494</v>
      </c>
      <c r="P1147" s="770" t="s">
        <v>512</v>
      </c>
      <c r="Q1147" s="770" t="s">
        <v>519</v>
      </c>
      <c r="R1147" s="770" t="s">
        <v>497</v>
      </c>
      <c r="S1147" s="770">
        <v>2019.0</v>
      </c>
      <c r="T1147" s="771">
        <v>3836.838934</v>
      </c>
      <c r="U1147" s="771">
        <v>5219.80811</v>
      </c>
      <c r="V1147" s="772">
        <v>2701.157277</v>
      </c>
      <c r="AW1147" s="714"/>
    </row>
    <row r="1148">
      <c r="A1148" s="761"/>
      <c r="B1148" s="769" t="s">
        <v>493</v>
      </c>
      <c r="C1148" s="770" t="s">
        <v>649</v>
      </c>
      <c r="D1148" s="770" t="s">
        <v>494</v>
      </c>
      <c r="E1148" s="770" t="s">
        <v>495</v>
      </c>
      <c r="F1148" s="770" t="s">
        <v>521</v>
      </c>
      <c r="G1148" s="770" t="s">
        <v>103</v>
      </c>
      <c r="H1148" s="770">
        <v>2019.0</v>
      </c>
      <c r="I1148" s="771">
        <v>2978.1784</v>
      </c>
      <c r="J1148" s="771">
        <v>6803.894713</v>
      </c>
      <c r="K1148" s="772">
        <v>936.580951</v>
      </c>
      <c r="M1148" s="769" t="s">
        <v>493</v>
      </c>
      <c r="N1148" s="770" t="s">
        <v>649</v>
      </c>
      <c r="O1148" s="770" t="s">
        <v>494</v>
      </c>
      <c r="P1148" s="770" t="s">
        <v>495</v>
      </c>
      <c r="Q1148" s="770" t="s">
        <v>521</v>
      </c>
      <c r="R1148" s="770" t="s">
        <v>497</v>
      </c>
      <c r="S1148" s="770">
        <v>2019.0</v>
      </c>
      <c r="T1148" s="771">
        <v>31.9983859</v>
      </c>
      <c r="U1148" s="771">
        <v>73.1029574</v>
      </c>
      <c r="V1148" s="772">
        <v>10.06288901</v>
      </c>
      <c r="AW1148" s="714"/>
    </row>
    <row r="1149">
      <c r="A1149" s="761"/>
      <c r="B1149" s="769" t="s">
        <v>493</v>
      </c>
      <c r="C1149" s="770" t="s">
        <v>649</v>
      </c>
      <c r="D1149" s="770" t="s">
        <v>494</v>
      </c>
      <c r="E1149" s="770" t="s">
        <v>505</v>
      </c>
      <c r="F1149" s="770" t="s">
        <v>521</v>
      </c>
      <c r="G1149" s="770" t="s">
        <v>103</v>
      </c>
      <c r="H1149" s="770">
        <v>2019.0</v>
      </c>
      <c r="I1149" s="771">
        <v>0.0</v>
      </c>
      <c r="J1149" s="771">
        <v>0.0</v>
      </c>
      <c r="K1149" s="772">
        <v>0.0</v>
      </c>
      <c r="M1149" s="769" t="s">
        <v>493</v>
      </c>
      <c r="N1149" s="770" t="s">
        <v>649</v>
      </c>
      <c r="O1149" s="770" t="s">
        <v>494</v>
      </c>
      <c r="P1149" s="770" t="s">
        <v>505</v>
      </c>
      <c r="Q1149" s="770" t="s">
        <v>521</v>
      </c>
      <c r="R1149" s="770" t="s">
        <v>497</v>
      </c>
      <c r="S1149" s="770">
        <v>2019.0</v>
      </c>
      <c r="T1149" s="771">
        <v>0.0</v>
      </c>
      <c r="U1149" s="771">
        <v>0.0</v>
      </c>
      <c r="V1149" s="772">
        <v>0.0</v>
      </c>
      <c r="AW1149" s="714"/>
    </row>
    <row r="1150">
      <c r="A1150" s="761"/>
      <c r="B1150" s="769" t="s">
        <v>493</v>
      </c>
      <c r="C1150" s="770" t="s">
        <v>649</v>
      </c>
      <c r="D1150" s="770" t="s">
        <v>494</v>
      </c>
      <c r="E1150" s="770" t="s">
        <v>508</v>
      </c>
      <c r="F1150" s="770" t="s">
        <v>521</v>
      </c>
      <c r="G1150" s="770" t="s">
        <v>103</v>
      </c>
      <c r="H1150" s="770">
        <v>2019.0</v>
      </c>
      <c r="I1150" s="771">
        <v>830.6488341</v>
      </c>
      <c r="J1150" s="771">
        <v>1974.676046</v>
      </c>
      <c r="K1150" s="772">
        <v>251.186536</v>
      </c>
      <c r="M1150" s="769" t="s">
        <v>493</v>
      </c>
      <c r="N1150" s="770" t="s">
        <v>649</v>
      </c>
      <c r="O1150" s="770" t="s">
        <v>494</v>
      </c>
      <c r="P1150" s="770" t="s">
        <v>508</v>
      </c>
      <c r="Q1150" s="770" t="s">
        <v>521</v>
      </c>
      <c r="R1150" s="770" t="s">
        <v>497</v>
      </c>
      <c r="S1150" s="770">
        <v>2019.0</v>
      </c>
      <c r="T1150" s="771">
        <v>45.57141101</v>
      </c>
      <c r="U1150" s="771">
        <v>108.3355204</v>
      </c>
      <c r="V1150" s="772">
        <v>13.78070299</v>
      </c>
      <c r="AW1150" s="714"/>
    </row>
    <row r="1151">
      <c r="A1151" s="761"/>
      <c r="B1151" s="769" t="s">
        <v>493</v>
      </c>
      <c r="C1151" s="770" t="s">
        <v>649</v>
      </c>
      <c r="D1151" s="770" t="s">
        <v>494</v>
      </c>
      <c r="E1151" s="770" t="s">
        <v>512</v>
      </c>
      <c r="F1151" s="770" t="s">
        <v>521</v>
      </c>
      <c r="G1151" s="770" t="s">
        <v>103</v>
      </c>
      <c r="H1151" s="770">
        <v>2019.0</v>
      </c>
      <c r="I1151" s="771">
        <v>0.0</v>
      </c>
      <c r="J1151" s="771">
        <v>0.0</v>
      </c>
      <c r="K1151" s="772">
        <v>0.0</v>
      </c>
      <c r="M1151" s="769" t="s">
        <v>493</v>
      </c>
      <c r="N1151" s="770" t="s">
        <v>649</v>
      </c>
      <c r="O1151" s="770" t="s">
        <v>494</v>
      </c>
      <c r="P1151" s="770" t="s">
        <v>512</v>
      </c>
      <c r="Q1151" s="770" t="s">
        <v>521</v>
      </c>
      <c r="R1151" s="770" t="s">
        <v>497</v>
      </c>
      <c r="S1151" s="770">
        <v>2019.0</v>
      </c>
      <c r="T1151" s="771">
        <v>0.0</v>
      </c>
      <c r="U1151" s="771">
        <v>0.0</v>
      </c>
      <c r="V1151" s="772">
        <v>0.0</v>
      </c>
      <c r="AW1151" s="714"/>
    </row>
    <row r="1152">
      <c r="A1152" s="761"/>
      <c r="B1152" s="769" t="s">
        <v>493</v>
      </c>
      <c r="C1152" s="770" t="s">
        <v>649</v>
      </c>
      <c r="D1152" s="770" t="s">
        <v>494</v>
      </c>
      <c r="E1152" s="770" t="s">
        <v>495</v>
      </c>
      <c r="F1152" s="770" t="s">
        <v>523</v>
      </c>
      <c r="G1152" s="770" t="s">
        <v>103</v>
      </c>
      <c r="H1152" s="770">
        <v>2019.0</v>
      </c>
      <c r="I1152" s="771">
        <v>4295.17792</v>
      </c>
      <c r="J1152" s="771">
        <v>6551.124329</v>
      </c>
      <c r="K1152" s="772">
        <v>2507.406991</v>
      </c>
      <c r="M1152" s="769" t="s">
        <v>493</v>
      </c>
      <c r="N1152" s="770" t="s">
        <v>649</v>
      </c>
      <c r="O1152" s="770" t="s">
        <v>494</v>
      </c>
      <c r="P1152" s="770" t="s">
        <v>495</v>
      </c>
      <c r="Q1152" s="770" t="s">
        <v>523</v>
      </c>
      <c r="R1152" s="770" t="s">
        <v>497</v>
      </c>
      <c r="S1152" s="770">
        <v>2019.0</v>
      </c>
      <c r="T1152" s="771">
        <v>46.14859896</v>
      </c>
      <c r="U1152" s="771">
        <v>70.38712133</v>
      </c>
      <c r="V1152" s="772">
        <v>26.94028555</v>
      </c>
      <c r="AW1152" s="714"/>
    </row>
    <row r="1153">
      <c r="A1153" s="761"/>
      <c r="B1153" s="769" t="s">
        <v>493</v>
      </c>
      <c r="C1153" s="770" t="s">
        <v>649</v>
      </c>
      <c r="D1153" s="770" t="s">
        <v>494</v>
      </c>
      <c r="E1153" s="770" t="s">
        <v>505</v>
      </c>
      <c r="F1153" s="770" t="s">
        <v>523</v>
      </c>
      <c r="G1153" s="770" t="s">
        <v>103</v>
      </c>
      <c r="H1153" s="770">
        <v>2019.0</v>
      </c>
      <c r="I1153" s="771">
        <v>0.0</v>
      </c>
      <c r="J1153" s="771">
        <v>0.0</v>
      </c>
      <c r="K1153" s="772">
        <v>0.0</v>
      </c>
      <c r="M1153" s="769" t="s">
        <v>493</v>
      </c>
      <c r="N1153" s="770" t="s">
        <v>649</v>
      </c>
      <c r="O1153" s="770" t="s">
        <v>494</v>
      </c>
      <c r="P1153" s="770" t="s">
        <v>505</v>
      </c>
      <c r="Q1153" s="770" t="s">
        <v>523</v>
      </c>
      <c r="R1153" s="770" t="s">
        <v>497</v>
      </c>
      <c r="S1153" s="770">
        <v>2019.0</v>
      </c>
      <c r="T1153" s="771">
        <v>0.0</v>
      </c>
      <c r="U1153" s="771">
        <v>0.0</v>
      </c>
      <c r="V1153" s="772">
        <v>0.0</v>
      </c>
      <c r="AW1153" s="714"/>
    </row>
    <row r="1154">
      <c r="A1154" s="761"/>
      <c r="B1154" s="769" t="s">
        <v>493</v>
      </c>
      <c r="C1154" s="770" t="s">
        <v>649</v>
      </c>
      <c r="D1154" s="770" t="s">
        <v>494</v>
      </c>
      <c r="E1154" s="770" t="s">
        <v>508</v>
      </c>
      <c r="F1154" s="770" t="s">
        <v>523</v>
      </c>
      <c r="G1154" s="770" t="s">
        <v>103</v>
      </c>
      <c r="H1154" s="770">
        <v>2019.0</v>
      </c>
      <c r="I1154" s="771">
        <v>1779.550571</v>
      </c>
      <c r="J1154" s="771">
        <v>3050.773556</v>
      </c>
      <c r="K1154" s="772">
        <v>889.5513864</v>
      </c>
      <c r="M1154" s="769" t="s">
        <v>493</v>
      </c>
      <c r="N1154" s="770" t="s">
        <v>649</v>
      </c>
      <c r="O1154" s="770" t="s">
        <v>494</v>
      </c>
      <c r="P1154" s="770" t="s">
        <v>508</v>
      </c>
      <c r="Q1154" s="770" t="s">
        <v>523</v>
      </c>
      <c r="R1154" s="770" t="s">
        <v>497</v>
      </c>
      <c r="S1154" s="770">
        <v>2019.0</v>
      </c>
      <c r="T1154" s="771">
        <v>97.63046324</v>
      </c>
      <c r="U1154" s="771">
        <v>167.3728414</v>
      </c>
      <c r="V1154" s="772">
        <v>48.80294798</v>
      </c>
      <c r="AW1154" s="714"/>
    </row>
    <row r="1155">
      <c r="A1155" s="761"/>
      <c r="B1155" s="769" t="s">
        <v>493</v>
      </c>
      <c r="C1155" s="770" t="s">
        <v>649</v>
      </c>
      <c r="D1155" s="770" t="s">
        <v>494</v>
      </c>
      <c r="E1155" s="770" t="s">
        <v>512</v>
      </c>
      <c r="F1155" s="770" t="s">
        <v>523</v>
      </c>
      <c r="G1155" s="770" t="s">
        <v>103</v>
      </c>
      <c r="H1155" s="770">
        <v>2019.0</v>
      </c>
      <c r="I1155" s="771">
        <v>0.0</v>
      </c>
      <c r="J1155" s="771">
        <v>0.0</v>
      </c>
      <c r="K1155" s="772">
        <v>0.0</v>
      </c>
      <c r="M1155" s="769" t="s">
        <v>493</v>
      </c>
      <c r="N1155" s="770" t="s">
        <v>649</v>
      </c>
      <c r="O1155" s="770" t="s">
        <v>494</v>
      </c>
      <c r="P1155" s="770" t="s">
        <v>512</v>
      </c>
      <c r="Q1155" s="770" t="s">
        <v>523</v>
      </c>
      <c r="R1155" s="770" t="s">
        <v>497</v>
      </c>
      <c r="S1155" s="770">
        <v>2019.0</v>
      </c>
      <c r="T1155" s="771">
        <v>0.0</v>
      </c>
      <c r="U1155" s="771">
        <v>0.0</v>
      </c>
      <c r="V1155" s="772">
        <v>0.0</v>
      </c>
      <c r="AW1155" s="714"/>
    </row>
    <row r="1156">
      <c r="A1156" s="761"/>
      <c r="B1156" s="786" t="s">
        <v>493</v>
      </c>
      <c r="C1156" s="787" t="s">
        <v>650</v>
      </c>
      <c r="D1156" s="787" t="s">
        <v>494</v>
      </c>
      <c r="E1156" s="787" t="s">
        <v>495</v>
      </c>
      <c r="F1156" s="787" t="s">
        <v>496</v>
      </c>
      <c r="G1156" s="787" t="s">
        <v>103</v>
      </c>
      <c r="H1156" s="788">
        <v>2019.0</v>
      </c>
      <c r="I1156" s="789">
        <v>31490.04947</v>
      </c>
      <c r="J1156" s="789">
        <v>41340.67054</v>
      </c>
      <c r="K1156" s="790">
        <v>24169.77391</v>
      </c>
      <c r="M1156" s="786" t="s">
        <v>493</v>
      </c>
      <c r="N1156" s="787" t="s">
        <v>650</v>
      </c>
      <c r="O1156" s="787" t="s">
        <v>494</v>
      </c>
      <c r="P1156" s="787" t="s">
        <v>495</v>
      </c>
      <c r="Q1156" s="787" t="s">
        <v>496</v>
      </c>
      <c r="R1156" s="787" t="s">
        <v>497</v>
      </c>
      <c r="S1156" s="788">
        <v>2019.0</v>
      </c>
      <c r="T1156" s="789">
        <v>1116.924931</v>
      </c>
      <c r="U1156" s="789">
        <v>1466.317976</v>
      </c>
      <c r="V1156" s="790">
        <v>857.2810623</v>
      </c>
      <c r="AW1156" s="714"/>
    </row>
    <row r="1157">
      <c r="A1157" s="761"/>
      <c r="B1157" s="776" t="s">
        <v>493</v>
      </c>
      <c r="C1157" s="777" t="s">
        <v>650</v>
      </c>
      <c r="D1157" s="777" t="s">
        <v>494</v>
      </c>
      <c r="E1157" s="777" t="s">
        <v>505</v>
      </c>
      <c r="F1157" s="777" t="s">
        <v>496</v>
      </c>
      <c r="G1157" s="777" t="s">
        <v>103</v>
      </c>
      <c r="H1157" s="778">
        <v>2019.0</v>
      </c>
      <c r="I1157" s="780">
        <v>10325.5964</v>
      </c>
      <c r="J1157" s="780">
        <v>13690.3504</v>
      </c>
      <c r="K1157" s="782">
        <v>7829.673718</v>
      </c>
      <c r="M1157" s="776" t="s">
        <v>493</v>
      </c>
      <c r="N1157" s="777" t="s">
        <v>650</v>
      </c>
      <c r="O1157" s="777" t="s">
        <v>494</v>
      </c>
      <c r="P1157" s="777" t="s">
        <v>505</v>
      </c>
      <c r="Q1157" s="777" t="s">
        <v>496</v>
      </c>
      <c r="R1157" s="777" t="s">
        <v>497</v>
      </c>
      <c r="S1157" s="778">
        <v>2019.0</v>
      </c>
      <c r="T1157" s="780">
        <v>88544.10551</v>
      </c>
      <c r="U1157" s="780">
        <v>117397.5607</v>
      </c>
      <c r="V1157" s="782">
        <v>67141.05692</v>
      </c>
      <c r="AW1157" s="714"/>
    </row>
    <row r="1158">
      <c r="A1158" s="761"/>
      <c r="B1158" s="776" t="s">
        <v>493</v>
      </c>
      <c r="C1158" s="777" t="s">
        <v>650</v>
      </c>
      <c r="D1158" s="777" t="s">
        <v>494</v>
      </c>
      <c r="E1158" s="777" t="s">
        <v>508</v>
      </c>
      <c r="F1158" s="777" t="s">
        <v>496</v>
      </c>
      <c r="G1158" s="777" t="s">
        <v>103</v>
      </c>
      <c r="H1158" s="778">
        <v>2019.0</v>
      </c>
      <c r="I1158" s="780">
        <v>9193.820674</v>
      </c>
      <c r="J1158" s="780">
        <v>12069.41969</v>
      </c>
      <c r="K1158" s="782">
        <v>7043.460496</v>
      </c>
      <c r="M1158" s="776" t="s">
        <v>493</v>
      </c>
      <c r="N1158" s="777" t="s">
        <v>650</v>
      </c>
      <c r="O1158" s="777" t="s">
        <v>494</v>
      </c>
      <c r="P1158" s="777" t="s">
        <v>508</v>
      </c>
      <c r="Q1158" s="777" t="s">
        <v>496</v>
      </c>
      <c r="R1158" s="777" t="s">
        <v>497</v>
      </c>
      <c r="S1158" s="778">
        <v>2019.0</v>
      </c>
      <c r="T1158" s="780">
        <v>1695.148182</v>
      </c>
      <c r="U1158" s="780">
        <v>2225.348479</v>
      </c>
      <c r="V1158" s="782">
        <v>1298.666754</v>
      </c>
      <c r="AW1158" s="714"/>
    </row>
    <row r="1159">
      <c r="A1159" s="761"/>
      <c r="B1159" s="786" t="s">
        <v>493</v>
      </c>
      <c r="C1159" s="787" t="s">
        <v>650</v>
      </c>
      <c r="D1159" s="787" t="s">
        <v>494</v>
      </c>
      <c r="E1159" s="787" t="s">
        <v>512</v>
      </c>
      <c r="F1159" s="787" t="s">
        <v>496</v>
      </c>
      <c r="G1159" s="787" t="s">
        <v>103</v>
      </c>
      <c r="H1159" s="788">
        <v>2019.0</v>
      </c>
      <c r="I1159" s="789">
        <v>2745.084118</v>
      </c>
      <c r="J1159" s="789">
        <v>3611.580585</v>
      </c>
      <c r="K1159" s="790">
        <v>2095.758776</v>
      </c>
      <c r="M1159" s="786" t="s">
        <v>493</v>
      </c>
      <c r="N1159" s="787" t="s">
        <v>650</v>
      </c>
      <c r="O1159" s="787" t="s">
        <v>494</v>
      </c>
      <c r="P1159" s="787" t="s">
        <v>512</v>
      </c>
      <c r="Q1159" s="787" t="s">
        <v>496</v>
      </c>
      <c r="R1159" s="787" t="s">
        <v>497</v>
      </c>
      <c r="S1159" s="788">
        <v>2019.0</v>
      </c>
      <c r="T1159" s="789">
        <v>7939.297814</v>
      </c>
      <c r="U1159" s="789">
        <v>10445.36802</v>
      </c>
      <c r="V1159" s="790">
        <v>6061.327215</v>
      </c>
      <c r="AW1159" s="714"/>
    </row>
    <row r="1160">
      <c r="A1160" s="761"/>
      <c r="B1160" s="786" t="s">
        <v>493</v>
      </c>
      <c r="C1160" s="787" t="s">
        <v>650</v>
      </c>
      <c r="D1160" s="787" t="s">
        <v>494</v>
      </c>
      <c r="E1160" s="787" t="s">
        <v>495</v>
      </c>
      <c r="F1160" s="787" t="s">
        <v>514</v>
      </c>
      <c r="G1160" s="787" t="s">
        <v>103</v>
      </c>
      <c r="H1160" s="788">
        <v>2019.0</v>
      </c>
      <c r="I1160" s="789">
        <v>26896.85666</v>
      </c>
      <c r="J1160" s="789">
        <v>35418.19199</v>
      </c>
      <c r="K1160" s="790">
        <v>20432.90128</v>
      </c>
      <c r="M1160" s="786" t="s">
        <v>493</v>
      </c>
      <c r="N1160" s="787" t="s">
        <v>650</v>
      </c>
      <c r="O1160" s="787" t="s">
        <v>494</v>
      </c>
      <c r="P1160" s="787" t="s">
        <v>495</v>
      </c>
      <c r="Q1160" s="787" t="s">
        <v>514</v>
      </c>
      <c r="R1160" s="787" t="s">
        <v>497</v>
      </c>
      <c r="S1160" s="788">
        <v>2019.0</v>
      </c>
      <c r="T1160" s="789">
        <v>954.0083383</v>
      </c>
      <c r="U1160" s="789">
        <v>1256.252763</v>
      </c>
      <c r="V1160" s="790">
        <v>724.7374087</v>
      </c>
      <c r="AW1160" s="714"/>
    </row>
    <row r="1161">
      <c r="A1161" s="761"/>
      <c r="B1161" s="776" t="s">
        <v>493</v>
      </c>
      <c r="C1161" s="777" t="s">
        <v>650</v>
      </c>
      <c r="D1161" s="777" t="s">
        <v>494</v>
      </c>
      <c r="E1161" s="777" t="s">
        <v>505</v>
      </c>
      <c r="F1161" s="777" t="s">
        <v>514</v>
      </c>
      <c r="G1161" s="777" t="s">
        <v>103</v>
      </c>
      <c r="H1161" s="778">
        <v>2019.0</v>
      </c>
      <c r="I1161" s="780">
        <v>9397.938467</v>
      </c>
      <c r="J1161" s="780">
        <v>12472.52003</v>
      </c>
      <c r="K1161" s="782">
        <v>7061.984916</v>
      </c>
      <c r="M1161" s="776" t="s">
        <v>493</v>
      </c>
      <c r="N1161" s="777" t="s">
        <v>650</v>
      </c>
      <c r="O1161" s="777" t="s">
        <v>494</v>
      </c>
      <c r="P1161" s="777" t="s">
        <v>505</v>
      </c>
      <c r="Q1161" s="777" t="s">
        <v>514</v>
      </c>
      <c r="R1161" s="777" t="s">
        <v>497</v>
      </c>
      <c r="S1161" s="778">
        <v>2019.0</v>
      </c>
      <c r="T1161" s="780">
        <v>80589.24858</v>
      </c>
      <c r="U1161" s="780">
        <v>106954.4157</v>
      </c>
      <c r="V1161" s="782">
        <v>60557.9681</v>
      </c>
      <c r="AW1161" s="714"/>
    </row>
    <row r="1162">
      <c r="A1162" s="761"/>
      <c r="B1162" s="776" t="s">
        <v>493</v>
      </c>
      <c r="C1162" s="777" t="s">
        <v>650</v>
      </c>
      <c r="D1162" s="777" t="s">
        <v>494</v>
      </c>
      <c r="E1162" s="777" t="s">
        <v>508</v>
      </c>
      <c r="F1162" s="777" t="s">
        <v>514</v>
      </c>
      <c r="G1162" s="777" t="s">
        <v>103</v>
      </c>
      <c r="H1162" s="778">
        <v>2019.0</v>
      </c>
      <c r="I1162" s="780">
        <v>7514.620266</v>
      </c>
      <c r="J1162" s="780">
        <v>10040.2742</v>
      </c>
      <c r="K1162" s="782">
        <v>5662.362722</v>
      </c>
      <c r="M1162" s="776" t="s">
        <v>493</v>
      </c>
      <c r="N1162" s="777" t="s">
        <v>650</v>
      </c>
      <c r="O1162" s="777" t="s">
        <v>494</v>
      </c>
      <c r="P1162" s="777" t="s">
        <v>508</v>
      </c>
      <c r="Q1162" s="777" t="s">
        <v>514</v>
      </c>
      <c r="R1162" s="777" t="s">
        <v>497</v>
      </c>
      <c r="S1162" s="778">
        <v>2019.0</v>
      </c>
      <c r="T1162" s="780">
        <v>1385.538758</v>
      </c>
      <c r="U1162" s="780">
        <v>1851.216503</v>
      </c>
      <c r="V1162" s="782">
        <v>1044.02122</v>
      </c>
      <c r="AW1162" s="714"/>
    </row>
    <row r="1163">
      <c r="A1163" s="761"/>
      <c r="B1163" s="786" t="s">
        <v>493</v>
      </c>
      <c r="C1163" s="787" t="s">
        <v>650</v>
      </c>
      <c r="D1163" s="787" t="s">
        <v>494</v>
      </c>
      <c r="E1163" s="787" t="s">
        <v>512</v>
      </c>
      <c r="F1163" s="787" t="s">
        <v>514</v>
      </c>
      <c r="G1163" s="787" t="s">
        <v>103</v>
      </c>
      <c r="H1163" s="788">
        <v>2019.0</v>
      </c>
      <c r="I1163" s="789">
        <v>2381.879154</v>
      </c>
      <c r="J1163" s="789">
        <v>3156.495576</v>
      </c>
      <c r="K1163" s="790">
        <v>1820.101745</v>
      </c>
      <c r="M1163" s="786" t="s">
        <v>493</v>
      </c>
      <c r="N1163" s="787" t="s">
        <v>650</v>
      </c>
      <c r="O1163" s="787" t="s">
        <v>494</v>
      </c>
      <c r="P1163" s="787" t="s">
        <v>512</v>
      </c>
      <c r="Q1163" s="787" t="s">
        <v>514</v>
      </c>
      <c r="R1163" s="787" t="s">
        <v>497</v>
      </c>
      <c r="S1163" s="788">
        <v>2019.0</v>
      </c>
      <c r="T1163" s="789">
        <v>6888.840979</v>
      </c>
      <c r="U1163" s="789">
        <v>9129.176866</v>
      </c>
      <c r="V1163" s="790">
        <v>5264.075411</v>
      </c>
      <c r="AW1163" s="714"/>
    </row>
    <row r="1164">
      <c r="A1164" s="761"/>
      <c r="B1164" s="786" t="s">
        <v>493</v>
      </c>
      <c r="C1164" s="787" t="s">
        <v>650</v>
      </c>
      <c r="D1164" s="787" t="s">
        <v>494</v>
      </c>
      <c r="E1164" s="787" t="s">
        <v>495</v>
      </c>
      <c r="F1164" s="787" t="s">
        <v>518</v>
      </c>
      <c r="G1164" s="787" t="s">
        <v>103</v>
      </c>
      <c r="H1164" s="788">
        <v>2019.0</v>
      </c>
      <c r="I1164" s="789">
        <v>3753.694469</v>
      </c>
      <c r="J1164" s="789">
        <v>5835.163892</v>
      </c>
      <c r="K1164" s="790">
        <v>2263.548147</v>
      </c>
      <c r="M1164" s="786" t="s">
        <v>493</v>
      </c>
      <c r="N1164" s="787" t="s">
        <v>650</v>
      </c>
      <c r="O1164" s="787" t="s">
        <v>494</v>
      </c>
      <c r="P1164" s="787" t="s">
        <v>495</v>
      </c>
      <c r="Q1164" s="787" t="s">
        <v>518</v>
      </c>
      <c r="R1164" s="787" t="s">
        <v>497</v>
      </c>
      <c r="S1164" s="788">
        <v>2019.0</v>
      </c>
      <c r="T1164" s="789">
        <v>133.1403096</v>
      </c>
      <c r="U1164" s="789">
        <v>206.9682372</v>
      </c>
      <c r="V1164" s="790">
        <v>80.2861031</v>
      </c>
      <c r="AW1164" s="714"/>
    </row>
    <row r="1165">
      <c r="A1165" s="761"/>
      <c r="B1165" s="776" t="s">
        <v>493</v>
      </c>
      <c r="C1165" s="777" t="s">
        <v>650</v>
      </c>
      <c r="D1165" s="777" t="s">
        <v>494</v>
      </c>
      <c r="E1165" s="777" t="s">
        <v>505</v>
      </c>
      <c r="F1165" s="777" t="s">
        <v>518</v>
      </c>
      <c r="G1165" s="777" t="s">
        <v>103</v>
      </c>
      <c r="H1165" s="778">
        <v>2019.0</v>
      </c>
      <c r="I1165" s="780">
        <v>74.98552038</v>
      </c>
      <c r="J1165" s="780">
        <v>128.1715718</v>
      </c>
      <c r="K1165" s="782">
        <v>39.64088502</v>
      </c>
      <c r="M1165" s="776" t="s">
        <v>493</v>
      </c>
      <c r="N1165" s="777" t="s">
        <v>650</v>
      </c>
      <c r="O1165" s="777" t="s">
        <v>494</v>
      </c>
      <c r="P1165" s="777" t="s">
        <v>505</v>
      </c>
      <c r="Q1165" s="777" t="s">
        <v>518</v>
      </c>
      <c r="R1165" s="777" t="s">
        <v>497</v>
      </c>
      <c r="S1165" s="778">
        <v>2019.0</v>
      </c>
      <c r="T1165" s="780">
        <v>643.0162065</v>
      </c>
      <c r="U1165" s="780">
        <v>1099.097499</v>
      </c>
      <c r="V1165" s="782">
        <v>339.928714</v>
      </c>
      <c r="AW1165" s="714"/>
    </row>
    <row r="1166">
      <c r="A1166" s="761"/>
      <c r="B1166" s="776" t="s">
        <v>493</v>
      </c>
      <c r="C1166" s="777" t="s">
        <v>650</v>
      </c>
      <c r="D1166" s="777" t="s">
        <v>494</v>
      </c>
      <c r="E1166" s="777" t="s">
        <v>508</v>
      </c>
      <c r="F1166" s="777" t="s">
        <v>518</v>
      </c>
      <c r="G1166" s="777" t="s">
        <v>103</v>
      </c>
      <c r="H1166" s="778">
        <v>2019.0</v>
      </c>
      <c r="I1166" s="780">
        <v>1981.190609</v>
      </c>
      <c r="J1166" s="780">
        <v>3246.022688</v>
      </c>
      <c r="K1166" s="782">
        <v>1128.761974</v>
      </c>
      <c r="M1166" s="776" t="s">
        <v>493</v>
      </c>
      <c r="N1166" s="777" t="s">
        <v>650</v>
      </c>
      <c r="O1166" s="777" t="s">
        <v>494</v>
      </c>
      <c r="P1166" s="777" t="s">
        <v>508</v>
      </c>
      <c r="Q1166" s="777" t="s">
        <v>518</v>
      </c>
      <c r="R1166" s="777" t="s">
        <v>497</v>
      </c>
      <c r="S1166" s="778">
        <v>2019.0</v>
      </c>
      <c r="T1166" s="780">
        <v>365.2900984</v>
      </c>
      <c r="U1166" s="780">
        <v>598.4986713</v>
      </c>
      <c r="V1166" s="782">
        <v>208.1200924</v>
      </c>
      <c r="AW1166" s="714"/>
    </row>
    <row r="1167">
      <c r="A1167" s="761"/>
      <c r="B1167" s="786" t="s">
        <v>493</v>
      </c>
      <c r="C1167" s="787" t="s">
        <v>650</v>
      </c>
      <c r="D1167" s="787" t="s">
        <v>494</v>
      </c>
      <c r="E1167" s="787" t="s">
        <v>512</v>
      </c>
      <c r="F1167" s="787" t="s">
        <v>518</v>
      </c>
      <c r="G1167" s="787" t="s">
        <v>103</v>
      </c>
      <c r="H1167" s="788">
        <v>2019.0</v>
      </c>
      <c r="I1167" s="789">
        <v>176.3915312</v>
      </c>
      <c r="J1167" s="789">
        <v>376.0966858</v>
      </c>
      <c r="K1167" s="790">
        <v>68.61942458</v>
      </c>
      <c r="M1167" s="786" t="s">
        <v>493</v>
      </c>
      <c r="N1167" s="787" t="s">
        <v>650</v>
      </c>
      <c r="O1167" s="787" t="s">
        <v>494</v>
      </c>
      <c r="P1167" s="787" t="s">
        <v>512</v>
      </c>
      <c r="Q1167" s="787" t="s">
        <v>518</v>
      </c>
      <c r="R1167" s="787" t="s">
        <v>497</v>
      </c>
      <c r="S1167" s="788">
        <v>2019.0</v>
      </c>
      <c r="T1167" s="789">
        <v>510.1573715</v>
      </c>
      <c r="U1167" s="789">
        <v>1087.742112</v>
      </c>
      <c r="V1167" s="790">
        <v>198.4602381</v>
      </c>
      <c r="AW1167" s="714"/>
    </row>
    <row r="1168">
      <c r="A1168" s="761"/>
      <c r="B1168" s="786" t="s">
        <v>493</v>
      </c>
      <c r="C1168" s="787" t="s">
        <v>650</v>
      </c>
      <c r="D1168" s="787" t="s">
        <v>494</v>
      </c>
      <c r="E1168" s="787" t="s">
        <v>495</v>
      </c>
      <c r="F1168" s="787" t="s">
        <v>519</v>
      </c>
      <c r="G1168" s="787" t="s">
        <v>103</v>
      </c>
      <c r="H1168" s="788">
        <v>2019.0</v>
      </c>
      <c r="I1168" s="789">
        <v>9850.589201</v>
      </c>
      <c r="J1168" s="789">
        <v>13258.48581</v>
      </c>
      <c r="K1168" s="790">
        <v>7404.024991</v>
      </c>
      <c r="M1168" s="786" t="s">
        <v>493</v>
      </c>
      <c r="N1168" s="787" t="s">
        <v>650</v>
      </c>
      <c r="O1168" s="787" t="s">
        <v>494</v>
      </c>
      <c r="P1168" s="787" t="s">
        <v>495</v>
      </c>
      <c r="Q1168" s="787" t="s">
        <v>519</v>
      </c>
      <c r="R1168" s="787" t="s">
        <v>497</v>
      </c>
      <c r="S1168" s="788">
        <v>2019.0</v>
      </c>
      <c r="T1168" s="789">
        <v>349.3919142</v>
      </c>
      <c r="U1168" s="789">
        <v>470.2670716</v>
      </c>
      <c r="V1168" s="790">
        <v>262.614389</v>
      </c>
      <c r="AW1168" s="714"/>
    </row>
    <row r="1169">
      <c r="A1169" s="761"/>
      <c r="B1169" s="776" t="s">
        <v>493</v>
      </c>
      <c r="C1169" s="777" t="s">
        <v>650</v>
      </c>
      <c r="D1169" s="777" t="s">
        <v>494</v>
      </c>
      <c r="E1169" s="777" t="s">
        <v>505</v>
      </c>
      <c r="F1169" s="777" t="s">
        <v>519</v>
      </c>
      <c r="G1169" s="777" t="s">
        <v>103</v>
      </c>
      <c r="H1169" s="778">
        <v>2019.0</v>
      </c>
      <c r="I1169" s="780">
        <v>8093.167583</v>
      </c>
      <c r="J1169" s="780">
        <v>10858.05257</v>
      </c>
      <c r="K1169" s="782">
        <v>6072.309511</v>
      </c>
      <c r="M1169" s="776" t="s">
        <v>493</v>
      </c>
      <c r="N1169" s="777" t="s">
        <v>650</v>
      </c>
      <c r="O1169" s="777" t="s">
        <v>494</v>
      </c>
      <c r="P1169" s="777" t="s">
        <v>505</v>
      </c>
      <c r="Q1169" s="777" t="s">
        <v>519</v>
      </c>
      <c r="R1169" s="777" t="s">
        <v>497</v>
      </c>
      <c r="S1169" s="778">
        <v>2019.0</v>
      </c>
      <c r="T1169" s="780">
        <v>69400.57082</v>
      </c>
      <c r="U1169" s="780">
        <v>93110.02628</v>
      </c>
      <c r="V1169" s="782">
        <v>52071.29865</v>
      </c>
      <c r="AW1169" s="714"/>
    </row>
    <row r="1170">
      <c r="A1170" s="761"/>
      <c r="B1170" s="776" t="s">
        <v>493</v>
      </c>
      <c r="C1170" s="777" t="s">
        <v>650</v>
      </c>
      <c r="D1170" s="777" t="s">
        <v>494</v>
      </c>
      <c r="E1170" s="777" t="s">
        <v>508</v>
      </c>
      <c r="F1170" s="777" t="s">
        <v>519</v>
      </c>
      <c r="G1170" s="777" t="s">
        <v>103</v>
      </c>
      <c r="H1170" s="778">
        <v>2019.0</v>
      </c>
      <c r="I1170" s="780">
        <v>338.644572</v>
      </c>
      <c r="J1170" s="780">
        <v>564.8317802</v>
      </c>
      <c r="K1170" s="782">
        <v>194.3919752</v>
      </c>
      <c r="M1170" s="776" t="s">
        <v>493</v>
      </c>
      <c r="N1170" s="777" t="s">
        <v>650</v>
      </c>
      <c r="O1170" s="777" t="s">
        <v>494</v>
      </c>
      <c r="P1170" s="777" t="s">
        <v>508</v>
      </c>
      <c r="Q1170" s="777" t="s">
        <v>519</v>
      </c>
      <c r="R1170" s="777" t="s">
        <v>497</v>
      </c>
      <c r="S1170" s="778">
        <v>2019.0</v>
      </c>
      <c r="T1170" s="780">
        <v>62.43897406</v>
      </c>
      <c r="U1170" s="780">
        <v>104.143163</v>
      </c>
      <c r="V1170" s="782">
        <v>35.84181321</v>
      </c>
      <c r="AW1170" s="714"/>
    </row>
    <row r="1171">
      <c r="A1171" s="761"/>
      <c r="B1171" s="786" t="s">
        <v>493</v>
      </c>
      <c r="C1171" s="787" t="s">
        <v>650</v>
      </c>
      <c r="D1171" s="787" t="s">
        <v>494</v>
      </c>
      <c r="E1171" s="787" t="s">
        <v>512</v>
      </c>
      <c r="F1171" s="787" t="s">
        <v>519</v>
      </c>
      <c r="G1171" s="787" t="s">
        <v>103</v>
      </c>
      <c r="H1171" s="788">
        <v>2019.0</v>
      </c>
      <c r="I1171" s="789">
        <v>1389.138706</v>
      </c>
      <c r="J1171" s="789">
        <v>1914.606516</v>
      </c>
      <c r="K1171" s="790">
        <v>973.7518752</v>
      </c>
      <c r="M1171" s="786" t="s">
        <v>493</v>
      </c>
      <c r="N1171" s="787" t="s">
        <v>650</v>
      </c>
      <c r="O1171" s="787" t="s">
        <v>494</v>
      </c>
      <c r="P1171" s="787" t="s">
        <v>512</v>
      </c>
      <c r="Q1171" s="787" t="s">
        <v>519</v>
      </c>
      <c r="R1171" s="787" t="s">
        <v>497</v>
      </c>
      <c r="S1171" s="788">
        <v>2019.0</v>
      </c>
      <c r="T1171" s="789">
        <v>4017.649523</v>
      </c>
      <c r="U1171" s="789">
        <v>5537.400924</v>
      </c>
      <c r="V1171" s="790">
        <v>2816.272946</v>
      </c>
      <c r="AW1171" s="714"/>
    </row>
    <row r="1172">
      <c r="A1172" s="761"/>
      <c r="B1172" s="769" t="s">
        <v>493</v>
      </c>
      <c r="C1172" s="770" t="s">
        <v>650</v>
      </c>
      <c r="D1172" s="770" t="s">
        <v>494</v>
      </c>
      <c r="E1172" s="770" t="s">
        <v>495</v>
      </c>
      <c r="F1172" s="770" t="s">
        <v>521</v>
      </c>
      <c r="G1172" s="770" t="s">
        <v>103</v>
      </c>
      <c r="H1172" s="770">
        <v>2019.0</v>
      </c>
      <c r="I1172" s="771">
        <v>137.3733609</v>
      </c>
      <c r="J1172" s="771">
        <v>337.8639671</v>
      </c>
      <c r="K1172" s="772">
        <v>40.83936882</v>
      </c>
      <c r="M1172" s="769" t="s">
        <v>493</v>
      </c>
      <c r="N1172" s="770" t="s">
        <v>650</v>
      </c>
      <c r="O1172" s="770" t="s">
        <v>494</v>
      </c>
      <c r="P1172" s="770" t="s">
        <v>495</v>
      </c>
      <c r="Q1172" s="770" t="s">
        <v>521</v>
      </c>
      <c r="R1172" s="770" t="s">
        <v>497</v>
      </c>
      <c r="S1172" s="770">
        <v>2019.0</v>
      </c>
      <c r="T1172" s="771">
        <v>4.872514784</v>
      </c>
      <c r="U1172" s="771">
        <v>11.9837439</v>
      </c>
      <c r="V1172" s="772">
        <v>1.448537236</v>
      </c>
      <c r="AW1172" s="714"/>
    </row>
    <row r="1173">
      <c r="A1173" s="761"/>
      <c r="B1173" s="769" t="s">
        <v>493</v>
      </c>
      <c r="C1173" s="770" t="s">
        <v>650</v>
      </c>
      <c r="D1173" s="770" t="s">
        <v>494</v>
      </c>
      <c r="E1173" s="770" t="s">
        <v>505</v>
      </c>
      <c r="F1173" s="770" t="s">
        <v>521</v>
      </c>
      <c r="G1173" s="770" t="s">
        <v>103</v>
      </c>
      <c r="H1173" s="770">
        <v>2019.0</v>
      </c>
      <c r="I1173" s="771">
        <v>0.0</v>
      </c>
      <c r="J1173" s="771">
        <v>0.0</v>
      </c>
      <c r="K1173" s="772">
        <v>0.0</v>
      </c>
      <c r="M1173" s="769" t="s">
        <v>493</v>
      </c>
      <c r="N1173" s="770" t="s">
        <v>650</v>
      </c>
      <c r="O1173" s="770" t="s">
        <v>494</v>
      </c>
      <c r="P1173" s="770" t="s">
        <v>505</v>
      </c>
      <c r="Q1173" s="770" t="s">
        <v>521</v>
      </c>
      <c r="R1173" s="770" t="s">
        <v>497</v>
      </c>
      <c r="S1173" s="770">
        <v>2019.0</v>
      </c>
      <c r="T1173" s="771">
        <v>0.0</v>
      </c>
      <c r="U1173" s="771">
        <v>0.0</v>
      </c>
      <c r="V1173" s="772">
        <v>0.0</v>
      </c>
      <c r="AW1173" s="714"/>
    </row>
    <row r="1174">
      <c r="A1174" s="761"/>
      <c r="B1174" s="769" t="s">
        <v>493</v>
      </c>
      <c r="C1174" s="770" t="s">
        <v>650</v>
      </c>
      <c r="D1174" s="770" t="s">
        <v>494</v>
      </c>
      <c r="E1174" s="770" t="s">
        <v>508</v>
      </c>
      <c r="F1174" s="770" t="s">
        <v>521</v>
      </c>
      <c r="G1174" s="770" t="s">
        <v>103</v>
      </c>
      <c r="H1174" s="770">
        <v>2019.0</v>
      </c>
      <c r="I1174" s="771">
        <v>35.57860131</v>
      </c>
      <c r="J1174" s="771">
        <v>84.65624856</v>
      </c>
      <c r="K1174" s="772">
        <v>10.39544979</v>
      </c>
      <c r="M1174" s="769" t="s">
        <v>493</v>
      </c>
      <c r="N1174" s="770" t="s">
        <v>650</v>
      </c>
      <c r="O1174" s="770" t="s">
        <v>494</v>
      </c>
      <c r="P1174" s="770" t="s">
        <v>508</v>
      </c>
      <c r="Q1174" s="770" t="s">
        <v>521</v>
      </c>
      <c r="R1174" s="770" t="s">
        <v>497</v>
      </c>
      <c r="S1174" s="770">
        <v>2019.0</v>
      </c>
      <c r="T1174" s="771">
        <v>6.559949717</v>
      </c>
      <c r="U1174" s="771">
        <v>15.60884108</v>
      </c>
      <c r="V1174" s="772">
        <v>1.91670345</v>
      </c>
      <c r="AW1174" s="714"/>
    </row>
    <row r="1175">
      <c r="A1175" s="761"/>
      <c r="B1175" s="769" t="s">
        <v>493</v>
      </c>
      <c r="C1175" s="770" t="s">
        <v>650</v>
      </c>
      <c r="D1175" s="770" t="s">
        <v>494</v>
      </c>
      <c r="E1175" s="770" t="s">
        <v>512</v>
      </c>
      <c r="F1175" s="770" t="s">
        <v>521</v>
      </c>
      <c r="G1175" s="770" t="s">
        <v>103</v>
      </c>
      <c r="H1175" s="770">
        <v>2019.0</v>
      </c>
      <c r="I1175" s="771">
        <v>0.0</v>
      </c>
      <c r="J1175" s="771">
        <v>0.0</v>
      </c>
      <c r="K1175" s="772">
        <v>0.0</v>
      </c>
      <c r="M1175" s="769" t="s">
        <v>493</v>
      </c>
      <c r="N1175" s="770" t="s">
        <v>650</v>
      </c>
      <c r="O1175" s="770" t="s">
        <v>494</v>
      </c>
      <c r="P1175" s="770" t="s">
        <v>512</v>
      </c>
      <c r="Q1175" s="770" t="s">
        <v>521</v>
      </c>
      <c r="R1175" s="770" t="s">
        <v>497</v>
      </c>
      <c r="S1175" s="770">
        <v>2019.0</v>
      </c>
      <c r="T1175" s="771">
        <v>0.0</v>
      </c>
      <c r="U1175" s="771">
        <v>0.0</v>
      </c>
      <c r="V1175" s="772">
        <v>0.0</v>
      </c>
      <c r="AW1175" s="714"/>
    </row>
    <row r="1176">
      <c r="A1176" s="761"/>
      <c r="B1176" s="786" t="s">
        <v>493</v>
      </c>
      <c r="C1176" s="787" t="s">
        <v>650</v>
      </c>
      <c r="D1176" s="787" t="s">
        <v>494</v>
      </c>
      <c r="E1176" s="787" t="s">
        <v>495</v>
      </c>
      <c r="F1176" s="787" t="s">
        <v>523</v>
      </c>
      <c r="G1176" s="787" t="s">
        <v>103</v>
      </c>
      <c r="H1176" s="788">
        <v>2019.0</v>
      </c>
      <c r="I1176" s="789">
        <v>986.1495486</v>
      </c>
      <c r="J1176" s="789">
        <v>1594.609633</v>
      </c>
      <c r="K1176" s="790">
        <v>579.1494777</v>
      </c>
      <c r="M1176" s="786" t="s">
        <v>493</v>
      </c>
      <c r="N1176" s="787" t="s">
        <v>650</v>
      </c>
      <c r="O1176" s="787" t="s">
        <v>494</v>
      </c>
      <c r="P1176" s="787" t="s">
        <v>495</v>
      </c>
      <c r="Q1176" s="787" t="s">
        <v>523</v>
      </c>
      <c r="R1176" s="787" t="s">
        <v>497</v>
      </c>
      <c r="S1176" s="788">
        <v>2019.0</v>
      </c>
      <c r="T1176" s="789">
        <v>34.97787508</v>
      </c>
      <c r="U1176" s="789">
        <v>56.55943018</v>
      </c>
      <c r="V1176" s="790">
        <v>20.54193313</v>
      </c>
      <c r="AW1176" s="714"/>
    </row>
    <row r="1177">
      <c r="A1177" s="761"/>
      <c r="B1177" s="776" t="s">
        <v>493</v>
      </c>
      <c r="C1177" s="777" t="s">
        <v>650</v>
      </c>
      <c r="D1177" s="777" t="s">
        <v>494</v>
      </c>
      <c r="E1177" s="777" t="s">
        <v>505</v>
      </c>
      <c r="F1177" s="777" t="s">
        <v>523</v>
      </c>
      <c r="G1177" s="777" t="s">
        <v>103</v>
      </c>
      <c r="H1177" s="778">
        <v>2019.0</v>
      </c>
      <c r="I1177" s="780">
        <v>0.0</v>
      </c>
      <c r="J1177" s="780">
        <v>0.0</v>
      </c>
      <c r="K1177" s="782">
        <v>0.0</v>
      </c>
      <c r="M1177" s="776" t="s">
        <v>493</v>
      </c>
      <c r="N1177" s="777" t="s">
        <v>650</v>
      </c>
      <c r="O1177" s="777" t="s">
        <v>494</v>
      </c>
      <c r="P1177" s="777" t="s">
        <v>505</v>
      </c>
      <c r="Q1177" s="777" t="s">
        <v>523</v>
      </c>
      <c r="R1177" s="777" t="s">
        <v>497</v>
      </c>
      <c r="S1177" s="778">
        <v>2019.0</v>
      </c>
      <c r="T1177" s="780">
        <v>0.0</v>
      </c>
      <c r="U1177" s="780">
        <v>0.0</v>
      </c>
      <c r="V1177" s="782">
        <v>0.0</v>
      </c>
      <c r="AW1177" s="714"/>
    </row>
    <row r="1178">
      <c r="A1178" s="761"/>
      <c r="B1178" s="776" t="s">
        <v>493</v>
      </c>
      <c r="C1178" s="777" t="s">
        <v>650</v>
      </c>
      <c r="D1178" s="777" t="s">
        <v>494</v>
      </c>
      <c r="E1178" s="777" t="s">
        <v>508</v>
      </c>
      <c r="F1178" s="777" t="s">
        <v>523</v>
      </c>
      <c r="G1178" s="777" t="s">
        <v>103</v>
      </c>
      <c r="H1178" s="778">
        <v>2019.0</v>
      </c>
      <c r="I1178" s="780">
        <v>449.1887551</v>
      </c>
      <c r="J1178" s="780">
        <v>823.387249</v>
      </c>
      <c r="K1178" s="782">
        <v>226.0970432</v>
      </c>
      <c r="M1178" s="776" t="s">
        <v>493</v>
      </c>
      <c r="N1178" s="777" t="s">
        <v>650</v>
      </c>
      <c r="O1178" s="777" t="s">
        <v>494</v>
      </c>
      <c r="P1178" s="777" t="s">
        <v>508</v>
      </c>
      <c r="Q1178" s="777" t="s">
        <v>523</v>
      </c>
      <c r="R1178" s="777" t="s">
        <v>497</v>
      </c>
      <c r="S1178" s="778">
        <v>2019.0</v>
      </c>
      <c r="T1178" s="780">
        <v>82.82100864</v>
      </c>
      <c r="U1178" s="780">
        <v>151.815382</v>
      </c>
      <c r="V1178" s="782">
        <v>41.68756443</v>
      </c>
      <c r="AW1178" s="714"/>
    </row>
    <row r="1179">
      <c r="A1179" s="761"/>
      <c r="B1179" s="786" t="s">
        <v>493</v>
      </c>
      <c r="C1179" s="787" t="s">
        <v>650</v>
      </c>
      <c r="D1179" s="787" t="s">
        <v>494</v>
      </c>
      <c r="E1179" s="787" t="s">
        <v>512</v>
      </c>
      <c r="F1179" s="787" t="s">
        <v>523</v>
      </c>
      <c r="G1179" s="787" t="s">
        <v>103</v>
      </c>
      <c r="H1179" s="788">
        <v>2019.0</v>
      </c>
      <c r="I1179" s="789">
        <v>0.0</v>
      </c>
      <c r="J1179" s="789">
        <v>0.0</v>
      </c>
      <c r="K1179" s="790">
        <v>0.0</v>
      </c>
      <c r="M1179" s="786" t="s">
        <v>493</v>
      </c>
      <c r="N1179" s="787" t="s">
        <v>650</v>
      </c>
      <c r="O1179" s="787" t="s">
        <v>494</v>
      </c>
      <c r="P1179" s="787" t="s">
        <v>512</v>
      </c>
      <c r="Q1179" s="787" t="s">
        <v>523</v>
      </c>
      <c r="R1179" s="787" t="s">
        <v>497</v>
      </c>
      <c r="S1179" s="788">
        <v>2019.0</v>
      </c>
      <c r="T1179" s="789">
        <v>0.0</v>
      </c>
      <c r="U1179" s="789">
        <v>0.0</v>
      </c>
      <c r="V1179" s="790">
        <v>0.0</v>
      </c>
      <c r="AW1179" s="714"/>
    </row>
    <row r="1180">
      <c r="A1180" s="761"/>
      <c r="B1180" s="769" t="s">
        <v>493</v>
      </c>
      <c r="C1180" s="770" t="s">
        <v>651</v>
      </c>
      <c r="D1180" s="770" t="s">
        <v>494</v>
      </c>
      <c r="E1180" s="770" t="s">
        <v>495</v>
      </c>
      <c r="F1180" s="770" t="s">
        <v>496</v>
      </c>
      <c r="G1180" s="770" t="s">
        <v>103</v>
      </c>
      <c r="H1180" s="770">
        <v>2019.0</v>
      </c>
      <c r="I1180" s="771">
        <v>23565.85536</v>
      </c>
      <c r="J1180" s="771">
        <v>29921.14442</v>
      </c>
      <c r="K1180" s="772">
        <v>18630.7677</v>
      </c>
      <c r="M1180" s="769" t="s">
        <v>493</v>
      </c>
      <c r="N1180" s="770" t="s">
        <v>651</v>
      </c>
      <c r="O1180" s="770" t="s">
        <v>494</v>
      </c>
      <c r="P1180" s="770" t="s">
        <v>495</v>
      </c>
      <c r="Q1180" s="770" t="s">
        <v>496</v>
      </c>
      <c r="R1180" s="770" t="s">
        <v>497</v>
      </c>
      <c r="S1180" s="770">
        <v>2019.0</v>
      </c>
      <c r="T1180" s="771">
        <v>1117.101999</v>
      </c>
      <c r="U1180" s="771">
        <v>1418.364398</v>
      </c>
      <c r="V1180" s="772">
        <v>883.1619955</v>
      </c>
      <c r="AW1180" s="714"/>
    </row>
    <row r="1181">
      <c r="A1181" s="761"/>
      <c r="B1181" s="769" t="s">
        <v>493</v>
      </c>
      <c r="C1181" s="770" t="s">
        <v>651</v>
      </c>
      <c r="D1181" s="770" t="s">
        <v>494</v>
      </c>
      <c r="E1181" s="770" t="s">
        <v>505</v>
      </c>
      <c r="F1181" s="770" t="s">
        <v>496</v>
      </c>
      <c r="G1181" s="770" t="s">
        <v>103</v>
      </c>
      <c r="H1181" s="770">
        <v>2019.0</v>
      </c>
      <c r="I1181" s="771">
        <v>8230.103188</v>
      </c>
      <c r="J1181" s="771">
        <v>10528.07701</v>
      </c>
      <c r="K1181" s="772">
        <v>6495.09987</v>
      </c>
      <c r="M1181" s="769" t="s">
        <v>493</v>
      </c>
      <c r="N1181" s="770" t="s">
        <v>651</v>
      </c>
      <c r="O1181" s="770" t="s">
        <v>494</v>
      </c>
      <c r="P1181" s="770" t="s">
        <v>505</v>
      </c>
      <c r="Q1181" s="770" t="s">
        <v>496</v>
      </c>
      <c r="R1181" s="770" t="s">
        <v>497</v>
      </c>
      <c r="S1181" s="770">
        <v>2019.0</v>
      </c>
      <c r="T1181" s="771">
        <v>97506.85081</v>
      </c>
      <c r="U1181" s="771">
        <v>124732.2921</v>
      </c>
      <c r="V1181" s="772">
        <v>76951.25074</v>
      </c>
      <c r="AW1181" s="714"/>
    </row>
    <row r="1182">
      <c r="A1182" s="761"/>
      <c r="B1182" s="769" t="s">
        <v>493</v>
      </c>
      <c r="C1182" s="770" t="s">
        <v>651</v>
      </c>
      <c r="D1182" s="770" t="s">
        <v>494</v>
      </c>
      <c r="E1182" s="770" t="s">
        <v>508</v>
      </c>
      <c r="F1182" s="770" t="s">
        <v>496</v>
      </c>
      <c r="G1182" s="770" t="s">
        <v>103</v>
      </c>
      <c r="H1182" s="770">
        <v>2019.0</v>
      </c>
      <c r="I1182" s="771">
        <v>7387.129898</v>
      </c>
      <c r="J1182" s="771">
        <v>9387.584958</v>
      </c>
      <c r="K1182" s="772">
        <v>5834.081113</v>
      </c>
      <c r="M1182" s="769" t="s">
        <v>493</v>
      </c>
      <c r="N1182" s="770" t="s">
        <v>651</v>
      </c>
      <c r="O1182" s="770" t="s">
        <v>494</v>
      </c>
      <c r="P1182" s="770" t="s">
        <v>508</v>
      </c>
      <c r="Q1182" s="770" t="s">
        <v>496</v>
      </c>
      <c r="R1182" s="770" t="s">
        <v>497</v>
      </c>
      <c r="S1182" s="770">
        <v>2019.0</v>
      </c>
      <c r="T1182" s="771">
        <v>1865.386251</v>
      </c>
      <c r="U1182" s="771">
        <v>2370.53797</v>
      </c>
      <c r="V1182" s="772">
        <v>1473.212851</v>
      </c>
      <c r="AW1182" s="714"/>
    </row>
    <row r="1183">
      <c r="A1183" s="761"/>
      <c r="B1183" s="769" t="s">
        <v>493</v>
      </c>
      <c r="C1183" s="770" t="s">
        <v>651</v>
      </c>
      <c r="D1183" s="770" t="s">
        <v>494</v>
      </c>
      <c r="E1183" s="770" t="s">
        <v>512</v>
      </c>
      <c r="F1183" s="770" t="s">
        <v>496</v>
      </c>
      <c r="G1183" s="770" t="s">
        <v>103</v>
      </c>
      <c r="H1183" s="770">
        <v>2019.0</v>
      </c>
      <c r="I1183" s="771">
        <v>2302.671016</v>
      </c>
      <c r="J1183" s="771">
        <v>2945.839386</v>
      </c>
      <c r="K1183" s="772">
        <v>1814.877335</v>
      </c>
      <c r="M1183" s="769" t="s">
        <v>493</v>
      </c>
      <c r="N1183" s="770" t="s">
        <v>651</v>
      </c>
      <c r="O1183" s="770" t="s">
        <v>494</v>
      </c>
      <c r="P1183" s="770" t="s">
        <v>512</v>
      </c>
      <c r="Q1183" s="770" t="s">
        <v>496</v>
      </c>
      <c r="R1183" s="770" t="s">
        <v>497</v>
      </c>
      <c r="S1183" s="770">
        <v>2019.0</v>
      </c>
      <c r="T1183" s="771">
        <v>9204.628242</v>
      </c>
      <c r="U1183" s="771">
        <v>11775.61024</v>
      </c>
      <c r="V1183" s="772">
        <v>7254.736373</v>
      </c>
      <c r="AW1183" s="714"/>
    </row>
    <row r="1184">
      <c r="A1184" s="761"/>
      <c r="B1184" s="769" t="s">
        <v>493</v>
      </c>
      <c r="C1184" s="770" t="s">
        <v>651</v>
      </c>
      <c r="D1184" s="770" t="s">
        <v>494</v>
      </c>
      <c r="E1184" s="770" t="s">
        <v>495</v>
      </c>
      <c r="F1184" s="770" t="s">
        <v>514</v>
      </c>
      <c r="G1184" s="770" t="s">
        <v>103</v>
      </c>
      <c r="H1184" s="770">
        <v>2019.0</v>
      </c>
      <c r="I1184" s="771">
        <v>21008.05113</v>
      </c>
      <c r="J1184" s="771">
        <v>26602.03605</v>
      </c>
      <c r="K1184" s="772">
        <v>16676.24316</v>
      </c>
      <c r="M1184" s="769" t="s">
        <v>493</v>
      </c>
      <c r="N1184" s="770" t="s">
        <v>651</v>
      </c>
      <c r="O1184" s="770" t="s">
        <v>494</v>
      </c>
      <c r="P1184" s="770" t="s">
        <v>495</v>
      </c>
      <c r="Q1184" s="770" t="s">
        <v>514</v>
      </c>
      <c r="R1184" s="770" t="s">
        <v>497</v>
      </c>
      <c r="S1184" s="770">
        <v>2019.0</v>
      </c>
      <c r="T1184" s="771">
        <v>995.8533462</v>
      </c>
      <c r="U1184" s="771">
        <v>1261.02733</v>
      </c>
      <c r="V1184" s="772">
        <v>790.5108596</v>
      </c>
      <c r="AW1184" s="714"/>
    </row>
    <row r="1185">
      <c r="A1185" s="761"/>
      <c r="B1185" s="769" t="s">
        <v>493</v>
      </c>
      <c r="C1185" s="770" t="s">
        <v>651</v>
      </c>
      <c r="D1185" s="770" t="s">
        <v>494</v>
      </c>
      <c r="E1185" s="770" t="s">
        <v>505</v>
      </c>
      <c r="F1185" s="770" t="s">
        <v>514</v>
      </c>
      <c r="G1185" s="770" t="s">
        <v>103</v>
      </c>
      <c r="H1185" s="770">
        <v>2019.0</v>
      </c>
      <c r="I1185" s="771">
        <v>7663.608554</v>
      </c>
      <c r="J1185" s="771">
        <v>9786.043343</v>
      </c>
      <c r="K1185" s="772">
        <v>6056.006751</v>
      </c>
      <c r="M1185" s="769" t="s">
        <v>493</v>
      </c>
      <c r="N1185" s="770" t="s">
        <v>651</v>
      </c>
      <c r="O1185" s="770" t="s">
        <v>494</v>
      </c>
      <c r="P1185" s="770" t="s">
        <v>505</v>
      </c>
      <c r="Q1185" s="770" t="s">
        <v>514</v>
      </c>
      <c r="R1185" s="770" t="s">
        <v>497</v>
      </c>
      <c r="S1185" s="770">
        <v>2019.0</v>
      </c>
      <c r="T1185" s="771">
        <v>90795.25723</v>
      </c>
      <c r="U1185" s="771">
        <v>115940.9848</v>
      </c>
      <c r="V1185" s="772">
        <v>71749.05749</v>
      </c>
      <c r="AW1185" s="714"/>
    </row>
    <row r="1186">
      <c r="A1186" s="761"/>
      <c r="B1186" s="769" t="s">
        <v>493</v>
      </c>
      <c r="C1186" s="770" t="s">
        <v>651</v>
      </c>
      <c r="D1186" s="770" t="s">
        <v>494</v>
      </c>
      <c r="E1186" s="770" t="s">
        <v>508</v>
      </c>
      <c r="F1186" s="770" t="s">
        <v>514</v>
      </c>
      <c r="G1186" s="770" t="s">
        <v>103</v>
      </c>
      <c r="H1186" s="770">
        <v>2019.0</v>
      </c>
      <c r="I1186" s="771">
        <v>6455.447872</v>
      </c>
      <c r="J1186" s="771">
        <v>8228.398765</v>
      </c>
      <c r="K1186" s="772">
        <v>5121.977402</v>
      </c>
      <c r="M1186" s="769" t="s">
        <v>493</v>
      </c>
      <c r="N1186" s="770" t="s">
        <v>651</v>
      </c>
      <c r="O1186" s="770" t="s">
        <v>494</v>
      </c>
      <c r="P1186" s="770" t="s">
        <v>508</v>
      </c>
      <c r="Q1186" s="770" t="s">
        <v>514</v>
      </c>
      <c r="R1186" s="770" t="s">
        <v>497</v>
      </c>
      <c r="S1186" s="770">
        <v>2019.0</v>
      </c>
      <c r="T1186" s="771">
        <v>1630.119393</v>
      </c>
      <c r="U1186" s="771">
        <v>2077.822123</v>
      </c>
      <c r="V1186" s="772">
        <v>1293.393558</v>
      </c>
      <c r="AW1186" s="714"/>
    </row>
    <row r="1187">
      <c r="A1187" s="761"/>
      <c r="B1187" s="769" t="s">
        <v>493</v>
      </c>
      <c r="C1187" s="770" t="s">
        <v>651</v>
      </c>
      <c r="D1187" s="770" t="s">
        <v>494</v>
      </c>
      <c r="E1187" s="770" t="s">
        <v>512</v>
      </c>
      <c r="F1187" s="770" t="s">
        <v>514</v>
      </c>
      <c r="G1187" s="770" t="s">
        <v>103</v>
      </c>
      <c r="H1187" s="770">
        <v>2019.0</v>
      </c>
      <c r="I1187" s="771">
        <v>2069.679861</v>
      </c>
      <c r="J1187" s="771">
        <v>2668.572226</v>
      </c>
      <c r="K1187" s="772">
        <v>1630.220018</v>
      </c>
      <c r="M1187" s="769" t="s">
        <v>493</v>
      </c>
      <c r="N1187" s="770" t="s">
        <v>651</v>
      </c>
      <c r="O1187" s="770" t="s">
        <v>494</v>
      </c>
      <c r="P1187" s="770" t="s">
        <v>512</v>
      </c>
      <c r="Q1187" s="770" t="s">
        <v>514</v>
      </c>
      <c r="R1187" s="770" t="s">
        <v>497</v>
      </c>
      <c r="S1187" s="770">
        <v>2019.0</v>
      </c>
      <c r="T1187" s="771">
        <v>8273.276368</v>
      </c>
      <c r="U1187" s="771">
        <v>10667.27079</v>
      </c>
      <c r="V1187" s="772">
        <v>6516.592737</v>
      </c>
      <c r="AW1187" s="714"/>
    </row>
    <row r="1188">
      <c r="A1188" s="761"/>
      <c r="B1188" s="769" t="s">
        <v>493</v>
      </c>
      <c r="C1188" s="770" t="s">
        <v>651</v>
      </c>
      <c r="D1188" s="770" t="s">
        <v>494</v>
      </c>
      <c r="E1188" s="770" t="s">
        <v>495</v>
      </c>
      <c r="F1188" s="770" t="s">
        <v>518</v>
      </c>
      <c r="G1188" s="770" t="s">
        <v>103</v>
      </c>
      <c r="H1188" s="770">
        <v>2019.0</v>
      </c>
      <c r="I1188" s="771">
        <v>1067.060725</v>
      </c>
      <c r="J1188" s="771">
        <v>2137.764743</v>
      </c>
      <c r="K1188" s="772">
        <v>507.3220845</v>
      </c>
      <c r="M1188" s="769" t="s">
        <v>493</v>
      </c>
      <c r="N1188" s="770" t="s">
        <v>651</v>
      </c>
      <c r="O1188" s="770" t="s">
        <v>494</v>
      </c>
      <c r="P1188" s="770" t="s">
        <v>495</v>
      </c>
      <c r="Q1188" s="770" t="s">
        <v>518</v>
      </c>
      <c r="R1188" s="770" t="s">
        <v>497</v>
      </c>
      <c r="S1188" s="770">
        <v>2019.0</v>
      </c>
      <c r="T1188" s="771">
        <v>50.58232135</v>
      </c>
      <c r="U1188" s="771">
        <v>101.3373473</v>
      </c>
      <c r="V1188" s="772">
        <v>24.04879883</v>
      </c>
      <c r="AW1188" s="714"/>
    </row>
    <row r="1189">
      <c r="A1189" s="761"/>
      <c r="B1189" s="769" t="s">
        <v>493</v>
      </c>
      <c r="C1189" s="770" t="s">
        <v>651</v>
      </c>
      <c r="D1189" s="770" t="s">
        <v>494</v>
      </c>
      <c r="E1189" s="770" t="s">
        <v>505</v>
      </c>
      <c r="F1189" s="770" t="s">
        <v>518</v>
      </c>
      <c r="G1189" s="770" t="s">
        <v>103</v>
      </c>
      <c r="H1189" s="770">
        <v>2019.0</v>
      </c>
      <c r="I1189" s="771">
        <v>10.01422049</v>
      </c>
      <c r="J1189" s="771">
        <v>20.1313475</v>
      </c>
      <c r="K1189" s="772">
        <v>4.483620684</v>
      </c>
      <c r="M1189" s="769" t="s">
        <v>493</v>
      </c>
      <c r="N1189" s="770" t="s">
        <v>651</v>
      </c>
      <c r="O1189" s="770" t="s">
        <v>494</v>
      </c>
      <c r="P1189" s="770" t="s">
        <v>505</v>
      </c>
      <c r="Q1189" s="770" t="s">
        <v>518</v>
      </c>
      <c r="R1189" s="770" t="s">
        <v>497</v>
      </c>
      <c r="S1189" s="770">
        <v>2019.0</v>
      </c>
      <c r="T1189" s="771">
        <v>118.644333</v>
      </c>
      <c r="U1189" s="771">
        <v>238.5078598</v>
      </c>
      <c r="V1189" s="772">
        <v>53.12007919</v>
      </c>
      <c r="AW1189" s="714"/>
    </row>
    <row r="1190">
      <c r="A1190" s="761"/>
      <c r="B1190" s="769" t="s">
        <v>493</v>
      </c>
      <c r="C1190" s="770" t="s">
        <v>651</v>
      </c>
      <c r="D1190" s="770" t="s">
        <v>494</v>
      </c>
      <c r="E1190" s="770" t="s">
        <v>508</v>
      </c>
      <c r="F1190" s="770" t="s">
        <v>518</v>
      </c>
      <c r="G1190" s="770" t="s">
        <v>103</v>
      </c>
      <c r="H1190" s="770">
        <v>2019.0</v>
      </c>
      <c r="I1190" s="771">
        <v>706.926155</v>
      </c>
      <c r="J1190" s="771">
        <v>1389.702628</v>
      </c>
      <c r="K1190" s="772">
        <v>308.8528271</v>
      </c>
      <c r="M1190" s="769" t="s">
        <v>493</v>
      </c>
      <c r="N1190" s="770" t="s">
        <v>651</v>
      </c>
      <c r="O1190" s="770" t="s">
        <v>494</v>
      </c>
      <c r="P1190" s="770" t="s">
        <v>508</v>
      </c>
      <c r="Q1190" s="770" t="s">
        <v>518</v>
      </c>
      <c r="R1190" s="770" t="s">
        <v>497</v>
      </c>
      <c r="S1190" s="770">
        <v>2019.0</v>
      </c>
      <c r="T1190" s="771">
        <v>178.5118643</v>
      </c>
      <c r="U1190" s="771">
        <v>350.9254896</v>
      </c>
      <c r="V1190" s="772">
        <v>77.99102294</v>
      </c>
      <c r="AW1190" s="714"/>
    </row>
    <row r="1191">
      <c r="A1191" s="761"/>
      <c r="B1191" s="769" t="s">
        <v>493</v>
      </c>
      <c r="C1191" s="770" t="s">
        <v>651</v>
      </c>
      <c r="D1191" s="770" t="s">
        <v>494</v>
      </c>
      <c r="E1191" s="770" t="s">
        <v>512</v>
      </c>
      <c r="F1191" s="770" t="s">
        <v>518</v>
      </c>
      <c r="G1191" s="770" t="s">
        <v>103</v>
      </c>
      <c r="H1191" s="770">
        <v>2019.0</v>
      </c>
      <c r="I1191" s="771">
        <v>58.29616308</v>
      </c>
      <c r="J1191" s="771">
        <v>113.9571466</v>
      </c>
      <c r="K1191" s="772">
        <v>24.42436274</v>
      </c>
      <c r="M1191" s="769" t="s">
        <v>493</v>
      </c>
      <c r="N1191" s="770" t="s">
        <v>651</v>
      </c>
      <c r="O1191" s="770" t="s">
        <v>494</v>
      </c>
      <c r="P1191" s="770" t="s">
        <v>512</v>
      </c>
      <c r="Q1191" s="770" t="s">
        <v>518</v>
      </c>
      <c r="R1191" s="770" t="s">
        <v>497</v>
      </c>
      <c r="S1191" s="770">
        <v>2019.0</v>
      </c>
      <c r="T1191" s="771">
        <v>233.0313385</v>
      </c>
      <c r="U1191" s="771">
        <v>455.528889</v>
      </c>
      <c r="V1191" s="772">
        <v>97.63321703</v>
      </c>
      <c r="AW1191" s="714"/>
    </row>
    <row r="1192">
      <c r="A1192" s="761"/>
      <c r="B1192" s="769" t="s">
        <v>493</v>
      </c>
      <c r="C1192" s="770" t="s">
        <v>651</v>
      </c>
      <c r="D1192" s="770" t="s">
        <v>494</v>
      </c>
      <c r="E1192" s="770" t="s">
        <v>495</v>
      </c>
      <c r="F1192" s="770" t="s">
        <v>519</v>
      </c>
      <c r="G1192" s="770" t="s">
        <v>103</v>
      </c>
      <c r="H1192" s="770">
        <v>2019.0</v>
      </c>
      <c r="I1192" s="771">
        <v>8608.75926</v>
      </c>
      <c r="J1192" s="771">
        <v>11125.5539</v>
      </c>
      <c r="K1192" s="772">
        <v>6670.576753</v>
      </c>
      <c r="M1192" s="769" t="s">
        <v>493</v>
      </c>
      <c r="N1192" s="770" t="s">
        <v>651</v>
      </c>
      <c r="O1192" s="770" t="s">
        <v>494</v>
      </c>
      <c r="P1192" s="770" t="s">
        <v>495</v>
      </c>
      <c r="Q1192" s="770" t="s">
        <v>519</v>
      </c>
      <c r="R1192" s="770" t="s">
        <v>497</v>
      </c>
      <c r="S1192" s="770">
        <v>2019.0</v>
      </c>
      <c r="T1192" s="771">
        <v>408.0845797</v>
      </c>
      <c r="U1192" s="771">
        <v>527.3892378</v>
      </c>
      <c r="V1192" s="772">
        <v>316.2081118</v>
      </c>
      <c r="AW1192" s="714"/>
    </row>
    <row r="1193">
      <c r="A1193" s="761"/>
      <c r="B1193" s="769" t="s">
        <v>493</v>
      </c>
      <c r="C1193" s="770" t="s">
        <v>651</v>
      </c>
      <c r="D1193" s="770" t="s">
        <v>494</v>
      </c>
      <c r="E1193" s="770" t="s">
        <v>505</v>
      </c>
      <c r="F1193" s="770" t="s">
        <v>519</v>
      </c>
      <c r="G1193" s="770" t="s">
        <v>103</v>
      </c>
      <c r="H1193" s="770">
        <v>2019.0</v>
      </c>
      <c r="I1193" s="771">
        <v>6776.227976</v>
      </c>
      <c r="J1193" s="771">
        <v>8759.11471</v>
      </c>
      <c r="K1193" s="772">
        <v>5287.42886</v>
      </c>
      <c r="M1193" s="769" t="s">
        <v>493</v>
      </c>
      <c r="N1193" s="770" t="s">
        <v>651</v>
      </c>
      <c r="O1193" s="770" t="s">
        <v>494</v>
      </c>
      <c r="P1193" s="770" t="s">
        <v>505</v>
      </c>
      <c r="Q1193" s="770" t="s">
        <v>519</v>
      </c>
      <c r="R1193" s="770" t="s">
        <v>497</v>
      </c>
      <c r="S1193" s="770">
        <v>2019.0</v>
      </c>
      <c r="T1193" s="771">
        <v>80281.94</v>
      </c>
      <c r="U1193" s="771">
        <v>103774.36</v>
      </c>
      <c r="V1193" s="772">
        <v>62643.26525</v>
      </c>
      <c r="AW1193" s="714"/>
    </row>
    <row r="1194">
      <c r="A1194" s="761"/>
      <c r="B1194" s="769" t="s">
        <v>493</v>
      </c>
      <c r="C1194" s="770" t="s">
        <v>651</v>
      </c>
      <c r="D1194" s="770" t="s">
        <v>494</v>
      </c>
      <c r="E1194" s="770" t="s">
        <v>508</v>
      </c>
      <c r="F1194" s="770" t="s">
        <v>519</v>
      </c>
      <c r="G1194" s="770" t="s">
        <v>103</v>
      </c>
      <c r="H1194" s="770">
        <v>2019.0</v>
      </c>
      <c r="I1194" s="771">
        <v>464.8533373</v>
      </c>
      <c r="J1194" s="771">
        <v>751.4269199</v>
      </c>
      <c r="K1194" s="772">
        <v>253.1222285</v>
      </c>
      <c r="M1194" s="769" t="s">
        <v>493</v>
      </c>
      <c r="N1194" s="770" t="s">
        <v>651</v>
      </c>
      <c r="O1194" s="770" t="s">
        <v>494</v>
      </c>
      <c r="P1194" s="770" t="s">
        <v>508</v>
      </c>
      <c r="Q1194" s="770" t="s">
        <v>519</v>
      </c>
      <c r="R1194" s="770" t="s">
        <v>497</v>
      </c>
      <c r="S1194" s="770">
        <v>2019.0</v>
      </c>
      <c r="T1194" s="771">
        <v>117.3840228</v>
      </c>
      <c r="U1194" s="771">
        <v>189.7491265</v>
      </c>
      <c r="V1194" s="772">
        <v>63.91802113</v>
      </c>
      <c r="AW1194" s="714"/>
    </row>
    <row r="1195">
      <c r="A1195" s="761"/>
      <c r="B1195" s="769" t="s">
        <v>493</v>
      </c>
      <c r="C1195" s="770" t="s">
        <v>651</v>
      </c>
      <c r="D1195" s="770" t="s">
        <v>494</v>
      </c>
      <c r="E1195" s="770" t="s">
        <v>512</v>
      </c>
      <c r="F1195" s="770" t="s">
        <v>519</v>
      </c>
      <c r="G1195" s="770" t="s">
        <v>103</v>
      </c>
      <c r="H1195" s="770">
        <v>2019.0</v>
      </c>
      <c r="I1195" s="771">
        <v>1359.521039</v>
      </c>
      <c r="J1195" s="771">
        <v>1799.603932</v>
      </c>
      <c r="K1195" s="772">
        <v>1006.982303</v>
      </c>
      <c r="M1195" s="769" t="s">
        <v>493</v>
      </c>
      <c r="N1195" s="770" t="s">
        <v>651</v>
      </c>
      <c r="O1195" s="770" t="s">
        <v>494</v>
      </c>
      <c r="P1195" s="770" t="s">
        <v>512</v>
      </c>
      <c r="Q1195" s="770" t="s">
        <v>519</v>
      </c>
      <c r="R1195" s="770" t="s">
        <v>497</v>
      </c>
      <c r="S1195" s="770">
        <v>2019.0</v>
      </c>
      <c r="T1195" s="771">
        <v>5434.508736</v>
      </c>
      <c r="U1195" s="771">
        <v>7193.682926</v>
      </c>
      <c r="V1195" s="772">
        <v>4025.280938</v>
      </c>
      <c r="AW1195" s="714"/>
    </row>
    <row r="1196">
      <c r="A1196" s="761"/>
      <c r="B1196" s="769" t="s">
        <v>493</v>
      </c>
      <c r="C1196" s="770" t="s">
        <v>651</v>
      </c>
      <c r="D1196" s="770" t="s">
        <v>494</v>
      </c>
      <c r="E1196" s="770" t="s">
        <v>495</v>
      </c>
      <c r="F1196" s="770" t="s">
        <v>521</v>
      </c>
      <c r="G1196" s="770" t="s">
        <v>103</v>
      </c>
      <c r="H1196" s="770">
        <v>2019.0</v>
      </c>
      <c r="I1196" s="771">
        <v>349.1383115</v>
      </c>
      <c r="J1196" s="771">
        <v>831.6647786</v>
      </c>
      <c r="K1196" s="772">
        <v>99.53859722</v>
      </c>
      <c r="M1196" s="769" t="s">
        <v>493</v>
      </c>
      <c r="N1196" s="770" t="s">
        <v>651</v>
      </c>
      <c r="O1196" s="770" t="s">
        <v>494</v>
      </c>
      <c r="P1196" s="770" t="s">
        <v>495</v>
      </c>
      <c r="Q1196" s="770" t="s">
        <v>521</v>
      </c>
      <c r="R1196" s="770" t="s">
        <v>497</v>
      </c>
      <c r="S1196" s="770">
        <v>2019.0</v>
      </c>
      <c r="T1196" s="771">
        <v>16.55034794</v>
      </c>
      <c r="U1196" s="771">
        <v>39.42374985</v>
      </c>
      <c r="V1196" s="772">
        <v>4.718469338</v>
      </c>
      <c r="AW1196" s="714"/>
    </row>
    <row r="1197">
      <c r="A1197" s="761"/>
      <c r="B1197" s="769" t="s">
        <v>493</v>
      </c>
      <c r="C1197" s="770" t="s">
        <v>651</v>
      </c>
      <c r="D1197" s="770" t="s">
        <v>494</v>
      </c>
      <c r="E1197" s="770" t="s">
        <v>505</v>
      </c>
      <c r="F1197" s="770" t="s">
        <v>521</v>
      </c>
      <c r="G1197" s="770" t="s">
        <v>103</v>
      </c>
      <c r="H1197" s="770">
        <v>2019.0</v>
      </c>
      <c r="I1197" s="771">
        <v>0.0</v>
      </c>
      <c r="J1197" s="771">
        <v>0.0</v>
      </c>
      <c r="K1197" s="772">
        <v>0.0</v>
      </c>
      <c r="M1197" s="769" t="s">
        <v>493</v>
      </c>
      <c r="N1197" s="770" t="s">
        <v>651</v>
      </c>
      <c r="O1197" s="770" t="s">
        <v>494</v>
      </c>
      <c r="P1197" s="770" t="s">
        <v>505</v>
      </c>
      <c r="Q1197" s="770" t="s">
        <v>521</v>
      </c>
      <c r="R1197" s="770" t="s">
        <v>497</v>
      </c>
      <c r="S1197" s="770">
        <v>2019.0</v>
      </c>
      <c r="T1197" s="771">
        <v>0.0</v>
      </c>
      <c r="U1197" s="771">
        <v>0.0</v>
      </c>
      <c r="V1197" s="772">
        <v>0.0</v>
      </c>
      <c r="AW1197" s="714"/>
    </row>
    <row r="1198">
      <c r="A1198" s="761"/>
      <c r="B1198" s="769" t="s">
        <v>493</v>
      </c>
      <c r="C1198" s="770" t="s">
        <v>651</v>
      </c>
      <c r="D1198" s="770" t="s">
        <v>494</v>
      </c>
      <c r="E1198" s="770" t="s">
        <v>508</v>
      </c>
      <c r="F1198" s="770" t="s">
        <v>521</v>
      </c>
      <c r="G1198" s="770" t="s">
        <v>103</v>
      </c>
      <c r="H1198" s="770">
        <v>2019.0</v>
      </c>
      <c r="I1198" s="771">
        <v>101.4093626</v>
      </c>
      <c r="J1198" s="771">
        <v>237.4872381</v>
      </c>
      <c r="K1198" s="772">
        <v>30.89353655</v>
      </c>
      <c r="M1198" s="769" t="s">
        <v>493</v>
      </c>
      <c r="N1198" s="770" t="s">
        <v>651</v>
      </c>
      <c r="O1198" s="770" t="s">
        <v>494</v>
      </c>
      <c r="P1198" s="770" t="s">
        <v>508</v>
      </c>
      <c r="Q1198" s="770" t="s">
        <v>521</v>
      </c>
      <c r="R1198" s="770" t="s">
        <v>497</v>
      </c>
      <c r="S1198" s="770">
        <v>2019.0</v>
      </c>
      <c r="T1198" s="771">
        <v>25.60773039</v>
      </c>
      <c r="U1198" s="771">
        <v>59.9698983</v>
      </c>
      <c r="V1198" s="772">
        <v>7.801186541</v>
      </c>
      <c r="AW1198" s="714"/>
    </row>
    <row r="1199">
      <c r="A1199" s="761"/>
      <c r="B1199" s="769" t="s">
        <v>493</v>
      </c>
      <c r="C1199" s="770" t="s">
        <v>651</v>
      </c>
      <c r="D1199" s="770" t="s">
        <v>494</v>
      </c>
      <c r="E1199" s="770" t="s">
        <v>512</v>
      </c>
      <c r="F1199" s="770" t="s">
        <v>521</v>
      </c>
      <c r="G1199" s="770" t="s">
        <v>103</v>
      </c>
      <c r="H1199" s="770">
        <v>2019.0</v>
      </c>
      <c r="I1199" s="771">
        <v>0.0</v>
      </c>
      <c r="J1199" s="771">
        <v>0.0</v>
      </c>
      <c r="K1199" s="772">
        <v>0.0</v>
      </c>
      <c r="M1199" s="769" t="s">
        <v>493</v>
      </c>
      <c r="N1199" s="770" t="s">
        <v>651</v>
      </c>
      <c r="O1199" s="770" t="s">
        <v>494</v>
      </c>
      <c r="P1199" s="770" t="s">
        <v>512</v>
      </c>
      <c r="Q1199" s="770" t="s">
        <v>521</v>
      </c>
      <c r="R1199" s="770" t="s">
        <v>497</v>
      </c>
      <c r="S1199" s="770">
        <v>2019.0</v>
      </c>
      <c r="T1199" s="771">
        <v>0.0</v>
      </c>
      <c r="U1199" s="771">
        <v>0.0</v>
      </c>
      <c r="V1199" s="772">
        <v>0.0</v>
      </c>
      <c r="AW1199" s="714"/>
    </row>
    <row r="1200">
      <c r="A1200" s="761"/>
      <c r="B1200" s="769" t="s">
        <v>493</v>
      </c>
      <c r="C1200" s="770" t="s">
        <v>651</v>
      </c>
      <c r="D1200" s="770" t="s">
        <v>494</v>
      </c>
      <c r="E1200" s="770" t="s">
        <v>495</v>
      </c>
      <c r="F1200" s="770" t="s">
        <v>523</v>
      </c>
      <c r="G1200" s="770" t="s">
        <v>103</v>
      </c>
      <c r="H1200" s="770">
        <v>2019.0</v>
      </c>
      <c r="I1200" s="771">
        <v>1598.2225</v>
      </c>
      <c r="J1200" s="771">
        <v>2419.20642</v>
      </c>
      <c r="K1200" s="772">
        <v>929.4135875</v>
      </c>
      <c r="M1200" s="769" t="s">
        <v>493</v>
      </c>
      <c r="N1200" s="770" t="s">
        <v>651</v>
      </c>
      <c r="O1200" s="770" t="s">
        <v>494</v>
      </c>
      <c r="P1200" s="770" t="s">
        <v>495</v>
      </c>
      <c r="Q1200" s="770" t="s">
        <v>523</v>
      </c>
      <c r="R1200" s="770" t="s">
        <v>497</v>
      </c>
      <c r="S1200" s="770">
        <v>2019.0</v>
      </c>
      <c r="T1200" s="771">
        <v>75.76120294</v>
      </c>
      <c r="U1200" s="771">
        <v>114.6786436</v>
      </c>
      <c r="V1200" s="772">
        <v>44.05737711</v>
      </c>
      <c r="AW1200" s="714"/>
    </row>
    <row r="1201">
      <c r="A1201" s="761"/>
      <c r="B1201" s="769" t="s">
        <v>493</v>
      </c>
      <c r="C1201" s="770" t="s">
        <v>651</v>
      </c>
      <c r="D1201" s="770" t="s">
        <v>494</v>
      </c>
      <c r="E1201" s="770" t="s">
        <v>505</v>
      </c>
      <c r="F1201" s="770" t="s">
        <v>523</v>
      </c>
      <c r="G1201" s="770" t="s">
        <v>103</v>
      </c>
      <c r="H1201" s="770">
        <v>2019.0</v>
      </c>
      <c r="I1201" s="771">
        <v>0.0</v>
      </c>
      <c r="J1201" s="771">
        <v>0.0</v>
      </c>
      <c r="K1201" s="772">
        <v>0.0</v>
      </c>
      <c r="M1201" s="769" t="s">
        <v>493</v>
      </c>
      <c r="N1201" s="770" t="s">
        <v>651</v>
      </c>
      <c r="O1201" s="770" t="s">
        <v>494</v>
      </c>
      <c r="P1201" s="770" t="s">
        <v>505</v>
      </c>
      <c r="Q1201" s="770" t="s">
        <v>523</v>
      </c>
      <c r="R1201" s="770" t="s">
        <v>497</v>
      </c>
      <c r="S1201" s="770">
        <v>2019.0</v>
      </c>
      <c r="T1201" s="771">
        <v>0.0</v>
      </c>
      <c r="U1201" s="771">
        <v>0.0</v>
      </c>
      <c r="V1201" s="772">
        <v>0.0</v>
      </c>
      <c r="AW1201" s="714"/>
    </row>
    <row r="1202">
      <c r="A1202" s="761"/>
      <c r="B1202" s="769" t="s">
        <v>493</v>
      </c>
      <c r="C1202" s="770" t="s">
        <v>651</v>
      </c>
      <c r="D1202" s="770" t="s">
        <v>494</v>
      </c>
      <c r="E1202" s="770" t="s">
        <v>508</v>
      </c>
      <c r="F1202" s="770" t="s">
        <v>523</v>
      </c>
      <c r="G1202" s="770" t="s">
        <v>103</v>
      </c>
      <c r="H1202" s="770">
        <v>2019.0</v>
      </c>
      <c r="I1202" s="771">
        <v>620.0052793</v>
      </c>
      <c r="J1202" s="771">
        <v>1047.960259</v>
      </c>
      <c r="K1202" s="772">
        <v>337.6987604</v>
      </c>
      <c r="M1202" s="769" t="s">
        <v>493</v>
      </c>
      <c r="N1202" s="770" t="s">
        <v>651</v>
      </c>
      <c r="O1202" s="770" t="s">
        <v>494</v>
      </c>
      <c r="P1202" s="770" t="s">
        <v>508</v>
      </c>
      <c r="Q1202" s="770" t="s">
        <v>523</v>
      </c>
      <c r="R1202" s="770" t="s">
        <v>497</v>
      </c>
      <c r="S1202" s="770">
        <v>2019.0</v>
      </c>
      <c r="T1202" s="771">
        <v>156.5627436</v>
      </c>
      <c r="U1202" s="771">
        <v>264.6292521</v>
      </c>
      <c r="V1202" s="772">
        <v>85.27515198</v>
      </c>
      <c r="AW1202" s="714"/>
    </row>
    <row r="1203">
      <c r="A1203" s="761"/>
      <c r="B1203" s="1016" t="s">
        <v>493</v>
      </c>
      <c r="C1203" s="1017" t="s">
        <v>651</v>
      </c>
      <c r="D1203" s="1017" t="s">
        <v>494</v>
      </c>
      <c r="E1203" s="1017" t="s">
        <v>512</v>
      </c>
      <c r="F1203" s="1017" t="s">
        <v>523</v>
      </c>
      <c r="G1203" s="1017" t="s">
        <v>103</v>
      </c>
      <c r="H1203" s="1017">
        <v>2019.0</v>
      </c>
      <c r="I1203" s="1019">
        <v>0.0</v>
      </c>
      <c r="J1203" s="1019">
        <v>0.0</v>
      </c>
      <c r="K1203" s="1020">
        <v>0.0</v>
      </c>
      <c r="M1203" s="1016" t="s">
        <v>493</v>
      </c>
      <c r="N1203" s="1017" t="s">
        <v>651</v>
      </c>
      <c r="O1203" s="1017" t="s">
        <v>494</v>
      </c>
      <c r="P1203" s="1017" t="s">
        <v>512</v>
      </c>
      <c r="Q1203" s="1017" t="s">
        <v>523</v>
      </c>
      <c r="R1203" s="1017" t="s">
        <v>497</v>
      </c>
      <c r="S1203" s="1017">
        <v>2019.0</v>
      </c>
      <c r="T1203" s="1019">
        <v>0.0</v>
      </c>
      <c r="U1203" s="1019">
        <v>0.0</v>
      </c>
      <c r="V1203" s="1020">
        <v>0.0</v>
      </c>
      <c r="AW1203" s="714"/>
    </row>
    <row r="1204">
      <c r="A1204" s="1040"/>
      <c r="B1204" s="1041"/>
      <c r="C1204" s="1041"/>
      <c r="D1204" s="1041"/>
      <c r="E1204" s="1041"/>
      <c r="F1204" s="1041"/>
      <c r="G1204" s="1041"/>
      <c r="H1204" s="1041"/>
      <c r="I1204" s="1041"/>
      <c r="J1204" s="1041"/>
      <c r="K1204" s="1041"/>
      <c r="L1204" s="1041"/>
      <c r="M1204" s="1041"/>
      <c r="N1204" s="1041"/>
      <c r="O1204" s="1041"/>
      <c r="P1204" s="1041"/>
      <c r="Q1204" s="1041"/>
      <c r="R1204" s="1041"/>
      <c r="S1204" s="1041"/>
      <c r="T1204" s="1041"/>
      <c r="U1204" s="1041"/>
      <c r="V1204" s="1041"/>
      <c r="W1204" s="1041"/>
      <c r="X1204" s="1041"/>
      <c r="Y1204" s="1041"/>
      <c r="Z1204" s="1041"/>
      <c r="AA1204" s="1041"/>
      <c r="AB1204" s="1041"/>
      <c r="AC1204" s="1041"/>
      <c r="AD1204" s="1041"/>
      <c r="AE1204" s="1041"/>
      <c r="AF1204" s="1041"/>
      <c r="AG1204" s="1041"/>
      <c r="AH1204" s="1041"/>
      <c r="AI1204" s="1041"/>
      <c r="AJ1204" s="1041"/>
      <c r="AK1204" s="1041"/>
      <c r="AL1204" s="1041"/>
      <c r="AM1204" s="1041"/>
      <c r="AN1204" s="1041"/>
      <c r="AO1204" s="1041"/>
      <c r="AP1204" s="1041"/>
      <c r="AQ1204" s="1041"/>
      <c r="AR1204" s="1041"/>
      <c r="AS1204" s="1041"/>
      <c r="AT1204" s="1041"/>
      <c r="AU1204" s="1041"/>
      <c r="AV1204" s="1041"/>
      <c r="AW1204" s="1042"/>
    </row>
  </sheetData>
  <mergeCells count="4">
    <mergeCell ref="B2:K2"/>
    <mergeCell ref="M2:V2"/>
    <mergeCell ref="X2:AI2"/>
    <mergeCell ref="AK2:AV2"/>
  </mergeCells>
  <hyperlinks>
    <hyperlink r:id="rId2" ref="B2"/>
    <hyperlink r:id="rId3" ref="M2"/>
  </hyperlinks>
  <drawing r:id="rId4"/>
  <legacyDrawing r:id="rId5"/>
  <tableParts count="4">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36" width="12.13"/>
    <col customWidth="1" min="37" max="37" width="3.63"/>
  </cols>
  <sheetData>
    <row r="1">
      <c r="A1" s="1"/>
      <c r="B1" s="4"/>
      <c r="C1" s="4"/>
      <c r="D1" s="4"/>
      <c r="E1" s="296"/>
      <c r="F1" s="7"/>
      <c r="G1" s="7"/>
      <c r="H1" s="15"/>
      <c r="I1" s="210" t="s">
        <v>1</v>
      </c>
      <c r="J1" s="12"/>
      <c r="K1" s="12"/>
      <c r="L1" s="12"/>
      <c r="M1" s="12"/>
      <c r="N1" s="12"/>
      <c r="O1" s="12"/>
      <c r="P1" s="12"/>
      <c r="Q1" s="210" t="s">
        <v>1</v>
      </c>
      <c r="R1" s="12"/>
      <c r="S1" s="12"/>
      <c r="T1" s="12"/>
      <c r="U1" s="12"/>
      <c r="V1" s="12"/>
      <c r="W1" s="12"/>
      <c r="X1" s="12"/>
      <c r="Y1" s="210" t="s">
        <v>1</v>
      </c>
      <c r="Z1" s="12"/>
      <c r="AA1" s="12"/>
      <c r="AB1" s="12"/>
      <c r="AC1" s="12"/>
      <c r="AD1" s="12"/>
      <c r="AE1" s="12"/>
      <c r="AF1" s="30"/>
      <c r="AG1" s="210" t="s">
        <v>3</v>
      </c>
      <c r="AH1" s="12"/>
      <c r="AI1" s="12"/>
      <c r="AJ1" s="12"/>
      <c r="AK1" s="31"/>
    </row>
    <row r="2">
      <c r="A2" s="23"/>
      <c r="B2" s="24"/>
      <c r="C2" s="24"/>
      <c r="D2" s="24"/>
      <c r="E2" s="304"/>
      <c r="F2" s="27"/>
      <c r="G2" s="27"/>
      <c r="H2" s="37"/>
      <c r="I2" s="862" t="s">
        <v>5</v>
      </c>
      <c r="J2" s="41" t="s">
        <v>6</v>
      </c>
      <c r="K2" s="41" t="s">
        <v>7</v>
      </c>
      <c r="L2" s="41" t="s">
        <v>8</v>
      </c>
      <c r="M2" s="41" t="s">
        <v>9</v>
      </c>
      <c r="N2" s="41" t="s">
        <v>10</v>
      </c>
      <c r="O2" s="41" t="s">
        <v>11</v>
      </c>
      <c r="P2" s="41" t="s">
        <v>12</v>
      </c>
      <c r="Q2" s="41" t="s">
        <v>13</v>
      </c>
      <c r="R2" s="41" t="s">
        <v>14</v>
      </c>
      <c r="S2" s="41" t="s">
        <v>14</v>
      </c>
      <c r="T2" s="41" t="s">
        <v>14</v>
      </c>
      <c r="U2" s="41" t="s">
        <v>14</v>
      </c>
      <c r="V2" s="41" t="s">
        <v>14</v>
      </c>
      <c r="W2" s="41" t="s">
        <v>14</v>
      </c>
      <c r="X2" s="41" t="s">
        <v>14</v>
      </c>
      <c r="Y2" s="41" t="s">
        <v>14</v>
      </c>
      <c r="Z2" s="41" t="s">
        <v>14</v>
      </c>
      <c r="AA2" s="41" t="s">
        <v>14</v>
      </c>
      <c r="AB2" s="41" t="s">
        <v>14</v>
      </c>
      <c r="AC2" s="41" t="s">
        <v>14</v>
      </c>
      <c r="AD2" s="41" t="s">
        <v>14</v>
      </c>
      <c r="AE2" s="41" t="s">
        <v>14</v>
      </c>
      <c r="AF2" s="41" t="s">
        <v>14</v>
      </c>
      <c r="AG2" s="41" t="s">
        <v>17</v>
      </c>
      <c r="AH2" s="41" t="s">
        <v>19</v>
      </c>
      <c r="AI2" s="41" t="s">
        <v>20</v>
      </c>
      <c r="AJ2" s="41" t="s">
        <v>21</v>
      </c>
      <c r="AK2" s="54"/>
    </row>
    <row r="3">
      <c r="A3" s="46"/>
      <c r="B3" s="47"/>
      <c r="C3" s="47"/>
      <c r="D3" s="47"/>
      <c r="E3" s="47"/>
      <c r="F3" s="48" t="s">
        <v>50</v>
      </c>
      <c r="G3" s="48" t="s">
        <v>52</v>
      </c>
      <c r="H3" s="49" t="s">
        <v>25</v>
      </c>
      <c r="I3" s="863"/>
      <c r="J3" s="50"/>
      <c r="K3" s="50"/>
      <c r="L3" s="50"/>
      <c r="M3" s="50"/>
      <c r="N3" s="50"/>
      <c r="O3" s="50"/>
      <c r="P3" s="50"/>
      <c r="Q3" s="50"/>
      <c r="R3" s="50" t="s">
        <v>27</v>
      </c>
      <c r="S3" s="50" t="s">
        <v>28</v>
      </c>
      <c r="T3" s="50" t="s">
        <v>30</v>
      </c>
      <c r="U3" s="50" t="s">
        <v>31</v>
      </c>
      <c r="V3" s="50" t="s">
        <v>32</v>
      </c>
      <c r="W3" s="50" t="s">
        <v>33</v>
      </c>
      <c r="X3" s="50" t="s">
        <v>34</v>
      </c>
      <c r="Y3" s="50" t="s">
        <v>35</v>
      </c>
      <c r="Z3" s="50" t="s">
        <v>36</v>
      </c>
      <c r="AA3" s="50" t="s">
        <v>37</v>
      </c>
      <c r="AB3" s="50" t="s">
        <v>38</v>
      </c>
      <c r="AC3" s="50" t="s">
        <v>40</v>
      </c>
      <c r="AD3" s="50" t="s">
        <v>41</v>
      </c>
      <c r="AE3" s="50" t="s">
        <v>42</v>
      </c>
      <c r="AF3" s="50" t="s">
        <v>43</v>
      </c>
      <c r="AG3" s="50"/>
      <c r="AH3" s="50"/>
      <c r="AI3" s="50"/>
      <c r="AJ3" s="50"/>
      <c r="AK3" s="72"/>
    </row>
    <row r="4">
      <c r="A4" s="99" t="s">
        <v>49</v>
      </c>
      <c r="B4" s="12"/>
      <c r="C4" s="12"/>
      <c r="D4" s="12"/>
      <c r="E4" s="12"/>
      <c r="F4" s="12"/>
      <c r="G4" s="12"/>
      <c r="H4" s="97"/>
      <c r="I4" s="98"/>
      <c r="J4" s="864"/>
      <c r="K4" s="864"/>
      <c r="L4" s="864"/>
      <c r="M4" s="864"/>
      <c r="N4" s="864"/>
      <c r="O4" s="864"/>
      <c r="P4" s="864"/>
      <c r="Q4" s="864"/>
      <c r="R4" s="864"/>
      <c r="S4" s="864"/>
      <c r="T4" s="864"/>
      <c r="U4" s="864"/>
      <c r="V4" s="864"/>
      <c r="W4" s="864"/>
      <c r="X4" s="864"/>
      <c r="Y4" s="864"/>
      <c r="Z4" s="864"/>
      <c r="AA4" s="864"/>
      <c r="AB4" s="864"/>
      <c r="AC4" s="864"/>
      <c r="AD4" s="864"/>
      <c r="AE4" s="864"/>
      <c r="AF4" s="864"/>
      <c r="AG4" s="864"/>
      <c r="AH4" s="864"/>
      <c r="AI4" s="864"/>
      <c r="AJ4" s="864"/>
      <c r="AK4" s="865"/>
    </row>
    <row r="5">
      <c r="A5" s="101"/>
      <c r="B5" s="102"/>
      <c r="C5" s="102"/>
      <c r="D5" s="102"/>
      <c r="E5" s="337"/>
      <c r="F5" s="104"/>
      <c r="G5" s="104"/>
      <c r="H5" s="105"/>
      <c r="I5" s="106"/>
      <c r="J5" s="866"/>
      <c r="K5" s="866"/>
      <c r="L5" s="866"/>
      <c r="M5" s="866"/>
      <c r="N5" s="866"/>
      <c r="O5" s="866"/>
      <c r="P5" s="866"/>
      <c r="Q5" s="866"/>
      <c r="R5" s="866"/>
      <c r="S5" s="866"/>
      <c r="T5" s="866"/>
      <c r="U5" s="866"/>
      <c r="V5" s="866"/>
      <c r="W5" s="866"/>
      <c r="X5" s="866"/>
      <c r="Y5" s="866"/>
      <c r="Z5" s="866"/>
      <c r="AA5" s="866"/>
      <c r="AB5" s="866"/>
      <c r="AC5" s="866"/>
      <c r="AD5" s="866"/>
      <c r="AE5" s="866"/>
      <c r="AF5" s="866"/>
      <c r="AG5" s="866"/>
      <c r="AH5" s="866"/>
      <c r="AI5" s="866"/>
      <c r="AJ5" s="866"/>
      <c r="AK5" s="867"/>
    </row>
    <row r="6">
      <c r="A6" s="101"/>
      <c r="B6" s="102"/>
      <c r="C6" s="113" t="s">
        <v>543</v>
      </c>
      <c r="F6" s="104"/>
      <c r="G6" s="110"/>
      <c r="H6" s="105"/>
      <c r="I6" s="106"/>
      <c r="J6" s="866"/>
      <c r="K6" s="866"/>
      <c r="L6" s="866"/>
      <c r="M6" s="866"/>
      <c r="N6" s="866"/>
      <c r="O6" s="866"/>
      <c r="P6" s="866"/>
      <c r="Q6" s="866"/>
      <c r="R6" s="866"/>
      <c r="S6" s="866"/>
      <c r="T6" s="866"/>
      <c r="U6" s="866"/>
      <c r="V6" s="866"/>
      <c r="W6" s="866"/>
      <c r="X6" s="866"/>
      <c r="Y6" s="866"/>
      <c r="Z6" s="866"/>
      <c r="AA6" s="866"/>
      <c r="AB6" s="866"/>
      <c r="AC6" s="866"/>
      <c r="AD6" s="866"/>
      <c r="AE6" s="866"/>
      <c r="AF6" s="866"/>
      <c r="AG6" s="866"/>
      <c r="AH6" s="866"/>
      <c r="AI6" s="866"/>
      <c r="AJ6" s="866"/>
      <c r="AK6" s="867"/>
    </row>
    <row r="7">
      <c r="A7" s="101"/>
      <c r="B7" s="102"/>
      <c r="C7" s="102"/>
      <c r="D7" s="102"/>
      <c r="E7" s="403" t="s">
        <v>96</v>
      </c>
      <c r="F7" s="121" t="s">
        <v>108</v>
      </c>
      <c r="G7" s="280" t="s">
        <v>213</v>
      </c>
      <c r="H7" s="125">
        <f>Inputs!H8</f>
        <v>1000000</v>
      </c>
      <c r="I7" s="127" t="str">
        <f>Inputs!I8</f>
        <v>-</v>
      </c>
      <c r="J7" s="127" t="str">
        <f>Inputs!J8</f>
        <v>-</v>
      </c>
      <c r="K7" s="127" t="str">
        <f>Inputs!K8</f>
        <v>-</v>
      </c>
      <c r="L7" s="127" t="str">
        <f>Inputs!L8</f>
        <v>-</v>
      </c>
      <c r="M7" s="127" t="str">
        <f>Inputs!M8</f>
        <v>-</v>
      </c>
      <c r="N7" s="127" t="str">
        <f>Inputs!N8</f>
        <v>-</v>
      </c>
      <c r="O7" s="127" t="str">
        <f>Inputs!O8</f>
        <v>-</v>
      </c>
      <c r="P7" s="127" t="str">
        <f>Inputs!P8</f>
        <v>-</v>
      </c>
      <c r="Q7" s="127" t="str">
        <f>Inputs!Q8</f>
        <v>-</v>
      </c>
      <c r="R7" s="127" t="str">
        <f>Inputs!R8</f>
        <v>-</v>
      </c>
      <c r="S7" s="127" t="str">
        <f>Inputs!S8</f>
        <v>-</v>
      </c>
      <c r="T7" s="127" t="str">
        <f>Inputs!T8</f>
        <v>-</v>
      </c>
      <c r="U7" s="127" t="str">
        <f>Inputs!U8</f>
        <v>-</v>
      </c>
      <c r="V7" s="127" t="str">
        <f>Inputs!V8</f>
        <v>-</v>
      </c>
      <c r="W7" s="127" t="str">
        <f>Inputs!W8</f>
        <v>-</v>
      </c>
      <c r="X7" s="127" t="str">
        <f>Inputs!X8</f>
        <v>-</v>
      </c>
      <c r="Y7" s="127" t="str">
        <f>Inputs!Y8</f>
        <v>-</v>
      </c>
      <c r="Z7" s="127" t="str">
        <f>Inputs!Z8</f>
        <v>-</v>
      </c>
      <c r="AA7" s="127" t="str">
        <f>Inputs!AA8</f>
        <v>-</v>
      </c>
      <c r="AB7" s="127" t="str">
        <f>Inputs!AB8</f>
        <v>-</v>
      </c>
      <c r="AC7" s="127" t="str">
        <f>Inputs!AC8</f>
        <v>-</v>
      </c>
      <c r="AD7" s="127" t="str">
        <f>Inputs!AD8</f>
        <v>-</v>
      </c>
      <c r="AE7" s="127" t="str">
        <f>Inputs!AE8</f>
        <v>-</v>
      </c>
      <c r="AF7" s="127" t="str">
        <f>Inputs!AF8</f>
        <v>-</v>
      </c>
      <c r="AG7" s="127" t="str">
        <f>Inputs!AG8</f>
        <v>-</v>
      </c>
      <c r="AH7" s="127" t="str">
        <f>Inputs!AH8</f>
        <v>-</v>
      </c>
      <c r="AI7" s="127" t="str">
        <f>Inputs!AI8</f>
        <v>-</v>
      </c>
      <c r="AJ7" s="127" t="str">
        <f>Inputs!AJ8</f>
        <v>-</v>
      </c>
      <c r="AK7" s="152"/>
    </row>
    <row r="8">
      <c r="A8" s="101"/>
      <c r="B8" s="102"/>
      <c r="C8" s="109"/>
      <c r="D8" s="102"/>
      <c r="E8" s="440"/>
      <c r="F8" s="132"/>
      <c r="G8" s="132"/>
      <c r="H8" s="712"/>
      <c r="I8" s="654"/>
      <c r="J8" s="654"/>
      <c r="K8" s="654"/>
      <c r="L8" s="654"/>
      <c r="M8" s="654"/>
      <c r="N8" s="654"/>
      <c r="O8" s="654"/>
      <c r="P8" s="654"/>
      <c r="Q8" s="654"/>
      <c r="R8" s="654"/>
      <c r="S8" s="654"/>
      <c r="T8" s="654"/>
      <c r="U8" s="654"/>
      <c r="V8" s="654"/>
      <c r="W8" s="654"/>
      <c r="X8" s="654"/>
      <c r="Y8" s="654"/>
      <c r="Z8" s="654"/>
      <c r="AA8" s="654"/>
      <c r="AB8" s="654"/>
      <c r="AC8" s="654"/>
      <c r="AD8" s="654"/>
      <c r="AE8" s="654"/>
      <c r="AF8" s="654"/>
      <c r="AG8" s="654"/>
      <c r="AH8" s="654"/>
      <c r="AI8" s="654"/>
      <c r="AJ8" s="654"/>
      <c r="AK8" s="656"/>
    </row>
    <row r="9">
      <c r="A9" s="101"/>
      <c r="B9" s="102"/>
      <c r="C9" s="109" t="s">
        <v>544</v>
      </c>
      <c r="F9" s="132"/>
      <c r="G9" s="132"/>
      <c r="H9" s="712"/>
      <c r="I9" s="654"/>
      <c r="J9" s="654"/>
      <c r="K9" s="654"/>
      <c r="L9" s="654"/>
      <c r="M9" s="654"/>
      <c r="N9" s="654"/>
      <c r="O9" s="654"/>
      <c r="P9" s="654"/>
      <c r="Q9" s="654"/>
      <c r="R9" s="654"/>
      <c r="S9" s="654"/>
      <c r="T9" s="654"/>
      <c r="U9" s="654"/>
      <c r="V9" s="654"/>
      <c r="W9" s="654"/>
      <c r="X9" s="654"/>
      <c r="Y9" s="654"/>
      <c r="Z9" s="654"/>
      <c r="AA9" s="654"/>
      <c r="AB9" s="654"/>
      <c r="AC9" s="654"/>
      <c r="AD9" s="654"/>
      <c r="AE9" s="654"/>
      <c r="AF9" s="654"/>
      <c r="AG9" s="654"/>
      <c r="AH9" s="654"/>
      <c r="AI9" s="654"/>
      <c r="AJ9" s="654"/>
      <c r="AK9" s="656"/>
    </row>
    <row r="10">
      <c r="A10" s="101"/>
      <c r="B10" s="102"/>
      <c r="C10" s="109"/>
      <c r="D10" s="102"/>
      <c r="E10" s="396" t="s">
        <v>545</v>
      </c>
      <c r="F10" s="114" t="s">
        <v>108</v>
      </c>
      <c r="G10" s="114" t="s">
        <v>213</v>
      </c>
      <c r="H10" s="256" t="s">
        <v>165</v>
      </c>
      <c r="I10" s="291">
        <f>'Main CEA'!I35</f>
        <v>1.342811377</v>
      </c>
      <c r="J10" s="291">
        <f>'Main CEA'!J35</f>
        <v>1.455595956</v>
      </c>
      <c r="K10" s="291">
        <f>'Main CEA'!K35</f>
        <v>1.282417722</v>
      </c>
      <c r="L10" s="291">
        <f>'Main CEA'!L35</f>
        <v>1.282417722</v>
      </c>
      <c r="M10" s="291">
        <f>'Main CEA'!M35</f>
        <v>1.815199452</v>
      </c>
      <c r="N10" s="291">
        <f>'Main CEA'!N35</f>
        <v>1.282417722</v>
      </c>
      <c r="O10" s="291">
        <f>'Main CEA'!O35</f>
        <v>1.282417722</v>
      </c>
      <c r="P10" s="291">
        <f>'Main CEA'!P35</f>
        <v>0.9867351615</v>
      </c>
      <c r="Q10" s="291">
        <f>'Main CEA'!Q35</f>
        <v>1.06786488</v>
      </c>
      <c r="R10" s="291">
        <f>'Main CEA'!R35</f>
        <v>1.282417722</v>
      </c>
      <c r="S10" s="291">
        <f>'Main CEA'!S35</f>
        <v>1.282417722</v>
      </c>
      <c r="T10" s="291">
        <f>'Main CEA'!T35</f>
        <v>1.282417722</v>
      </c>
      <c r="U10" s="291">
        <f>'Main CEA'!U35</f>
        <v>1.282417722</v>
      </c>
      <c r="V10" s="291">
        <f>'Main CEA'!V35</f>
        <v>1.282417722</v>
      </c>
      <c r="W10" s="291">
        <f>'Main CEA'!W35</f>
        <v>1.282417722</v>
      </c>
      <c r="X10" s="291">
        <f>'Main CEA'!X35</f>
        <v>1.282417722</v>
      </c>
      <c r="Y10" s="291">
        <f>'Main CEA'!Y35</f>
        <v>1.282417722</v>
      </c>
      <c r="Z10" s="291">
        <f>'Main CEA'!Z35</f>
        <v>1.282417722</v>
      </c>
      <c r="AA10" s="291">
        <f>'Main CEA'!AA35</f>
        <v>1.282417722</v>
      </c>
      <c r="AB10" s="291">
        <f>'Main CEA'!AB35</f>
        <v>1.282417722</v>
      </c>
      <c r="AC10" s="291">
        <f>'Main CEA'!AC35</f>
        <v>1.282417722</v>
      </c>
      <c r="AD10" s="291">
        <f>'Main CEA'!AD35</f>
        <v>1.282417722</v>
      </c>
      <c r="AE10" s="291">
        <f>'Main CEA'!AE35</f>
        <v>1.282417722</v>
      </c>
      <c r="AF10" s="291">
        <f>'Main CEA'!AF35</f>
        <v>1.282417722</v>
      </c>
      <c r="AG10" s="291">
        <f>'Main CEA'!AG35</f>
        <v>2.136372</v>
      </c>
      <c r="AH10" s="291">
        <f>'Main CEA'!AH35</f>
        <v>2.136372</v>
      </c>
      <c r="AI10" s="291">
        <f>'Main CEA'!AI35</f>
        <v>1.5253</v>
      </c>
      <c r="AJ10" s="291">
        <f>'Main CEA'!AJ35</f>
        <v>1.424248</v>
      </c>
      <c r="AK10" s="295"/>
    </row>
    <row r="11">
      <c r="A11" s="101"/>
      <c r="B11" s="102"/>
      <c r="C11" s="109"/>
      <c r="D11" s="102"/>
      <c r="E11" s="598" t="s">
        <v>547</v>
      </c>
      <c r="F11" s="145" t="s">
        <v>101</v>
      </c>
      <c r="G11" s="145" t="s">
        <v>164</v>
      </c>
      <c r="H11" s="223" t="s">
        <v>165</v>
      </c>
      <c r="I11" s="153">
        <f t="shared" ref="I11:AJ11" si="1">IF(I7="-",$H7/I10,I7/I10)</f>
        <v>744706.2313</v>
      </c>
      <c r="J11" s="153">
        <f t="shared" si="1"/>
        <v>687003.8321</v>
      </c>
      <c r="K11" s="153">
        <f t="shared" si="1"/>
        <v>779777.1218</v>
      </c>
      <c r="L11" s="153">
        <f t="shared" si="1"/>
        <v>779777.1218</v>
      </c>
      <c r="M11" s="153">
        <f t="shared" si="1"/>
        <v>550903.648</v>
      </c>
      <c r="N11" s="153">
        <f t="shared" si="1"/>
        <v>779777.1218</v>
      </c>
      <c r="O11" s="153">
        <f t="shared" si="1"/>
        <v>779777.1218</v>
      </c>
      <c r="P11" s="153">
        <f t="shared" si="1"/>
        <v>1013443.16</v>
      </c>
      <c r="Q11" s="153">
        <f t="shared" si="1"/>
        <v>936448.0645</v>
      </c>
      <c r="R11" s="153">
        <f t="shared" si="1"/>
        <v>779777.1218</v>
      </c>
      <c r="S11" s="153">
        <f t="shared" si="1"/>
        <v>779777.1218</v>
      </c>
      <c r="T11" s="153">
        <f t="shared" si="1"/>
        <v>779777.1218</v>
      </c>
      <c r="U11" s="153">
        <f t="shared" si="1"/>
        <v>779777.1218</v>
      </c>
      <c r="V11" s="153">
        <f t="shared" si="1"/>
        <v>779777.1218</v>
      </c>
      <c r="W11" s="153">
        <f t="shared" si="1"/>
        <v>779777.1218</v>
      </c>
      <c r="X11" s="153">
        <f t="shared" si="1"/>
        <v>779777.1218</v>
      </c>
      <c r="Y11" s="153">
        <f t="shared" si="1"/>
        <v>779777.1218</v>
      </c>
      <c r="Z11" s="153">
        <f t="shared" si="1"/>
        <v>779777.1218</v>
      </c>
      <c r="AA11" s="153">
        <f t="shared" si="1"/>
        <v>779777.1218</v>
      </c>
      <c r="AB11" s="153">
        <f t="shared" si="1"/>
        <v>779777.1218</v>
      </c>
      <c r="AC11" s="153">
        <f t="shared" si="1"/>
        <v>779777.1218</v>
      </c>
      <c r="AD11" s="153">
        <f t="shared" si="1"/>
        <v>779777.1218</v>
      </c>
      <c r="AE11" s="153">
        <f t="shared" si="1"/>
        <v>779777.1218</v>
      </c>
      <c r="AF11" s="153">
        <f t="shared" si="1"/>
        <v>779777.1218</v>
      </c>
      <c r="AG11" s="153">
        <f t="shared" si="1"/>
        <v>468083.2739</v>
      </c>
      <c r="AH11" s="153">
        <f t="shared" si="1"/>
        <v>468083.2739</v>
      </c>
      <c r="AI11" s="153">
        <f t="shared" si="1"/>
        <v>655608.7327</v>
      </c>
      <c r="AJ11" s="153">
        <f t="shared" si="1"/>
        <v>702124.9108</v>
      </c>
      <c r="AK11" s="168"/>
    </row>
    <row r="12">
      <c r="A12" s="101"/>
      <c r="B12" s="102"/>
      <c r="C12" s="109"/>
      <c r="D12" s="102"/>
      <c r="E12" s="598" t="s">
        <v>549</v>
      </c>
      <c r="F12" s="145" t="s">
        <v>112</v>
      </c>
      <c r="G12" s="145" t="s">
        <v>213</v>
      </c>
      <c r="H12" s="316" t="str">
        <f>'Main CEA'!H41</f>
        <v>-</v>
      </c>
      <c r="I12" s="187">
        <f>'Main CEA'!I41</f>
        <v>0.25</v>
      </c>
      <c r="J12" s="187">
        <f>'Main CEA'!J41</f>
        <v>0.25</v>
      </c>
      <c r="K12" s="187">
        <f>'Main CEA'!K41</f>
        <v>0.25</v>
      </c>
      <c r="L12" s="187">
        <f>'Main CEA'!L41</f>
        <v>0.25</v>
      </c>
      <c r="M12" s="187">
        <f>'Main CEA'!M41</f>
        <v>0.25</v>
      </c>
      <c r="N12" s="187">
        <f>'Main CEA'!N41</f>
        <v>0.25</v>
      </c>
      <c r="O12" s="187">
        <f>'Main CEA'!O41</f>
        <v>0.44</v>
      </c>
      <c r="P12" s="187">
        <f>'Main CEA'!P41</f>
        <v>0.25</v>
      </c>
      <c r="Q12" s="187">
        <f>'Main CEA'!Q41</f>
        <v>0.25</v>
      </c>
      <c r="R12" s="187">
        <f>'Main CEA'!R41</f>
        <v>0.25</v>
      </c>
      <c r="S12" s="187">
        <f>'Main CEA'!S41</f>
        <v>0.25</v>
      </c>
      <c r="T12" s="187">
        <f>'Main CEA'!T41</f>
        <v>0.25</v>
      </c>
      <c r="U12" s="187">
        <f>'Main CEA'!U41</f>
        <v>0.25</v>
      </c>
      <c r="V12" s="187">
        <f>'Main CEA'!V41</f>
        <v>0.25</v>
      </c>
      <c r="W12" s="187">
        <f>'Main CEA'!W41</f>
        <v>0.25</v>
      </c>
      <c r="X12" s="187">
        <f>'Main CEA'!X41</f>
        <v>0.25</v>
      </c>
      <c r="Y12" s="187">
        <f>'Main CEA'!Y41</f>
        <v>0.25</v>
      </c>
      <c r="Z12" s="187">
        <f>'Main CEA'!Z41</f>
        <v>0.25</v>
      </c>
      <c r="AA12" s="187">
        <f>'Main CEA'!AA41</f>
        <v>0.25</v>
      </c>
      <c r="AB12" s="187">
        <f>'Main CEA'!AB41</f>
        <v>0.25</v>
      </c>
      <c r="AC12" s="187">
        <f>'Main CEA'!AC41</f>
        <v>0.25</v>
      </c>
      <c r="AD12" s="187">
        <f>'Main CEA'!AD41</f>
        <v>0.25</v>
      </c>
      <c r="AE12" s="187">
        <f>'Main CEA'!AE41</f>
        <v>0.25</v>
      </c>
      <c r="AF12" s="187">
        <f>'Main CEA'!AF41</f>
        <v>0.25</v>
      </c>
      <c r="AG12" s="187">
        <f>'Main CEA'!AG41</f>
        <v>0.25</v>
      </c>
      <c r="AH12" s="187">
        <f>'Main CEA'!AH41</f>
        <v>0.25</v>
      </c>
      <c r="AI12" s="187">
        <f>'Main CEA'!AI41</f>
        <v>0.25</v>
      </c>
      <c r="AJ12" s="187">
        <f>'Main CEA'!AJ41</f>
        <v>0.25</v>
      </c>
      <c r="AK12" s="168"/>
    </row>
    <row r="13">
      <c r="A13" s="101"/>
      <c r="B13" s="102"/>
      <c r="C13" s="109"/>
      <c r="D13" s="102"/>
      <c r="E13" s="598" t="s">
        <v>556</v>
      </c>
      <c r="F13" s="145" t="s">
        <v>101</v>
      </c>
      <c r="G13" s="145" t="s">
        <v>164</v>
      </c>
      <c r="H13" s="223" t="s">
        <v>165</v>
      </c>
      <c r="I13" s="153">
        <f t="shared" ref="I13:AJ13" si="2">I11*(1-I12)</f>
        <v>558529.6735</v>
      </c>
      <c r="J13" s="153">
        <f t="shared" si="2"/>
        <v>515252.8741</v>
      </c>
      <c r="K13" s="153">
        <f t="shared" si="2"/>
        <v>584832.8413</v>
      </c>
      <c r="L13" s="153">
        <f t="shared" si="2"/>
        <v>584832.8413</v>
      </c>
      <c r="M13" s="153">
        <f t="shared" si="2"/>
        <v>413177.736</v>
      </c>
      <c r="N13" s="153">
        <f t="shared" si="2"/>
        <v>584832.8413</v>
      </c>
      <c r="O13" s="153">
        <f t="shared" si="2"/>
        <v>436675.1882</v>
      </c>
      <c r="P13" s="153">
        <f t="shared" si="2"/>
        <v>760082.3699</v>
      </c>
      <c r="Q13" s="153">
        <f t="shared" si="2"/>
        <v>702336.0483</v>
      </c>
      <c r="R13" s="153">
        <f t="shared" si="2"/>
        <v>584832.8413</v>
      </c>
      <c r="S13" s="153">
        <f t="shared" si="2"/>
        <v>584832.8413</v>
      </c>
      <c r="T13" s="153">
        <f t="shared" si="2"/>
        <v>584832.8413</v>
      </c>
      <c r="U13" s="153">
        <f t="shared" si="2"/>
        <v>584832.8413</v>
      </c>
      <c r="V13" s="153">
        <f t="shared" si="2"/>
        <v>584832.8413</v>
      </c>
      <c r="W13" s="153">
        <f t="shared" si="2"/>
        <v>584832.8413</v>
      </c>
      <c r="X13" s="153">
        <f t="shared" si="2"/>
        <v>584832.8413</v>
      </c>
      <c r="Y13" s="153">
        <f t="shared" si="2"/>
        <v>584832.8413</v>
      </c>
      <c r="Z13" s="153">
        <f t="shared" si="2"/>
        <v>584832.8413</v>
      </c>
      <c r="AA13" s="153">
        <f t="shared" si="2"/>
        <v>584832.8413</v>
      </c>
      <c r="AB13" s="153">
        <f t="shared" si="2"/>
        <v>584832.8413</v>
      </c>
      <c r="AC13" s="153">
        <f t="shared" si="2"/>
        <v>584832.8413</v>
      </c>
      <c r="AD13" s="153">
        <f t="shared" si="2"/>
        <v>584832.8413</v>
      </c>
      <c r="AE13" s="153">
        <f t="shared" si="2"/>
        <v>584832.8413</v>
      </c>
      <c r="AF13" s="153">
        <f t="shared" si="2"/>
        <v>584832.8413</v>
      </c>
      <c r="AG13" s="153">
        <f t="shared" si="2"/>
        <v>351062.4554</v>
      </c>
      <c r="AH13" s="153">
        <f t="shared" si="2"/>
        <v>351062.4554</v>
      </c>
      <c r="AI13" s="153">
        <f t="shared" si="2"/>
        <v>491706.5495</v>
      </c>
      <c r="AJ13" s="153">
        <f t="shared" si="2"/>
        <v>526593.6831</v>
      </c>
      <c r="AK13" s="168"/>
    </row>
    <row r="14">
      <c r="A14" s="101"/>
      <c r="B14" s="102"/>
      <c r="C14" s="109"/>
      <c r="D14" s="102"/>
      <c r="E14" s="598" t="s">
        <v>558</v>
      </c>
      <c r="F14" s="145" t="s">
        <v>112</v>
      </c>
      <c r="G14" s="145" t="s">
        <v>213</v>
      </c>
      <c r="H14" s="223" t="s">
        <v>165</v>
      </c>
      <c r="I14" s="431">
        <f>'Main CEA'!I55</f>
        <v>0.01543581269</v>
      </c>
      <c r="J14" s="431">
        <f>'Main CEA'!J55</f>
        <v>0.007588106664</v>
      </c>
      <c r="K14" s="431">
        <f>'Main CEA'!K55</f>
        <v>0.007795854829</v>
      </c>
      <c r="L14" s="431">
        <f>'Main CEA'!L55</f>
        <v>0.006520100368</v>
      </c>
      <c r="M14" s="431">
        <f>'Main CEA'!M55</f>
        <v>0.01278698548</v>
      </c>
      <c r="N14" s="431">
        <f>'Main CEA'!N55</f>
        <v>0.003466406111</v>
      </c>
      <c r="O14" s="431">
        <f>'Main CEA'!O55</f>
        <v>0.006879944324</v>
      </c>
      <c r="P14" s="431">
        <f>'Main CEA'!P55</f>
        <v>0.01588123004</v>
      </c>
      <c r="Q14" s="431">
        <f>'Main CEA'!Q55</f>
        <v>0.01761109049</v>
      </c>
      <c r="R14" s="431">
        <f>'Main CEA'!R55</f>
        <v>0.01411382925</v>
      </c>
      <c r="S14" s="431">
        <f>'Main CEA'!S55</f>
        <v>0.00559969822</v>
      </c>
      <c r="T14" s="431">
        <f>'Main CEA'!T55</f>
        <v>0.003966311828</v>
      </c>
      <c r="U14" s="431">
        <f>'Main CEA'!U55</f>
        <v>0.008786834442</v>
      </c>
      <c r="V14" s="431">
        <f>'Main CEA'!V55</f>
        <v>0.007377865941</v>
      </c>
      <c r="W14" s="431">
        <f>'Main CEA'!W55</f>
        <v>0.009159672463</v>
      </c>
      <c r="X14" s="431">
        <f>'Main CEA'!X55</f>
        <v>0.005616928291</v>
      </c>
      <c r="Y14" s="431">
        <f>'Main CEA'!Y55</f>
        <v>0.006577533704</v>
      </c>
      <c r="Z14" s="431">
        <f>'Main CEA'!Z55</f>
        <v>0.003893455107</v>
      </c>
      <c r="AA14" s="431">
        <f>'Main CEA'!AA55</f>
        <v>0.004793341674</v>
      </c>
      <c r="AB14" s="431">
        <f>'Main CEA'!AB55</f>
        <v>0.008795466362</v>
      </c>
      <c r="AC14" s="431">
        <f>'Main CEA'!AC55</f>
        <v>0.005790887862</v>
      </c>
      <c r="AD14" s="431">
        <f>'Main CEA'!AD55</f>
        <v>0.0035747515</v>
      </c>
      <c r="AE14" s="431">
        <f>'Main CEA'!AE55</f>
        <v>0.007691314662</v>
      </c>
      <c r="AF14" s="431">
        <f>'Main CEA'!AF55</f>
        <v>0.01541046111</v>
      </c>
      <c r="AG14" s="431">
        <f>'Main CEA'!AG55</f>
        <v>0.005588155257</v>
      </c>
      <c r="AH14" s="431">
        <f>'Main CEA'!AH55</f>
        <v>0.01587165981</v>
      </c>
      <c r="AI14" s="431">
        <f>'Main CEA'!AI55</f>
        <v>0.007467940526</v>
      </c>
      <c r="AJ14" s="431">
        <f>'Main CEA'!AJ55</f>
        <v>0.005978099296</v>
      </c>
      <c r="AK14" s="433"/>
    </row>
    <row r="15">
      <c r="A15" s="101"/>
      <c r="B15" s="102"/>
      <c r="C15" s="109"/>
      <c r="D15" s="102"/>
      <c r="E15" s="598" t="s">
        <v>563</v>
      </c>
      <c r="F15" s="145" t="s">
        <v>112</v>
      </c>
      <c r="G15" s="145" t="s">
        <v>213</v>
      </c>
      <c r="H15" s="223" t="str">
        <f>'Main CEA'!H$56</f>
        <v>-</v>
      </c>
      <c r="I15" s="427">
        <f>'Main CEA'!I52</f>
        <v>0.06418487839</v>
      </c>
      <c r="J15" s="427">
        <f>'Main CEA'!J52</f>
        <v>0.1084006136</v>
      </c>
      <c r="K15" s="427">
        <f>'Main CEA'!K52</f>
        <v>0.05252285309</v>
      </c>
      <c r="L15" s="427">
        <f>'Main CEA'!L52</f>
        <v>0.09733968501</v>
      </c>
      <c r="M15" s="427">
        <f>'Main CEA'!M52</f>
        <v>0.05933184692</v>
      </c>
      <c r="N15" s="427">
        <f>'Main CEA'!N52</f>
        <v>0.06335750418</v>
      </c>
      <c r="O15" s="427">
        <f>'Main CEA'!O52</f>
        <v>0.1214627135</v>
      </c>
      <c r="P15" s="427">
        <f>'Main CEA'!P52</f>
        <v>0.07269667889</v>
      </c>
      <c r="Q15" s="427">
        <f>'Main CEA'!Q52</f>
        <v>0.1192188434</v>
      </c>
      <c r="R15" s="427">
        <f>'Main CEA'!R52</f>
        <v>0.06094937633</v>
      </c>
      <c r="S15" s="427">
        <f>'Main CEA'!S52</f>
        <v>0.0331203195</v>
      </c>
      <c r="T15" s="427">
        <f>'Main CEA'!T52</f>
        <v>0.02574976582</v>
      </c>
      <c r="U15" s="427">
        <f>'Main CEA'!U52</f>
        <v>0.04412402664</v>
      </c>
      <c r="V15" s="427">
        <f>'Main CEA'!V52</f>
        <v>0.02934105639</v>
      </c>
      <c r="W15" s="427">
        <f>'Main CEA'!W52</f>
        <v>0.05955477798</v>
      </c>
      <c r="X15" s="427">
        <f>'Main CEA'!X52</f>
        <v>0.028786826</v>
      </c>
      <c r="Y15" s="427">
        <f>'Main CEA'!Y52</f>
        <v>0.0371011226</v>
      </c>
      <c r="Z15" s="427">
        <f>'Main CEA'!Z52</f>
        <v>0.03486095153</v>
      </c>
      <c r="AA15" s="427">
        <f>'Main CEA'!AA52</f>
        <v>0.03683074522</v>
      </c>
      <c r="AB15" s="427">
        <f>'Main CEA'!AB52</f>
        <v>0.05508425133</v>
      </c>
      <c r="AC15" s="427">
        <f>'Main CEA'!AC52</f>
        <v>0.03485718392</v>
      </c>
      <c r="AD15" s="427">
        <f>'Main CEA'!AD52</f>
        <v>0.02881675545</v>
      </c>
      <c r="AE15" s="427">
        <f>'Main CEA'!AE52</f>
        <v>0.04093717916</v>
      </c>
      <c r="AF15" s="427">
        <f>'Main CEA'!AF52</f>
        <v>0.07501954197</v>
      </c>
      <c r="AG15" s="427">
        <f>'Main CEA'!AG52</f>
        <v>0.07193930445</v>
      </c>
      <c r="AH15" s="427">
        <f>'Main CEA'!AH52</f>
        <v>0.1202372686</v>
      </c>
      <c r="AI15" s="427">
        <f>'Main CEA'!AI52</f>
        <v>0.1132996133</v>
      </c>
      <c r="AJ15" s="427">
        <f>'Main CEA'!AJ52</f>
        <v>0.05693112903</v>
      </c>
      <c r="AK15" s="429"/>
    </row>
    <row r="16">
      <c r="A16" s="101"/>
      <c r="B16" s="102"/>
      <c r="C16" s="109"/>
      <c r="D16" s="102"/>
      <c r="E16" s="610" t="s">
        <v>566</v>
      </c>
      <c r="F16" s="176" t="s">
        <v>101</v>
      </c>
      <c r="G16" s="176" t="s">
        <v>164</v>
      </c>
      <c r="H16" s="235" t="s">
        <v>165</v>
      </c>
      <c r="I16" s="200">
        <f t="shared" ref="I16:AJ16" si="3">I13*I14*I15</f>
        <v>553.3609059</v>
      </c>
      <c r="J16" s="200">
        <f t="shared" si="3"/>
        <v>423.8240432</v>
      </c>
      <c r="K16" s="200">
        <f t="shared" si="3"/>
        <v>239.4659698</v>
      </c>
      <c r="L16" s="200">
        <f t="shared" si="3"/>
        <v>371.1726522</v>
      </c>
      <c r="M16" s="200">
        <f t="shared" si="3"/>
        <v>313.4678109</v>
      </c>
      <c r="N16" s="200">
        <f t="shared" si="3"/>
        <v>128.4426493</v>
      </c>
      <c r="O16" s="200">
        <f t="shared" si="3"/>
        <v>364.9105494</v>
      </c>
      <c r="P16" s="200">
        <f t="shared" si="3"/>
        <v>877.5247342</v>
      </c>
      <c r="Q16" s="200">
        <f t="shared" si="3"/>
        <v>1474.606393</v>
      </c>
      <c r="R16" s="200">
        <f t="shared" si="3"/>
        <v>503.0902231</v>
      </c>
      <c r="S16" s="200">
        <f t="shared" si="3"/>
        <v>108.4653177</v>
      </c>
      <c r="T16" s="200">
        <f t="shared" si="3"/>
        <v>59.72991425</v>
      </c>
      <c r="U16" s="200">
        <f t="shared" si="3"/>
        <v>226.7458432</v>
      </c>
      <c r="V16" s="200">
        <f t="shared" si="3"/>
        <v>126.6013271</v>
      </c>
      <c r="W16" s="200">
        <f t="shared" si="3"/>
        <v>319.0276366</v>
      </c>
      <c r="X16" s="200">
        <f t="shared" si="3"/>
        <v>94.5636909</v>
      </c>
      <c r="Y16" s="200">
        <f t="shared" si="3"/>
        <v>142.71903</v>
      </c>
      <c r="Z16" s="200">
        <f t="shared" si="3"/>
        <v>79.37909823</v>
      </c>
      <c r="AA16" s="200">
        <f t="shared" si="3"/>
        <v>103.2477618</v>
      </c>
      <c r="AB16" s="200">
        <f t="shared" si="3"/>
        <v>283.3466456</v>
      </c>
      <c r="AC16" s="200">
        <f t="shared" si="3"/>
        <v>118.0508736</v>
      </c>
      <c r="AD16" s="200">
        <f t="shared" si="3"/>
        <v>60.24523331</v>
      </c>
      <c r="AE16" s="200">
        <f t="shared" si="3"/>
        <v>184.1408932</v>
      </c>
      <c r="AF16" s="200">
        <f t="shared" si="3"/>
        <v>676.1169046</v>
      </c>
      <c r="AG16" s="200">
        <f t="shared" si="3"/>
        <v>141.1299164</v>
      </c>
      <c r="AH16" s="200">
        <f t="shared" si="3"/>
        <v>669.9553111</v>
      </c>
      <c r="AI16" s="200">
        <f t="shared" si="3"/>
        <v>416.0401757</v>
      </c>
      <c r="AJ16" s="200">
        <f t="shared" si="3"/>
        <v>179.2208638</v>
      </c>
      <c r="AK16" s="207"/>
    </row>
    <row r="17">
      <c r="A17" s="101"/>
      <c r="B17" s="102"/>
      <c r="C17" s="109"/>
      <c r="D17" s="102"/>
      <c r="E17" s="440"/>
      <c r="F17" s="132"/>
      <c r="G17" s="132"/>
      <c r="H17" s="712"/>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7"/>
    </row>
    <row r="18">
      <c r="A18" s="101"/>
      <c r="B18" s="102"/>
      <c r="C18" s="109" t="s">
        <v>568</v>
      </c>
      <c r="F18" s="132"/>
      <c r="G18" s="132"/>
      <c r="H18" s="712"/>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7"/>
    </row>
    <row r="19">
      <c r="A19" s="101"/>
      <c r="B19" s="102"/>
      <c r="C19" s="109"/>
      <c r="D19" s="102"/>
      <c r="E19" s="396" t="s">
        <v>569</v>
      </c>
      <c r="F19" s="114" t="s">
        <v>108</v>
      </c>
      <c r="G19" s="114" t="s">
        <v>164</v>
      </c>
      <c r="H19" s="256" t="s">
        <v>165</v>
      </c>
      <c r="I19" s="297">
        <f t="shared" ref="I19:AJ19" si="4">IF(I7="-",$H7/I16,I7/I16)</f>
        <v>1807.138866</v>
      </c>
      <c r="J19" s="297">
        <f t="shared" si="4"/>
        <v>2359.469728</v>
      </c>
      <c r="K19" s="297">
        <f t="shared" si="4"/>
        <v>4175.9587</v>
      </c>
      <c r="L19" s="297">
        <f t="shared" si="4"/>
        <v>2694.164007</v>
      </c>
      <c r="M19" s="297">
        <f t="shared" si="4"/>
        <v>3190.120214</v>
      </c>
      <c r="N19" s="297">
        <f t="shared" si="4"/>
        <v>7785.575937</v>
      </c>
      <c r="O19" s="297">
        <f t="shared" si="4"/>
        <v>2740.397617</v>
      </c>
      <c r="P19" s="297">
        <f t="shared" si="4"/>
        <v>1139.569018</v>
      </c>
      <c r="Q19" s="297">
        <f t="shared" si="4"/>
        <v>678.1470666</v>
      </c>
      <c r="R19" s="297">
        <f t="shared" si="4"/>
        <v>1987.715034</v>
      </c>
      <c r="S19" s="297">
        <f t="shared" si="4"/>
        <v>9219.53691</v>
      </c>
      <c r="T19" s="297">
        <f t="shared" si="4"/>
        <v>16742.02973</v>
      </c>
      <c r="U19" s="297">
        <f t="shared" si="4"/>
        <v>4410.224177</v>
      </c>
      <c r="V19" s="297">
        <f t="shared" si="4"/>
        <v>7898.811357</v>
      </c>
      <c r="W19" s="297">
        <f t="shared" si="4"/>
        <v>3134.524678</v>
      </c>
      <c r="X19" s="297">
        <f t="shared" si="4"/>
        <v>10574.88335</v>
      </c>
      <c r="Y19" s="297">
        <f t="shared" si="4"/>
        <v>7006.774081</v>
      </c>
      <c r="Z19" s="297">
        <f t="shared" si="4"/>
        <v>12597.77476</v>
      </c>
      <c r="AA19" s="297">
        <f t="shared" si="4"/>
        <v>9685.439982</v>
      </c>
      <c r="AB19" s="297">
        <f t="shared" si="4"/>
        <v>3529.245945</v>
      </c>
      <c r="AC19" s="297">
        <f t="shared" si="4"/>
        <v>8470.92418</v>
      </c>
      <c r="AD19" s="297">
        <f t="shared" si="4"/>
        <v>16598.82359</v>
      </c>
      <c r="AE19" s="297">
        <f t="shared" si="4"/>
        <v>5430.624251</v>
      </c>
      <c r="AF19" s="297">
        <f t="shared" si="4"/>
        <v>1479.034163</v>
      </c>
      <c r="AG19" s="297">
        <f t="shared" si="4"/>
        <v>7085.669895</v>
      </c>
      <c r="AH19" s="297">
        <f t="shared" si="4"/>
        <v>1492.636872</v>
      </c>
      <c r="AI19" s="297">
        <f t="shared" si="4"/>
        <v>2403.614022</v>
      </c>
      <c r="AJ19" s="297">
        <f t="shared" si="4"/>
        <v>5579.707512</v>
      </c>
      <c r="AK19" s="306"/>
    </row>
    <row r="20">
      <c r="A20" s="101"/>
      <c r="B20" s="102"/>
      <c r="C20" s="109"/>
      <c r="D20" s="102"/>
      <c r="E20" s="598" t="s">
        <v>571</v>
      </c>
      <c r="F20" s="145" t="s">
        <v>116</v>
      </c>
      <c r="G20" s="145" t="s">
        <v>213</v>
      </c>
      <c r="H20" s="485">
        <f>'Main CEA'!H$69</f>
        <v>118.73259</v>
      </c>
      <c r="I20" s="464" t="str">
        <f>'Main CEA'!I$69</f>
        <v>-</v>
      </c>
      <c r="J20" s="464" t="str">
        <f>'Main CEA'!J$69</f>
        <v>-</v>
      </c>
      <c r="K20" s="464" t="str">
        <f>'Main CEA'!K$69</f>
        <v>-</v>
      </c>
      <c r="L20" s="464" t="str">
        <f>'Main CEA'!L$69</f>
        <v>-</v>
      </c>
      <c r="M20" s="464" t="str">
        <f>'Main CEA'!M$69</f>
        <v>-</v>
      </c>
      <c r="N20" s="464" t="str">
        <f>'Main CEA'!N$69</f>
        <v>-</v>
      </c>
      <c r="O20" s="464" t="str">
        <f>'Main CEA'!O$69</f>
        <v>-</v>
      </c>
      <c r="P20" s="464" t="str">
        <f>'Main CEA'!P$69</f>
        <v>-</v>
      </c>
      <c r="Q20" s="464" t="str">
        <f>'Main CEA'!Q$69</f>
        <v>-</v>
      </c>
      <c r="R20" s="464" t="str">
        <f>'Main CEA'!R$69</f>
        <v>-</v>
      </c>
      <c r="S20" s="464" t="str">
        <f>'Main CEA'!S$69</f>
        <v>-</v>
      </c>
      <c r="T20" s="464" t="str">
        <f>'Main CEA'!T$69</f>
        <v>-</v>
      </c>
      <c r="U20" s="464" t="str">
        <f>'Main CEA'!U$69</f>
        <v>-</v>
      </c>
      <c r="V20" s="464" t="str">
        <f>'Main CEA'!V$69</f>
        <v>-</v>
      </c>
      <c r="W20" s="464" t="str">
        <f>'Main CEA'!W$69</f>
        <v>-</v>
      </c>
      <c r="X20" s="464" t="str">
        <f>'Main CEA'!X$69</f>
        <v>-</v>
      </c>
      <c r="Y20" s="464" t="str">
        <f>'Main CEA'!Y$69</f>
        <v>-</v>
      </c>
      <c r="Z20" s="464" t="str">
        <f>'Main CEA'!Z$69</f>
        <v>-</v>
      </c>
      <c r="AA20" s="464" t="str">
        <f>'Main CEA'!AA$69</f>
        <v>-</v>
      </c>
      <c r="AB20" s="464" t="str">
        <f>'Main CEA'!AB$69</f>
        <v>-</v>
      </c>
      <c r="AC20" s="464" t="str">
        <f>'Main CEA'!AC$69</f>
        <v>-</v>
      </c>
      <c r="AD20" s="464" t="str">
        <f>'Main CEA'!AD$69</f>
        <v>-</v>
      </c>
      <c r="AE20" s="464" t="str">
        <f>'Main CEA'!AE$69</f>
        <v>-</v>
      </c>
      <c r="AF20" s="464" t="str">
        <f>'Main CEA'!AF$69</f>
        <v>-</v>
      </c>
      <c r="AG20" s="464" t="str">
        <f>'Main CEA'!AG$69</f>
        <v>-</v>
      </c>
      <c r="AH20" s="464" t="str">
        <f>'Main CEA'!AH$69</f>
        <v>-</v>
      </c>
      <c r="AI20" s="464" t="str">
        <f>'Main CEA'!AI$69</f>
        <v>-</v>
      </c>
      <c r="AJ20" s="464" t="str">
        <f>'Main CEA'!AJ$69</f>
        <v>-</v>
      </c>
      <c r="AK20" s="474"/>
    </row>
    <row r="21">
      <c r="A21" s="101"/>
      <c r="B21" s="102"/>
      <c r="C21" s="109"/>
      <c r="D21" s="102"/>
      <c r="E21" s="909" t="s">
        <v>574</v>
      </c>
      <c r="F21" s="809" t="s">
        <v>118</v>
      </c>
      <c r="G21" s="809" t="s">
        <v>164</v>
      </c>
      <c r="H21" s="911" t="s">
        <v>165</v>
      </c>
      <c r="I21" s="812">
        <f>IF(I7="-",((I16*$H20)/$H7)/'Main CEA'!$H$94,((I16*$H20)/I7)/'Main CEA'!$H$94)</f>
        <v>19.73032239</v>
      </c>
      <c r="J21" s="812">
        <f>IF(J7="-",((J16*$H20)/$H7)/'Main CEA'!$H$94,((J16*$H20)/J7)/'Main CEA'!$H$94)</f>
        <v>15.11162954</v>
      </c>
      <c r="K21" s="812">
        <f>IF(K7="-",((K16*$H20)/$H7)/'Main CEA'!$H$94,((K16*$H20)/K7)/'Main CEA'!$H$94)</f>
        <v>8.538262706</v>
      </c>
      <c r="L21" s="812">
        <f>IF(L7="-",((L16*$H20)/$H7)/'Main CEA'!$H$94,((L16*$H20)/L7)/'Main CEA'!$H$94)</f>
        <v>13.23432142</v>
      </c>
      <c r="M21" s="812">
        <f>IF(M7="-",((M16*$H20)/$H7)/'Main CEA'!$H$94,((M16*$H20)/M7)/'Main CEA'!$H$94)</f>
        <v>11.17683035</v>
      </c>
      <c r="N21" s="812">
        <f>IF(N7="-",((N16*$H20)/$H7)/'Main CEA'!$H$94,((N16*$H20)/N7)/'Main CEA'!$H$94)</f>
        <v>4.579678205</v>
      </c>
      <c r="O21" s="812">
        <f>IF(O7="-",((O16*$H20)/$H7)/'Main CEA'!$H$94,((O16*$H20)/O7)/'Main CEA'!$H$94)</f>
        <v>13.01104344</v>
      </c>
      <c r="P21" s="812">
        <f>IF(P7="-",((P16*$H20)/$H7)/'Main CEA'!$H$94,((P16*$H20)/P7)/'Main CEA'!$H$94)</f>
        <v>31.28852387</v>
      </c>
      <c r="Q21" s="812">
        <f>IF(Q7="-",((Q16*$H20)/$H7)/'Main CEA'!$H$94,((Q16*$H20)/Q7)/'Main CEA'!$H$94)</f>
        <v>52.57772862</v>
      </c>
      <c r="R21" s="812">
        <f>IF(R7="-",((R16*$H20)/$H7)/'Main CEA'!$H$94,((R16*$H20)/R7)/'Main CEA'!$H$94)</f>
        <v>17.93789946</v>
      </c>
      <c r="S21" s="812">
        <f>IF(S7="-",((S16*$H20)/$H7)/'Main CEA'!$H$94,((S16*$H20)/S7)/'Main CEA'!$H$94)</f>
        <v>3.867377807</v>
      </c>
      <c r="T21" s="812">
        <f>IF(T7="-",((T16*$H20)/$H7)/'Main CEA'!$H$94,((T16*$H20)/T7)/'Main CEA'!$H$94)</f>
        <v>2.129695922</v>
      </c>
      <c r="U21" s="812">
        <f>IF(U7="-",((U16*$H20)/$H7)/'Main CEA'!$H$94,((U16*$H20)/U7)/'Main CEA'!$H$94)</f>
        <v>8.084721093</v>
      </c>
      <c r="V21" s="812">
        <f>IF(V7="-",((V16*$H20)/$H7)/'Main CEA'!$H$94,((V16*$H20)/V7)/'Main CEA'!$H$94)</f>
        <v>4.514025063</v>
      </c>
      <c r="W21" s="812">
        <f>IF(W7="-",((W16*$H20)/$H7)/'Main CEA'!$H$94,((W16*$H20)/W7)/'Main CEA'!$H$94)</f>
        <v>11.37506834</v>
      </c>
      <c r="X21" s="812">
        <f>IF(X7="-",((X16*$H20)/$H7)/'Main CEA'!$H$94,((X16*$H20)/X7)/'Main CEA'!$H$94)</f>
        <v>3.371709291</v>
      </c>
      <c r="Y21" s="812">
        <f>IF(Y7="-",((Y16*$H20)/$H7)/'Main CEA'!$H$94,((Y16*$H20)/Y7)/'Main CEA'!$H$94)</f>
        <v>5.08870873</v>
      </c>
      <c r="Z21" s="812">
        <f>IF(Z7="-",((Z16*$H20)/$H7)/'Main CEA'!$H$94,((Z16*$H20)/Z7)/'Main CEA'!$H$94)</f>
        <v>2.830296074</v>
      </c>
      <c r="AA21" s="812">
        <f>IF(AA7="-",((AA16*$H20)/$H7)/'Main CEA'!$H$94,((AA16*$H20)/AA7)/'Main CEA'!$H$94)</f>
        <v>3.681343594</v>
      </c>
      <c r="AB21" s="812">
        <f>IF(AB7="-",((AB16*$H20)/$H7)/'Main CEA'!$H$94,((AB16*$H20)/AB7)/'Main CEA'!$H$94)</f>
        <v>10.10284718</v>
      </c>
      <c r="AC21" s="812">
        <f>IF(AC7="-",((AC16*$H20)/$H7)/'Main CEA'!$H$94,((AC16*$H20)/AC7)/'Main CEA'!$H$94)</f>
        <v>4.209154949</v>
      </c>
      <c r="AD21" s="812">
        <f>IF(AD7="-",((AD16*$H20)/$H7)/'Main CEA'!$H$94,((AD16*$H20)/AD7)/'Main CEA'!$H$94)</f>
        <v>2.148069846</v>
      </c>
      <c r="AE21" s="812">
        <f>IF(AE7="-",((AE16*$H20)/$H7)/'Main CEA'!$H$94,((AE16*$H20)/AE7)/'Main CEA'!$H$94)</f>
        <v>6.565623174</v>
      </c>
      <c r="AF21" s="812">
        <f>IF(AF7="-",((AF16*$H20)/$H7)/'Main CEA'!$H$94,((AF16*$H20)/AF7)/'Main CEA'!$H$94)</f>
        <v>24.10724061</v>
      </c>
      <c r="AG21" s="812">
        <f>IF(AG7="-",((AG16*$H20)/$H7)/'Main CEA'!$H$94,((AG16*$H20)/AG7)/'Main CEA'!$H$94)</f>
        <v>5.032048199</v>
      </c>
      <c r="AH21" s="812">
        <f>IF(AH7="-",((AH16*$H20)/$H7)/'Main CEA'!$H$94,((AH16*$H20)/AH7)/'Main CEA'!$H$94)</f>
        <v>23.88754633</v>
      </c>
      <c r="AI21" s="812">
        <f>IF(AI7="-",((AI16*$H20)/$H7)/'Main CEA'!$H$94,((AI16*$H20)/AI7)/'Main CEA'!$H$94)</f>
        <v>14.83409237</v>
      </c>
      <c r="AJ21" s="812">
        <f>IF(AJ7="-",((AJ16*$H20)/$H7)/'Main CEA'!$H$94,((AJ16*$H20)/AJ7)/'Main CEA'!$H$94)</f>
        <v>6.390197399</v>
      </c>
      <c r="AK21" s="816"/>
    </row>
    <row r="22">
      <c r="A22" s="101"/>
      <c r="B22" s="102"/>
      <c r="C22" s="109"/>
      <c r="D22" s="102"/>
      <c r="E22" s="440"/>
      <c r="F22" s="132"/>
      <c r="G22" s="132"/>
      <c r="H22" s="105"/>
      <c r="I22" s="106"/>
      <c r="J22" s="866"/>
      <c r="K22" s="866"/>
      <c r="L22" s="866"/>
      <c r="M22" s="866"/>
      <c r="N22" s="866"/>
      <c r="O22" s="866"/>
      <c r="P22" s="866"/>
      <c r="Q22" s="866"/>
      <c r="R22" s="866"/>
      <c r="S22" s="866"/>
      <c r="T22" s="866"/>
      <c r="U22" s="866"/>
      <c r="V22" s="866"/>
      <c r="W22" s="866"/>
      <c r="X22" s="866"/>
      <c r="Y22" s="866"/>
      <c r="Z22" s="866"/>
      <c r="AA22" s="866"/>
      <c r="AB22" s="866"/>
      <c r="AC22" s="866"/>
      <c r="AD22" s="866"/>
      <c r="AE22" s="866"/>
      <c r="AF22" s="866"/>
      <c r="AG22" s="866"/>
      <c r="AH22" s="866"/>
      <c r="AI22" s="866"/>
      <c r="AJ22" s="866"/>
      <c r="AK22" s="867"/>
    </row>
    <row r="23" hidden="1">
      <c r="A23" s="101"/>
      <c r="B23" s="102"/>
      <c r="C23" s="109" t="s">
        <v>577</v>
      </c>
      <c r="F23" s="132"/>
      <c r="G23" s="132"/>
      <c r="H23" s="105"/>
      <c r="AK23" s="714"/>
    </row>
    <row r="24" hidden="1">
      <c r="A24" s="101"/>
      <c r="B24" s="102"/>
      <c r="C24" s="109"/>
      <c r="D24" s="102"/>
      <c r="E24" s="403" t="s">
        <v>578</v>
      </c>
      <c r="F24" s="121" t="s">
        <v>112</v>
      </c>
      <c r="G24" s="121" t="s">
        <v>213</v>
      </c>
      <c r="H24" s="249" t="s">
        <v>165</v>
      </c>
      <c r="I24" s="675">
        <f>'Main CEA'!I88/'Main CEA'!I87</f>
        <v>0.245176</v>
      </c>
      <c r="J24" s="675">
        <f>'Main CEA'!J88/'Main CEA'!J87</f>
        <v>0.245176</v>
      </c>
      <c r="K24" s="675">
        <f>'Main CEA'!K88/'Main CEA'!K87</f>
        <v>0.245176</v>
      </c>
      <c r="L24" s="675">
        <f>'Main CEA'!L88/'Main CEA'!L87</f>
        <v>0.245176</v>
      </c>
      <c r="M24" s="675">
        <f>'Main CEA'!M88/'Main CEA'!M87</f>
        <v>0.245176</v>
      </c>
      <c r="N24" s="675">
        <f>'Main CEA'!N88/'Main CEA'!N87</f>
        <v>0.245176</v>
      </c>
      <c r="O24" s="675">
        <f>'Main CEA'!O88/'Main CEA'!O87</f>
        <v>0.245176</v>
      </c>
      <c r="P24" s="675">
        <f>'Main CEA'!P88/'Main CEA'!P87</f>
        <v>0.245176</v>
      </c>
      <c r="Q24" s="675">
        <f>'Main CEA'!Q88/'Main CEA'!Q87</f>
        <v>0.245176</v>
      </c>
      <c r="R24" s="675">
        <f>'Main CEA'!R88/'Main CEA'!R87</f>
        <v>0.245176</v>
      </c>
      <c r="S24" s="675">
        <f>'Main CEA'!S88/'Main CEA'!S87</f>
        <v>0.245176</v>
      </c>
      <c r="T24" s="675">
        <f>'Main CEA'!T88/'Main CEA'!T87</f>
        <v>0.245176</v>
      </c>
      <c r="U24" s="675">
        <f>'Main CEA'!U88/'Main CEA'!U87</f>
        <v>0.245176</v>
      </c>
      <c r="V24" s="675">
        <f>'Main CEA'!V88/'Main CEA'!V87</f>
        <v>0.245176</v>
      </c>
      <c r="W24" s="675">
        <f>'Main CEA'!W88/'Main CEA'!W87</f>
        <v>0.245176</v>
      </c>
      <c r="X24" s="675">
        <f>'Main CEA'!X88/'Main CEA'!X87</f>
        <v>0.245176</v>
      </c>
      <c r="Y24" s="675">
        <f>'Main CEA'!Y88/'Main CEA'!Y87</f>
        <v>0.245176</v>
      </c>
      <c r="Z24" s="675">
        <f>'Main CEA'!Z88/'Main CEA'!Z87</f>
        <v>0.245176</v>
      </c>
      <c r="AA24" s="675">
        <f>'Main CEA'!AA88/'Main CEA'!AA87</f>
        <v>0.245176</v>
      </c>
      <c r="AB24" s="675">
        <f>'Main CEA'!AB88/'Main CEA'!AB87</f>
        <v>0.245176</v>
      </c>
      <c r="AC24" s="675">
        <f>'Main CEA'!AC88/'Main CEA'!AC87</f>
        <v>0.245176</v>
      </c>
      <c r="AD24" s="675">
        <f>'Main CEA'!AD88/'Main CEA'!AD87</f>
        <v>0.245176</v>
      </c>
      <c r="AE24" s="675">
        <f>'Main CEA'!AE88/'Main CEA'!AE87</f>
        <v>0.245176</v>
      </c>
      <c r="AF24" s="675">
        <f>'Main CEA'!AF88/'Main CEA'!AF87</f>
        <v>0.245176</v>
      </c>
      <c r="AG24" s="675">
        <f>'Main CEA'!AG88/'Main CEA'!AG87</f>
        <v>0.245176</v>
      </c>
      <c r="AH24" s="675">
        <f>'Main CEA'!AH88/'Main CEA'!AH87</f>
        <v>0.245176</v>
      </c>
      <c r="AI24" s="675">
        <f>'Main CEA'!AI88/'Main CEA'!AI87</f>
        <v>0.245176</v>
      </c>
      <c r="AJ24" s="675">
        <f>'Main CEA'!AJ88/'Main CEA'!AJ87</f>
        <v>0.245176</v>
      </c>
      <c r="AK24" s="679"/>
    </row>
    <row r="25" hidden="1">
      <c r="A25" s="101"/>
      <c r="B25" s="102"/>
      <c r="C25" s="109"/>
      <c r="D25" s="102"/>
      <c r="E25" s="440"/>
      <c r="F25" s="132"/>
      <c r="G25" s="132"/>
      <c r="H25" s="105"/>
      <c r="I25" s="106"/>
      <c r="J25" s="866"/>
      <c r="K25" s="866"/>
      <c r="L25" s="866"/>
      <c r="M25" s="866"/>
      <c r="N25" s="866"/>
      <c r="O25" s="866"/>
      <c r="P25" s="866"/>
      <c r="Q25" s="866"/>
      <c r="R25" s="866"/>
      <c r="S25" s="866"/>
      <c r="T25" s="866"/>
      <c r="U25" s="866"/>
      <c r="V25" s="866"/>
      <c r="W25" s="866"/>
      <c r="X25" s="866"/>
      <c r="Y25" s="866"/>
      <c r="Z25" s="866"/>
      <c r="AA25" s="866"/>
      <c r="AB25" s="866"/>
      <c r="AC25" s="866"/>
      <c r="AD25" s="866"/>
      <c r="AE25" s="866"/>
      <c r="AF25" s="866"/>
      <c r="AG25" s="866"/>
      <c r="AH25" s="866"/>
      <c r="AI25" s="866"/>
      <c r="AJ25" s="866"/>
      <c r="AK25" s="867"/>
    </row>
    <row r="26">
      <c r="A26" s="101"/>
      <c r="B26" s="102"/>
      <c r="C26" s="109" t="s">
        <v>584</v>
      </c>
      <c r="F26" s="132"/>
      <c r="G26" s="132"/>
      <c r="H26" s="105"/>
      <c r="AK26" s="714"/>
    </row>
    <row r="27">
      <c r="A27" s="101"/>
      <c r="B27" s="102"/>
      <c r="C27" s="109"/>
      <c r="D27" s="102"/>
      <c r="E27" s="396" t="s">
        <v>585</v>
      </c>
      <c r="F27" s="114" t="s">
        <v>112</v>
      </c>
      <c r="G27" s="114" t="s">
        <v>213</v>
      </c>
      <c r="H27" s="256" t="s">
        <v>165</v>
      </c>
      <c r="I27" s="166">
        <f t="shared" ref="I27:AJ27" si="5">1-I28</f>
        <v>0.8030993209</v>
      </c>
      <c r="J27" s="166">
        <f t="shared" si="5"/>
        <v>0.8030993209</v>
      </c>
      <c r="K27" s="166">
        <f t="shared" si="5"/>
        <v>0.8030993209</v>
      </c>
      <c r="L27" s="166">
        <f t="shared" si="5"/>
        <v>0.8030993209</v>
      </c>
      <c r="M27" s="166">
        <f t="shared" si="5"/>
        <v>0.8030993209</v>
      </c>
      <c r="N27" s="166">
        <f t="shared" si="5"/>
        <v>0.8030993209</v>
      </c>
      <c r="O27" s="166">
        <f t="shared" si="5"/>
        <v>0.8030993209</v>
      </c>
      <c r="P27" s="166">
        <f t="shared" si="5"/>
        <v>0.8030993209</v>
      </c>
      <c r="Q27" s="166">
        <f t="shared" si="5"/>
        <v>0.8030993209</v>
      </c>
      <c r="R27" s="166">
        <f t="shared" si="5"/>
        <v>0.8030993209</v>
      </c>
      <c r="S27" s="166">
        <f t="shared" si="5"/>
        <v>0.8030993209</v>
      </c>
      <c r="T27" s="166">
        <f t="shared" si="5"/>
        <v>0.8030993209</v>
      </c>
      <c r="U27" s="166">
        <f t="shared" si="5"/>
        <v>0.8030993209</v>
      </c>
      <c r="V27" s="166">
        <f t="shared" si="5"/>
        <v>0.8030993209</v>
      </c>
      <c r="W27" s="166">
        <f t="shared" si="5"/>
        <v>0.8030993209</v>
      </c>
      <c r="X27" s="166">
        <f t="shared" si="5"/>
        <v>0.8030993209</v>
      </c>
      <c r="Y27" s="166">
        <f t="shared" si="5"/>
        <v>0.8030993209</v>
      </c>
      <c r="Z27" s="166">
        <f t="shared" si="5"/>
        <v>0.8030993209</v>
      </c>
      <c r="AA27" s="166">
        <f t="shared" si="5"/>
        <v>0.8030993209</v>
      </c>
      <c r="AB27" s="166">
        <f t="shared" si="5"/>
        <v>0.8030993209</v>
      </c>
      <c r="AC27" s="166">
        <f t="shared" si="5"/>
        <v>0.8030993209</v>
      </c>
      <c r="AD27" s="166">
        <f t="shared" si="5"/>
        <v>0.8030993209</v>
      </c>
      <c r="AE27" s="166">
        <f t="shared" si="5"/>
        <v>0.8030993209</v>
      </c>
      <c r="AF27" s="166">
        <f t="shared" si="5"/>
        <v>0.8030993209</v>
      </c>
      <c r="AG27" s="166">
        <f t="shared" si="5"/>
        <v>0.8030993209</v>
      </c>
      <c r="AH27" s="166">
        <f t="shared" si="5"/>
        <v>0.8030993209</v>
      </c>
      <c r="AI27" s="166">
        <f t="shared" si="5"/>
        <v>0.8030993209</v>
      </c>
      <c r="AJ27" s="166">
        <f t="shared" si="5"/>
        <v>0.8030993209</v>
      </c>
      <c r="AK27" s="180"/>
    </row>
    <row r="28">
      <c r="A28" s="101"/>
      <c r="B28" s="102"/>
      <c r="C28" s="109"/>
      <c r="D28" s="102"/>
      <c r="E28" s="610" t="s">
        <v>586</v>
      </c>
      <c r="F28" s="176" t="s">
        <v>112</v>
      </c>
      <c r="G28" s="176" t="s">
        <v>213</v>
      </c>
      <c r="H28" s="235" t="s">
        <v>165</v>
      </c>
      <c r="I28" s="233">
        <f t="shared" ref="I28:AJ28" si="6">I24/(1*(1+I24))</f>
        <v>0.1969006791</v>
      </c>
      <c r="J28" s="233">
        <f t="shared" si="6"/>
        <v>0.1969006791</v>
      </c>
      <c r="K28" s="233">
        <f t="shared" si="6"/>
        <v>0.1969006791</v>
      </c>
      <c r="L28" s="233">
        <f t="shared" si="6"/>
        <v>0.1969006791</v>
      </c>
      <c r="M28" s="233">
        <f t="shared" si="6"/>
        <v>0.1969006791</v>
      </c>
      <c r="N28" s="233">
        <f t="shared" si="6"/>
        <v>0.1969006791</v>
      </c>
      <c r="O28" s="233">
        <f t="shared" si="6"/>
        <v>0.1969006791</v>
      </c>
      <c r="P28" s="233">
        <f t="shared" si="6"/>
        <v>0.1969006791</v>
      </c>
      <c r="Q28" s="233">
        <f t="shared" si="6"/>
        <v>0.1969006791</v>
      </c>
      <c r="R28" s="233">
        <f t="shared" si="6"/>
        <v>0.1969006791</v>
      </c>
      <c r="S28" s="233">
        <f t="shared" si="6"/>
        <v>0.1969006791</v>
      </c>
      <c r="T28" s="233">
        <f t="shared" si="6"/>
        <v>0.1969006791</v>
      </c>
      <c r="U28" s="233">
        <f t="shared" si="6"/>
        <v>0.1969006791</v>
      </c>
      <c r="V28" s="233">
        <f t="shared" si="6"/>
        <v>0.1969006791</v>
      </c>
      <c r="W28" s="233">
        <f t="shared" si="6"/>
        <v>0.1969006791</v>
      </c>
      <c r="X28" s="233">
        <f t="shared" si="6"/>
        <v>0.1969006791</v>
      </c>
      <c r="Y28" s="233">
        <f t="shared" si="6"/>
        <v>0.1969006791</v>
      </c>
      <c r="Z28" s="233">
        <f t="shared" si="6"/>
        <v>0.1969006791</v>
      </c>
      <c r="AA28" s="233">
        <f t="shared" si="6"/>
        <v>0.1969006791</v>
      </c>
      <c r="AB28" s="233">
        <f t="shared" si="6"/>
        <v>0.1969006791</v>
      </c>
      <c r="AC28" s="233">
        <f t="shared" si="6"/>
        <v>0.1969006791</v>
      </c>
      <c r="AD28" s="233">
        <f t="shared" si="6"/>
        <v>0.1969006791</v>
      </c>
      <c r="AE28" s="233">
        <f t="shared" si="6"/>
        <v>0.1969006791</v>
      </c>
      <c r="AF28" s="233">
        <f t="shared" si="6"/>
        <v>0.1969006791</v>
      </c>
      <c r="AG28" s="233">
        <f t="shared" si="6"/>
        <v>0.1969006791</v>
      </c>
      <c r="AH28" s="233">
        <f t="shared" si="6"/>
        <v>0.1969006791</v>
      </c>
      <c r="AI28" s="233">
        <f t="shared" si="6"/>
        <v>0.1969006791</v>
      </c>
      <c r="AJ28" s="233">
        <f t="shared" si="6"/>
        <v>0.1969006791</v>
      </c>
      <c r="AK28" s="239"/>
    </row>
    <row r="29">
      <c r="A29" s="101"/>
      <c r="B29" s="102"/>
      <c r="C29" s="109"/>
      <c r="D29" s="102"/>
      <c r="E29" s="923"/>
      <c r="F29" s="132"/>
      <c r="G29" s="132"/>
      <c r="H29" s="105"/>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7"/>
    </row>
    <row r="30">
      <c r="A30" s="101"/>
      <c r="B30" s="102"/>
      <c r="C30" s="801" t="s">
        <v>579</v>
      </c>
      <c r="F30" s="61"/>
      <c r="G30" s="61"/>
      <c r="H30" s="105"/>
      <c r="I30" s="559"/>
      <c r="J30" s="924"/>
      <c r="K30" s="866"/>
      <c r="L30" s="866"/>
      <c r="M30" s="866"/>
      <c r="N30" s="866"/>
      <c r="O30" s="866"/>
      <c r="P30" s="866"/>
      <c r="Q30" s="866"/>
      <c r="R30" s="866"/>
      <c r="S30" s="866"/>
      <c r="T30" s="866"/>
      <c r="U30" s="866"/>
      <c r="V30" s="866"/>
      <c r="W30" s="866"/>
      <c r="X30" s="866"/>
      <c r="Y30" s="866"/>
      <c r="Z30" s="866"/>
      <c r="AA30" s="866"/>
      <c r="AB30" s="866"/>
      <c r="AC30" s="866"/>
      <c r="AD30" s="866"/>
      <c r="AE30" s="866"/>
      <c r="AF30" s="866"/>
      <c r="AG30" s="866"/>
      <c r="AH30" s="866"/>
      <c r="AI30" s="866"/>
      <c r="AJ30" s="866"/>
      <c r="AK30" s="867"/>
    </row>
    <row r="31">
      <c r="A31" s="101"/>
      <c r="B31" s="102"/>
      <c r="C31" s="801"/>
      <c r="D31" s="198"/>
      <c r="E31" s="892" t="s">
        <v>580</v>
      </c>
      <c r="F31" s="585" t="s">
        <v>112</v>
      </c>
      <c r="G31" s="925" t="s">
        <v>213</v>
      </c>
      <c r="H31" s="256" t="s">
        <v>165</v>
      </c>
      <c r="I31" s="166">
        <f>'Main CEA'!I135</f>
        <v>0.665</v>
      </c>
      <c r="J31" s="166">
        <f>'Main CEA'!J135</f>
        <v>0.665</v>
      </c>
      <c r="K31" s="166">
        <f>'Main CEA'!K135</f>
        <v>0.665</v>
      </c>
      <c r="L31" s="166">
        <f>'Main CEA'!L135</f>
        <v>0.665</v>
      </c>
      <c r="M31" s="166">
        <f>'Main CEA'!M135</f>
        <v>0.665</v>
      </c>
      <c r="N31" s="166">
        <f>'Main CEA'!N135</f>
        <v>0.665</v>
      </c>
      <c r="O31" s="166">
        <f>'Main CEA'!O135</f>
        <v>0.665</v>
      </c>
      <c r="P31" s="166">
        <f>'Main CEA'!P135</f>
        <v>0.665</v>
      </c>
      <c r="Q31" s="166">
        <f>'Main CEA'!Q135</f>
        <v>0.665</v>
      </c>
      <c r="R31" s="166">
        <f>'Main CEA'!R135</f>
        <v>0.665</v>
      </c>
      <c r="S31" s="166">
        <f>'Main CEA'!S135</f>
        <v>0.665</v>
      </c>
      <c r="T31" s="166">
        <f>'Main CEA'!T135</f>
        <v>0.665</v>
      </c>
      <c r="U31" s="166">
        <f>'Main CEA'!U135</f>
        <v>0.665</v>
      </c>
      <c r="V31" s="166">
        <f>'Main CEA'!V135</f>
        <v>0.665</v>
      </c>
      <c r="W31" s="166">
        <f>'Main CEA'!W135</f>
        <v>0.665</v>
      </c>
      <c r="X31" s="166">
        <f>'Main CEA'!X135</f>
        <v>0.665</v>
      </c>
      <c r="Y31" s="166">
        <f>'Main CEA'!Y135</f>
        <v>0.665</v>
      </c>
      <c r="Z31" s="166">
        <f>'Main CEA'!Z135</f>
        <v>0.665</v>
      </c>
      <c r="AA31" s="166">
        <f>'Main CEA'!AA135</f>
        <v>0.665</v>
      </c>
      <c r="AB31" s="166">
        <f>'Main CEA'!AB135</f>
        <v>0.665</v>
      </c>
      <c r="AC31" s="166">
        <f>'Main CEA'!AC135</f>
        <v>0.665</v>
      </c>
      <c r="AD31" s="166">
        <f>'Main CEA'!AD135</f>
        <v>0.665</v>
      </c>
      <c r="AE31" s="166">
        <f>'Main CEA'!AE135</f>
        <v>0.665</v>
      </c>
      <c r="AF31" s="166">
        <f>'Main CEA'!AF135</f>
        <v>0.665</v>
      </c>
      <c r="AG31" s="166">
        <f>'Main CEA'!AG135</f>
        <v>0.665</v>
      </c>
      <c r="AH31" s="166">
        <f>'Main CEA'!AH135</f>
        <v>0.665</v>
      </c>
      <c r="AI31" s="166">
        <f>'Main CEA'!AI135</f>
        <v>0.665</v>
      </c>
      <c r="AJ31" s="166">
        <f>'Main CEA'!AJ135</f>
        <v>0.665</v>
      </c>
      <c r="AK31" s="180"/>
    </row>
    <row r="32">
      <c r="A32" s="101"/>
      <c r="B32" s="102"/>
      <c r="C32" s="801"/>
      <c r="D32" s="198"/>
      <c r="E32" s="396" t="s">
        <v>582</v>
      </c>
      <c r="F32" s="585" t="s">
        <v>112</v>
      </c>
      <c r="G32" s="925" t="s">
        <v>213</v>
      </c>
      <c r="H32" s="256" t="s">
        <v>165</v>
      </c>
      <c r="I32" s="166">
        <f>'Main CEA'!I121</f>
        <v>-0.22</v>
      </c>
      <c r="J32" s="166">
        <f>'Main CEA'!J121</f>
        <v>-0.22</v>
      </c>
      <c r="K32" s="166">
        <f>'Main CEA'!K121</f>
        <v>-0.22</v>
      </c>
      <c r="L32" s="166">
        <f>'Main CEA'!L121</f>
        <v>-0.22</v>
      </c>
      <c r="M32" s="166">
        <f>'Main CEA'!M121</f>
        <v>-0.22</v>
      </c>
      <c r="N32" s="166">
        <f>'Main CEA'!N121</f>
        <v>-0.22</v>
      </c>
      <c r="O32" s="166">
        <f>'Main CEA'!O121</f>
        <v>-0.22</v>
      </c>
      <c r="P32" s="166">
        <f>'Main CEA'!P121</f>
        <v>-0.22</v>
      </c>
      <c r="Q32" s="166">
        <f>'Main CEA'!Q121</f>
        <v>-0.22</v>
      </c>
      <c r="R32" s="166">
        <f>'Main CEA'!R121</f>
        <v>-0.22</v>
      </c>
      <c r="S32" s="166">
        <f>'Main CEA'!S121</f>
        <v>-0.22</v>
      </c>
      <c r="T32" s="166">
        <f>'Main CEA'!T121</f>
        <v>-0.22</v>
      </c>
      <c r="U32" s="166">
        <f>'Main CEA'!U121</f>
        <v>-0.22</v>
      </c>
      <c r="V32" s="166">
        <f>'Main CEA'!V121</f>
        <v>-0.22</v>
      </c>
      <c r="W32" s="166">
        <f>'Main CEA'!W121</f>
        <v>-0.22</v>
      </c>
      <c r="X32" s="166">
        <f>'Main CEA'!X121</f>
        <v>-0.22</v>
      </c>
      <c r="Y32" s="166">
        <f>'Main CEA'!Y121</f>
        <v>-0.22</v>
      </c>
      <c r="Z32" s="166">
        <f>'Main CEA'!Z121</f>
        <v>-0.22</v>
      </c>
      <c r="AA32" s="166">
        <f>'Main CEA'!AA121</f>
        <v>-0.22</v>
      </c>
      <c r="AB32" s="166">
        <f>'Main CEA'!AB121</f>
        <v>-0.22</v>
      </c>
      <c r="AC32" s="166">
        <f>'Main CEA'!AC121</f>
        <v>-0.22</v>
      </c>
      <c r="AD32" s="166">
        <f>'Main CEA'!AD121</f>
        <v>-0.22</v>
      </c>
      <c r="AE32" s="166">
        <f>'Main CEA'!AE121</f>
        <v>-0.22</v>
      </c>
      <c r="AF32" s="166">
        <f>'Main CEA'!AF121</f>
        <v>-0.22</v>
      </c>
      <c r="AG32" s="166">
        <f>'Main CEA'!AG121</f>
        <v>-0.24</v>
      </c>
      <c r="AH32" s="166">
        <f>'Main CEA'!AH121</f>
        <v>-0.24</v>
      </c>
      <c r="AI32" s="166">
        <f>'Main CEA'!AI121</f>
        <v>-0.24</v>
      </c>
      <c r="AJ32" s="166">
        <f>'Main CEA'!AJ121</f>
        <v>-0.24</v>
      </c>
      <c r="AK32" s="180"/>
    </row>
    <row r="33">
      <c r="A33" s="101"/>
      <c r="B33" s="102"/>
      <c r="C33" s="109"/>
      <c r="D33" s="102"/>
      <c r="E33" s="598" t="s">
        <v>587</v>
      </c>
      <c r="F33" s="145" t="s">
        <v>112</v>
      </c>
      <c r="G33" s="145" t="s">
        <v>213</v>
      </c>
      <c r="H33" s="223" t="s">
        <v>165</v>
      </c>
      <c r="I33" s="187">
        <f>'Main CEA'!I138</f>
        <v>-0.01947325914</v>
      </c>
      <c r="J33" s="187">
        <f>'Main CEA'!J138</f>
        <v>-0.02205386241</v>
      </c>
      <c r="K33" s="187">
        <f>'Main CEA'!K138</f>
        <v>-0.03625298958</v>
      </c>
      <c r="L33" s="187">
        <f>'Main CEA'!L138</f>
        <v>-0.0340203642</v>
      </c>
      <c r="M33" s="187">
        <f>'Main CEA'!M138</f>
        <v>-0.02513471842</v>
      </c>
      <c r="N33" s="187">
        <f>'Main CEA'!N138</f>
        <v>-0.07987834229</v>
      </c>
      <c r="O33" s="187">
        <f>'Main CEA'!O138</f>
        <v>-0.03244141483</v>
      </c>
      <c r="P33" s="187">
        <f>'Main CEA'!P138</f>
        <v>-0.01250016135</v>
      </c>
      <c r="Q33" s="187">
        <f>'Main CEA'!Q138</f>
        <v>-0.007809414554</v>
      </c>
      <c r="R33" s="187">
        <f>'Main CEA'!R138</f>
        <v>-0.02353099696</v>
      </c>
      <c r="S33" s="187">
        <f>'Main CEA'!S138</f>
        <v>-0.1091428556</v>
      </c>
      <c r="T33" s="187">
        <f>'Main CEA'!T138</f>
        <v>-0.1981957392</v>
      </c>
      <c r="U33" s="187">
        <f>'Main CEA'!U138</f>
        <v>-0.05220917985</v>
      </c>
      <c r="V33" s="187">
        <f>'Main CEA'!V138</f>
        <v>-0.09350782321</v>
      </c>
      <c r="W33" s="187">
        <f>'Main CEA'!W138</f>
        <v>-0.03710717552</v>
      </c>
      <c r="X33" s="187">
        <f>'Main CEA'!X138</f>
        <v>-0.1251877375</v>
      </c>
      <c r="Y33" s="187">
        <f>'Main CEA'!Y138</f>
        <v>-0.08294769458</v>
      </c>
      <c r="Z33" s="187">
        <f>'Main CEA'!Z138</f>
        <v>-0.1491351599</v>
      </c>
      <c r="AA33" s="187">
        <f>'Main CEA'!AA138</f>
        <v>-0.1146583161</v>
      </c>
      <c r="AB33" s="187">
        <f>'Main CEA'!AB138</f>
        <v>-0.04177997056</v>
      </c>
      <c r="AC33" s="187">
        <f>'Main CEA'!AC138</f>
        <v>-0.1002806175</v>
      </c>
      <c r="AD33" s="187">
        <f>'Main CEA'!AD138</f>
        <v>-0.1965004343</v>
      </c>
      <c r="AE33" s="187">
        <f>'Main CEA'!AE138</f>
        <v>-0.0642888948</v>
      </c>
      <c r="AF33" s="187">
        <f>'Main CEA'!AF138</f>
        <v>-0.01750912369</v>
      </c>
      <c r="AG33" s="187">
        <f>'Main CEA'!AG138</f>
        <v>-0.04925154078</v>
      </c>
      <c r="AH33" s="187">
        <f>'Main CEA'!AH138</f>
        <v>-0.008645932197</v>
      </c>
      <c r="AI33" s="187">
        <f>'Main CEA'!AI138</f>
        <v>-0.01670719858</v>
      </c>
      <c r="AJ33" s="187">
        <f>'Main CEA'!AJ138</f>
        <v>-0.03878379831</v>
      </c>
      <c r="AK33" s="204"/>
    </row>
    <row r="34">
      <c r="A34" s="101"/>
      <c r="B34" s="102"/>
      <c r="C34" s="109"/>
      <c r="D34" s="102"/>
      <c r="E34" s="403" t="s">
        <v>589</v>
      </c>
      <c r="F34" s="121" t="s">
        <v>112</v>
      </c>
      <c r="G34" s="121" t="s">
        <v>213</v>
      </c>
      <c r="H34" s="249" t="str">
        <f>'Main CEA'!H$141</f>
        <v>-</v>
      </c>
      <c r="I34" s="675">
        <f>'Main CEA'!I139</f>
        <v>-0.2720680022</v>
      </c>
      <c r="J34" s="675">
        <f>'Main CEA'!J139</f>
        <v>-0.3269725451</v>
      </c>
      <c r="K34" s="675">
        <f>'Main CEA'!K139</f>
        <v>-0.3452941854</v>
      </c>
      <c r="L34" s="675">
        <f>'Main CEA'!L139</f>
        <v>-0.1756309101</v>
      </c>
      <c r="M34" s="675">
        <f>'Main CEA'!M139</f>
        <v>-0.3700125864</v>
      </c>
      <c r="N34" s="675">
        <f>'Main CEA'!N139</f>
        <v>-0.2723292123</v>
      </c>
      <c r="O34" s="675">
        <f>'Main CEA'!O139</f>
        <v>-0.2112519459</v>
      </c>
      <c r="P34" s="675">
        <f>'Main CEA'!P139</f>
        <v>-0.338631384</v>
      </c>
      <c r="Q34" s="675">
        <f>'Main CEA'!Q139</f>
        <v>-0.2942304915</v>
      </c>
      <c r="R34" s="675">
        <f>'Main CEA'!R139</f>
        <v>-0.236007944</v>
      </c>
      <c r="S34" s="675">
        <f>'Main CEA'!S139</f>
        <v>-0.1851012218</v>
      </c>
      <c r="T34" s="675">
        <f>'Main CEA'!T139</f>
        <v>-0.1321483894</v>
      </c>
      <c r="U34" s="675">
        <f>'Main CEA'!U139</f>
        <v>-0.2189552563</v>
      </c>
      <c r="V34" s="675">
        <f>'Main CEA'!V139</f>
        <v>-0.1943981611</v>
      </c>
      <c r="W34" s="675">
        <f>'Main CEA'!W139</f>
        <v>-0.2279352451</v>
      </c>
      <c r="X34" s="675">
        <f>'Main CEA'!X139</f>
        <v>-0.1755605769</v>
      </c>
      <c r="Y34" s="675">
        <f>'Main CEA'!Y139</f>
        <v>-0.2006774493</v>
      </c>
      <c r="Z34" s="675">
        <f>'Main CEA'!Z139</f>
        <v>-0.161320905</v>
      </c>
      <c r="AA34" s="675">
        <f>'Main CEA'!AA139</f>
        <v>-0.1818216059</v>
      </c>
      <c r="AB34" s="675">
        <f>'Main CEA'!AB139</f>
        <v>-0.2251566969</v>
      </c>
      <c r="AC34" s="675">
        <f>'Main CEA'!AC139</f>
        <v>-0.1903709064</v>
      </c>
      <c r="AD34" s="675">
        <f>'Main CEA'!AD139</f>
        <v>-0.1331564555</v>
      </c>
      <c r="AE34" s="675">
        <f>'Main CEA'!AE139</f>
        <v>-0.2117723881</v>
      </c>
      <c r="AF34" s="675">
        <f>'Main CEA'!AF139</f>
        <v>-0.2395886842</v>
      </c>
      <c r="AG34" s="675">
        <f>'Main CEA'!AG139</f>
        <v>-0.2409743249</v>
      </c>
      <c r="AH34" s="675">
        <f>'Main CEA'!AH139</f>
        <v>-0.4566786993</v>
      </c>
      <c r="AI34" s="675">
        <f>'Main CEA'!AI139</f>
        <v>-0.3460550169</v>
      </c>
      <c r="AJ34" s="675">
        <f>'Main CEA'!AJ139</f>
        <v>-0.3344612777</v>
      </c>
      <c r="AK34" s="679"/>
    </row>
    <row r="35">
      <c r="A35" s="101"/>
      <c r="B35" s="102"/>
      <c r="C35" s="109"/>
      <c r="D35" s="102"/>
      <c r="E35" s="440"/>
      <c r="F35" s="132"/>
      <c r="G35" s="132"/>
      <c r="H35" s="105"/>
      <c r="I35" s="106"/>
      <c r="J35" s="866"/>
      <c r="K35" s="866"/>
      <c r="L35" s="866"/>
      <c r="M35" s="866"/>
      <c r="N35" s="866"/>
      <c r="O35" s="866"/>
      <c r="P35" s="866"/>
      <c r="Q35" s="866"/>
      <c r="R35" s="866"/>
      <c r="S35" s="866"/>
      <c r="T35" s="866"/>
      <c r="U35" s="866"/>
      <c r="V35" s="866"/>
      <c r="W35" s="866"/>
      <c r="X35" s="866"/>
      <c r="Y35" s="866"/>
      <c r="Z35" s="866"/>
      <c r="AA35" s="866"/>
      <c r="AB35" s="866"/>
      <c r="AC35" s="866"/>
      <c r="AD35" s="866"/>
      <c r="AE35" s="866"/>
      <c r="AF35" s="866"/>
      <c r="AG35" s="866"/>
      <c r="AH35" s="866"/>
      <c r="AI35" s="866"/>
      <c r="AJ35" s="866"/>
      <c r="AK35" s="867"/>
    </row>
    <row r="36">
      <c r="A36" s="101"/>
      <c r="B36" s="102"/>
      <c r="C36" s="109" t="s">
        <v>594</v>
      </c>
      <c r="F36" s="819"/>
      <c r="G36" s="819"/>
      <c r="H36" s="935"/>
      <c r="I36" s="936"/>
      <c r="J36" s="936"/>
      <c r="K36" s="936"/>
      <c r="L36" s="936"/>
      <c r="M36" s="936"/>
      <c r="N36" s="936"/>
      <c r="O36" s="936"/>
      <c r="P36" s="936"/>
      <c r="Q36" s="936"/>
      <c r="R36" s="936"/>
      <c r="S36" s="936"/>
      <c r="T36" s="936"/>
      <c r="U36" s="936"/>
      <c r="V36" s="936"/>
      <c r="W36" s="936"/>
      <c r="X36" s="936"/>
      <c r="Y36" s="936"/>
      <c r="Z36" s="936"/>
      <c r="AA36" s="936"/>
      <c r="AB36" s="936"/>
      <c r="AC36" s="936"/>
      <c r="AD36" s="936"/>
      <c r="AE36" s="936"/>
      <c r="AF36" s="936"/>
      <c r="AG36" s="936"/>
      <c r="AH36" s="936"/>
      <c r="AI36" s="936"/>
      <c r="AJ36" s="936"/>
      <c r="AK36" s="937"/>
    </row>
    <row r="37">
      <c r="A37" s="101"/>
      <c r="B37" s="102"/>
      <c r="C37" s="109"/>
      <c r="D37" s="102"/>
      <c r="E37" s="938" t="s">
        <v>595</v>
      </c>
      <c r="F37" s="939" t="s">
        <v>118</v>
      </c>
      <c r="G37" s="939" t="s">
        <v>164</v>
      </c>
      <c r="H37" s="940" t="s">
        <v>165</v>
      </c>
      <c r="I37" s="941">
        <f t="shared" ref="I37:AJ37" si="7">I21/I27*(1+I32)*(1+I31)*(1+SUM(I33:I34))</f>
        <v>22.60415752</v>
      </c>
      <c r="J37" s="941">
        <f t="shared" si="7"/>
        <v>15.90795125</v>
      </c>
      <c r="K37" s="941">
        <f t="shared" si="7"/>
        <v>8.539170255</v>
      </c>
      <c r="L37" s="941">
        <f t="shared" si="7"/>
        <v>16.91453322</v>
      </c>
      <c r="M37" s="941">
        <f t="shared" si="7"/>
        <v>10.93220737</v>
      </c>
      <c r="N37" s="941">
        <f t="shared" si="7"/>
        <v>4.797449632</v>
      </c>
      <c r="O37" s="941">
        <f t="shared" si="7"/>
        <v>15.91291055</v>
      </c>
      <c r="P37" s="941">
        <f t="shared" si="7"/>
        <v>32.8307888</v>
      </c>
      <c r="Q37" s="941">
        <f t="shared" si="7"/>
        <v>59.34334121</v>
      </c>
      <c r="R37" s="941">
        <f t="shared" si="7"/>
        <v>21.47896702</v>
      </c>
      <c r="S37" s="941">
        <f t="shared" si="7"/>
        <v>4.41378032</v>
      </c>
      <c r="T37" s="941">
        <f t="shared" si="7"/>
        <v>2.306263162</v>
      </c>
      <c r="U37" s="941">
        <f t="shared" si="7"/>
        <v>9.528711546</v>
      </c>
      <c r="V37" s="941">
        <f t="shared" si="7"/>
        <v>5.198055163</v>
      </c>
      <c r="W37" s="941">
        <f t="shared" si="7"/>
        <v>13.5193518</v>
      </c>
      <c r="X37" s="941">
        <f t="shared" si="7"/>
        <v>3.812617409</v>
      </c>
      <c r="Y37" s="941">
        <f t="shared" si="7"/>
        <v>5.895050222</v>
      </c>
      <c r="Z37" s="941">
        <f t="shared" si="7"/>
        <v>3.155973833</v>
      </c>
      <c r="AA37" s="941">
        <f t="shared" si="7"/>
        <v>4.188151971</v>
      </c>
      <c r="AB37" s="941">
        <f t="shared" si="7"/>
        <v>11.97636056</v>
      </c>
      <c r="AC37" s="941">
        <f t="shared" si="7"/>
        <v>4.828298764</v>
      </c>
      <c r="AD37" s="941">
        <f t="shared" si="7"/>
        <v>2.328547655</v>
      </c>
      <c r="AE37" s="941">
        <f t="shared" si="7"/>
        <v>7.686300139</v>
      </c>
      <c r="AF37" s="941">
        <f t="shared" si="7"/>
        <v>28.9613448</v>
      </c>
      <c r="AG37" s="941">
        <f t="shared" si="7"/>
        <v>5.627604036</v>
      </c>
      <c r="AH37" s="941">
        <f t="shared" si="7"/>
        <v>20.12427722</v>
      </c>
      <c r="AI37" s="941">
        <f t="shared" si="7"/>
        <v>14.89433335</v>
      </c>
      <c r="AJ37" s="941">
        <f t="shared" si="7"/>
        <v>6.31059923</v>
      </c>
      <c r="AK37" s="945"/>
    </row>
    <row r="38">
      <c r="A38" s="101"/>
      <c r="B38" s="102"/>
      <c r="C38" s="109"/>
      <c r="D38" s="102"/>
      <c r="E38" s="403" t="s">
        <v>596</v>
      </c>
      <c r="F38" s="121" t="s">
        <v>108</v>
      </c>
      <c r="G38" s="121" t="s">
        <v>164</v>
      </c>
      <c r="H38" s="249" t="s">
        <v>165</v>
      </c>
      <c r="I38" s="251">
        <f>I19*('Main CEA'!I56/SUM('Main CEA'!I56))/(1+'Main CEA'!I162)</f>
        <v>3221.931626</v>
      </c>
      <c r="J38" s="251">
        <f>J19*('Main CEA'!J56/SUM('Main CEA'!J56))/(1+'Main CEA'!J162)</f>
        <v>4578.153959</v>
      </c>
      <c r="K38" s="251">
        <f>K19*('Main CEA'!K56/SUM('Main CEA'!K56))/(1+'Main CEA'!K162)</f>
        <v>8528.820462</v>
      </c>
      <c r="L38" s="251">
        <f>L19*('Main CEA'!L56/SUM('Main CEA'!L56))/(1+'Main CEA'!L162)</f>
        <v>4305.708531</v>
      </c>
      <c r="M38" s="251">
        <f>M19*('Main CEA'!M56/SUM('Main CEA'!M56))/(1+'Main CEA'!M162)</f>
        <v>6661.879667</v>
      </c>
      <c r="N38" s="251">
        <f>N19*('Main CEA'!N56/SUM('Main CEA'!N56))/(1+'Main CEA'!N162)</f>
        <v>15180.7847</v>
      </c>
      <c r="O38" s="251">
        <f>O19*('Main CEA'!O56/SUM('Main CEA'!O56))/(1+'Main CEA'!O162)</f>
        <v>4576.727166</v>
      </c>
      <c r="P38" s="251">
        <f>P19*('Main CEA'!P56/SUM('Main CEA'!P56))/(1+'Main CEA'!P162)</f>
        <v>2218.31557</v>
      </c>
      <c r="Q38" s="251">
        <f>Q19*('Main CEA'!Q56/SUM('Main CEA'!Q56))/(1+'Main CEA'!Q162)</f>
        <v>1227.248896</v>
      </c>
      <c r="R38" s="251">
        <f>R19*('Main CEA'!R56/SUM('Main CEA'!R56))/(1+'Main CEA'!R162)</f>
        <v>3390.714736</v>
      </c>
      <c r="S38" s="251">
        <f>S19*('Main CEA'!S56/SUM('Main CEA'!S56))/(1+'Main CEA'!S162)</f>
        <v>16500.37943</v>
      </c>
      <c r="T38" s="251">
        <f>T19*('Main CEA'!T56/SUM('Main CEA'!T56))/(1+'Main CEA'!T162)</f>
        <v>31578.81164</v>
      </c>
      <c r="U38" s="251">
        <f>U19*('Main CEA'!U56/SUM('Main CEA'!U56))/(1+'Main CEA'!U162)</f>
        <v>7643.116243</v>
      </c>
      <c r="V38" s="251">
        <f>V19*('Main CEA'!V56/SUM('Main CEA'!V56))/(1+'Main CEA'!V162)</f>
        <v>14010.82669</v>
      </c>
      <c r="W38" s="251">
        <f>W19*('Main CEA'!W56/SUM('Main CEA'!W56))/(1+'Main CEA'!W162)</f>
        <v>5387.022326</v>
      </c>
      <c r="X38" s="251">
        <f>X19*('Main CEA'!X56/SUM('Main CEA'!X56))/(1+'Main CEA'!X162)</f>
        <v>19102.11337</v>
      </c>
      <c r="Y38" s="251">
        <f>Y19*('Main CEA'!Y56/SUM('Main CEA'!Y56))/(1+'Main CEA'!Y162)</f>
        <v>12354.27134</v>
      </c>
      <c r="Z38" s="251">
        <f>Z19*('Main CEA'!Z56/SUM('Main CEA'!Z56))/(1+'Main CEA'!Z162)</f>
        <v>23076.56966</v>
      </c>
      <c r="AA38" s="251">
        <f>AA19*('Main CEA'!AA56/SUM('Main CEA'!AA56))/(1+'Main CEA'!AA162)</f>
        <v>17389.30452</v>
      </c>
      <c r="AB38" s="251">
        <f>AB19*('Main CEA'!AB56/SUM('Main CEA'!AB56))/(1+'Main CEA'!AB162)</f>
        <v>6081.066919</v>
      </c>
      <c r="AC38" s="251">
        <f>AC19*('Main CEA'!AC56/SUM('Main CEA'!AC56))/(1+'Main CEA'!AC162)</f>
        <v>15083.79111</v>
      </c>
      <c r="AD38" s="251">
        <f>AD19*('Main CEA'!AD56/SUM('Main CEA'!AD56))/(1+'Main CEA'!AD162)</f>
        <v>31276.59846</v>
      </c>
      <c r="AE38" s="251">
        <f>AE19*('Main CEA'!AE56/SUM('Main CEA'!AE56))/(1+'Main CEA'!AE162)</f>
        <v>9475.176441</v>
      </c>
      <c r="AF38" s="251">
        <f>AF19*('Main CEA'!AF56/SUM('Main CEA'!AF56))/(1+'Main CEA'!AF162)</f>
        <v>2514.698488</v>
      </c>
      <c r="AG38" s="251">
        <f>AG19*('Main CEA'!AG56/SUM('Main CEA'!AG56))/(1+'Main CEA'!AG162)</f>
        <v>12941.39558</v>
      </c>
      <c r="AH38" s="251">
        <f>AH19*('Main CEA'!AH56/SUM('Main CEA'!AH56))/(1+'Main CEA'!AH162)</f>
        <v>3618.964756</v>
      </c>
      <c r="AI38" s="251">
        <f>AI19*('Main CEA'!AI56/SUM('Main CEA'!AI56))/(1+'Main CEA'!AI162)</f>
        <v>4889.715322</v>
      </c>
      <c r="AJ38" s="251">
        <f>AJ19*('Main CEA'!AJ56/SUM('Main CEA'!AJ56))/(1+'Main CEA'!AJ162)</f>
        <v>11540.7503</v>
      </c>
      <c r="AK38" s="252"/>
    </row>
    <row r="39">
      <c r="A39" s="845"/>
      <c r="B39" s="846"/>
      <c r="C39" s="952"/>
      <c r="D39" s="846"/>
      <c r="E39" s="953"/>
      <c r="F39" s="121"/>
      <c r="G39" s="121"/>
      <c r="H39" s="288"/>
      <c r="I39" s="954"/>
      <c r="J39" s="954"/>
      <c r="K39" s="954"/>
      <c r="L39" s="954"/>
      <c r="M39" s="954"/>
      <c r="N39" s="954"/>
      <c r="O39" s="954"/>
      <c r="P39" s="954"/>
      <c r="Q39" s="954"/>
      <c r="R39" s="954"/>
      <c r="S39" s="954"/>
      <c r="T39" s="954"/>
      <c r="U39" s="954"/>
      <c r="V39" s="954"/>
      <c r="W39" s="954"/>
      <c r="X39" s="954"/>
      <c r="Y39" s="954"/>
      <c r="Z39" s="954"/>
      <c r="AA39" s="954"/>
      <c r="AB39" s="954"/>
      <c r="AC39" s="954"/>
      <c r="AD39" s="954"/>
      <c r="AE39" s="954"/>
      <c r="AF39" s="954"/>
      <c r="AG39" s="954"/>
      <c r="AH39" s="954"/>
      <c r="AI39" s="954"/>
      <c r="AJ39" s="954"/>
      <c r="AK39" s="955"/>
    </row>
    <row r="40">
      <c r="A40" s="99" t="s">
        <v>600</v>
      </c>
      <c r="B40" s="12"/>
      <c r="C40" s="12"/>
      <c r="D40" s="12"/>
      <c r="E40" s="12"/>
      <c r="F40" s="12"/>
      <c r="G40" s="12"/>
      <c r="H40" s="97"/>
      <c r="I40" s="98"/>
      <c r="J40" s="864"/>
      <c r="K40" s="864"/>
      <c r="L40" s="864"/>
      <c r="M40" s="864"/>
      <c r="N40" s="864"/>
      <c r="O40" s="864"/>
      <c r="P40" s="864"/>
      <c r="Q40" s="864"/>
      <c r="R40" s="864"/>
      <c r="S40" s="864"/>
      <c r="T40" s="864"/>
      <c r="U40" s="864"/>
      <c r="V40" s="864"/>
      <c r="W40" s="864"/>
      <c r="X40" s="864"/>
      <c r="Y40" s="864"/>
      <c r="Z40" s="864"/>
      <c r="AA40" s="864"/>
      <c r="AB40" s="864"/>
      <c r="AC40" s="864"/>
      <c r="AD40" s="864"/>
      <c r="AE40" s="864"/>
      <c r="AF40" s="864"/>
      <c r="AG40" s="864"/>
      <c r="AH40" s="864"/>
      <c r="AI40" s="864"/>
      <c r="AJ40" s="864"/>
      <c r="AK40" s="865"/>
    </row>
    <row r="41">
      <c r="A41" s="101"/>
      <c r="B41" s="102"/>
      <c r="C41" s="109"/>
      <c r="D41" s="102"/>
      <c r="E41" s="956"/>
      <c r="F41" s="132"/>
      <c r="G41" s="132"/>
      <c r="H41" s="105"/>
      <c r="I41" s="957"/>
      <c r="J41" s="957"/>
      <c r="K41" s="957"/>
      <c r="L41" s="957"/>
      <c r="M41" s="957"/>
      <c r="N41" s="957"/>
      <c r="O41" s="957"/>
      <c r="P41" s="957"/>
      <c r="Q41" s="957"/>
      <c r="R41" s="957"/>
      <c r="S41" s="957"/>
      <c r="T41" s="957"/>
      <c r="U41" s="957"/>
      <c r="V41" s="957"/>
      <c r="W41" s="957"/>
      <c r="X41" s="957"/>
      <c r="Y41" s="957"/>
      <c r="Z41" s="957"/>
      <c r="AA41" s="957"/>
      <c r="AB41" s="957"/>
      <c r="AC41" s="957"/>
      <c r="AD41" s="957"/>
      <c r="AE41" s="957"/>
      <c r="AF41" s="957"/>
      <c r="AG41" s="957"/>
      <c r="AH41" s="957"/>
      <c r="AI41" s="957"/>
      <c r="AJ41" s="957"/>
      <c r="AK41" s="958"/>
    </row>
    <row r="42">
      <c r="A42" s="101"/>
      <c r="B42" s="102"/>
      <c r="C42" s="801" t="s">
        <v>544</v>
      </c>
      <c r="F42" s="132"/>
      <c r="G42" s="132"/>
      <c r="H42" s="105"/>
      <c r="I42" s="957"/>
      <c r="J42" s="957"/>
      <c r="K42" s="957"/>
      <c r="L42" s="957"/>
      <c r="M42" s="957"/>
      <c r="N42" s="957"/>
      <c r="O42" s="957"/>
      <c r="P42" s="957"/>
      <c r="Q42" s="957"/>
      <c r="R42" s="957"/>
      <c r="S42" s="957"/>
      <c r="T42" s="957"/>
      <c r="U42" s="957"/>
      <c r="V42" s="957"/>
      <c r="W42" s="957"/>
      <c r="X42" s="957"/>
      <c r="Y42" s="957"/>
      <c r="Z42" s="957"/>
      <c r="AA42" s="957"/>
      <c r="AB42" s="957"/>
      <c r="AC42" s="957"/>
      <c r="AD42" s="957"/>
      <c r="AE42" s="957"/>
      <c r="AF42" s="957"/>
      <c r="AG42" s="957"/>
      <c r="AH42" s="957"/>
      <c r="AI42" s="957"/>
      <c r="AJ42" s="957"/>
      <c r="AK42" s="958"/>
    </row>
    <row r="43">
      <c r="A43" s="101"/>
      <c r="B43" s="102"/>
      <c r="C43" s="109"/>
      <c r="D43" s="102"/>
      <c r="E43" s="396" t="s">
        <v>545</v>
      </c>
      <c r="F43" s="114" t="s">
        <v>108</v>
      </c>
      <c r="G43" s="114" t="s">
        <v>213</v>
      </c>
      <c r="H43" s="256" t="s">
        <v>165</v>
      </c>
      <c r="I43" s="291">
        <f>'Confidence intervals'!F8</f>
        <v>0.77</v>
      </c>
      <c r="J43" s="291">
        <f>'Confidence intervals'!I8</f>
        <v>0.85</v>
      </c>
      <c r="K43" s="291">
        <f>'Confidence intervals'!L8</f>
        <v>0.73</v>
      </c>
      <c r="L43" s="291">
        <f>'Confidence intervals'!O8</f>
        <v>0.73</v>
      </c>
      <c r="M43" s="291">
        <f>'Confidence intervals'!R8</f>
        <v>1.1</v>
      </c>
      <c r="N43" s="291">
        <f>'Confidence intervals'!U8</f>
        <v>0.73</v>
      </c>
      <c r="O43" s="291">
        <f>'Confidence intervals'!X8</f>
        <v>0.73</v>
      </c>
      <c r="P43" s="291">
        <f>'Confidence intervals'!AA8</f>
        <v>0.54</v>
      </c>
      <c r="Q43" s="291">
        <f>'Confidence intervals'!AD8</f>
        <v>0.59</v>
      </c>
      <c r="R43" s="291">
        <f>'Confidence intervals'!AG8</f>
        <v>0.73</v>
      </c>
      <c r="S43" s="291">
        <f>'Confidence intervals'!AJ8</f>
        <v>0.73</v>
      </c>
      <c r="T43" s="291">
        <f>'Confidence intervals'!AM8</f>
        <v>0.73</v>
      </c>
      <c r="U43" s="291">
        <f>'Confidence intervals'!AP8</f>
        <v>0.73</v>
      </c>
      <c r="V43" s="291">
        <f>'Confidence intervals'!AS8</f>
        <v>0.73</v>
      </c>
      <c r="W43" s="291">
        <f>'Confidence intervals'!AV8</f>
        <v>0.73</v>
      </c>
      <c r="X43" s="291">
        <f>'Confidence intervals'!AY8</f>
        <v>0.73</v>
      </c>
      <c r="Y43" s="291">
        <f>'Confidence intervals'!BB8</f>
        <v>0.73</v>
      </c>
      <c r="Z43" s="291">
        <f>'Confidence intervals'!BE8</f>
        <v>0.73</v>
      </c>
      <c r="AA43" s="291">
        <f>'Confidence intervals'!BH8</f>
        <v>0.73</v>
      </c>
      <c r="AB43" s="291">
        <f>'Confidence intervals'!BK8</f>
        <v>0.73</v>
      </c>
      <c r="AC43" s="291">
        <f>'Confidence intervals'!BN8</f>
        <v>0.73</v>
      </c>
      <c r="AD43" s="291">
        <f>'Confidence intervals'!BQ8</f>
        <v>0.73</v>
      </c>
      <c r="AE43" s="291">
        <f>'Confidence intervals'!BT8</f>
        <v>0.73</v>
      </c>
      <c r="AF43" s="291">
        <f>'Confidence intervals'!BW8</f>
        <v>0.73</v>
      </c>
      <c r="AG43" s="291">
        <f>'Confidence intervals'!BZ8</f>
        <v>1.33</v>
      </c>
      <c r="AH43" s="291">
        <f>'Confidence intervals'!CC8</f>
        <v>1.33</v>
      </c>
      <c r="AI43" s="291">
        <f>'Confidence intervals'!CF8</f>
        <v>0.9</v>
      </c>
      <c r="AJ43" s="291">
        <f>'Confidence intervals'!CI8</f>
        <v>0.82</v>
      </c>
      <c r="AK43" s="967"/>
    </row>
    <row r="44">
      <c r="A44" s="101"/>
      <c r="B44" s="102"/>
      <c r="C44" s="109"/>
      <c r="D44" s="102"/>
      <c r="E44" s="598" t="s">
        <v>549</v>
      </c>
      <c r="F44" s="145" t="s">
        <v>112</v>
      </c>
      <c r="G44" s="145" t="s">
        <v>213</v>
      </c>
      <c r="H44" s="223" t="s">
        <v>165</v>
      </c>
      <c r="I44" s="187">
        <f>'Confidence intervals'!F9</f>
        <v>0.15</v>
      </c>
      <c r="J44" s="187">
        <f>'Confidence intervals'!I9</f>
        <v>0.15</v>
      </c>
      <c r="K44" s="187">
        <f>'Confidence intervals'!L9</f>
        <v>0.15</v>
      </c>
      <c r="L44" s="187">
        <f>'Confidence intervals'!O9</f>
        <v>0.15</v>
      </c>
      <c r="M44" s="187">
        <f>'Confidence intervals'!R9</f>
        <v>0.15</v>
      </c>
      <c r="N44" s="187">
        <f>'Confidence intervals'!U9</f>
        <v>0.15</v>
      </c>
      <c r="O44" s="187">
        <f>'Confidence intervals'!X9</f>
        <v>0.3</v>
      </c>
      <c r="P44" s="187">
        <f>'Confidence intervals'!AA9</f>
        <v>0.15</v>
      </c>
      <c r="Q44" s="187">
        <f>'Confidence intervals'!AD9</f>
        <v>0.15</v>
      </c>
      <c r="R44" s="187">
        <f>'Confidence intervals'!AG9</f>
        <v>0.15</v>
      </c>
      <c r="S44" s="187">
        <f>'Confidence intervals'!AJ9</f>
        <v>0.15</v>
      </c>
      <c r="T44" s="187">
        <f>'Confidence intervals'!AM9</f>
        <v>0.15</v>
      </c>
      <c r="U44" s="187">
        <f>'Confidence intervals'!AP9</f>
        <v>0.15</v>
      </c>
      <c r="V44" s="187">
        <f>'Confidence intervals'!AS9</f>
        <v>0.15</v>
      </c>
      <c r="W44" s="187">
        <f>'Confidence intervals'!AV9</f>
        <v>0.15</v>
      </c>
      <c r="X44" s="187">
        <f>'Confidence intervals'!AY9</f>
        <v>0.15</v>
      </c>
      <c r="Y44" s="187">
        <f>'Confidence intervals'!BB9</f>
        <v>0.15</v>
      </c>
      <c r="Z44" s="187">
        <f>'Confidence intervals'!BE9</f>
        <v>0.15</v>
      </c>
      <c r="AA44" s="187">
        <f>'Confidence intervals'!BH9</f>
        <v>0.15</v>
      </c>
      <c r="AB44" s="187">
        <f>'Confidence intervals'!BK9</f>
        <v>0.15</v>
      </c>
      <c r="AC44" s="187">
        <f>'Confidence intervals'!BN9</f>
        <v>0.15</v>
      </c>
      <c r="AD44" s="187">
        <f>'Confidence intervals'!BQ9</f>
        <v>0.15</v>
      </c>
      <c r="AE44" s="187">
        <f>'Confidence intervals'!BT9</f>
        <v>0.15</v>
      </c>
      <c r="AF44" s="187">
        <f>'Confidence intervals'!BW9</f>
        <v>0.15</v>
      </c>
      <c r="AG44" s="187">
        <f>'Confidence intervals'!BZ9</f>
        <v>0.15</v>
      </c>
      <c r="AH44" s="187">
        <f>'Confidence intervals'!CC9</f>
        <v>0.15</v>
      </c>
      <c r="AI44" s="187">
        <f>'Confidence intervals'!CF9</f>
        <v>0.15</v>
      </c>
      <c r="AJ44" s="187">
        <f>'Confidence intervals'!CI9</f>
        <v>0.15</v>
      </c>
      <c r="AK44" s="975"/>
    </row>
    <row r="45">
      <c r="A45" s="101"/>
      <c r="B45" s="102"/>
      <c r="C45" s="109"/>
      <c r="D45" s="102"/>
      <c r="E45" s="598" t="s">
        <v>558</v>
      </c>
      <c r="F45" s="145" t="s">
        <v>112</v>
      </c>
      <c r="G45" s="145" t="s">
        <v>213</v>
      </c>
      <c r="H45" s="223" t="s">
        <v>165</v>
      </c>
      <c r="I45" s="431">
        <f>'Confidence intervals'!F10</f>
        <v>0.0122</v>
      </c>
      <c r="J45" s="431">
        <f>'Confidence intervals'!I10</f>
        <v>0.0057</v>
      </c>
      <c r="K45" s="431">
        <f>'Confidence intervals'!L10</f>
        <v>0.0059</v>
      </c>
      <c r="L45" s="431">
        <f>'Confidence intervals'!O10</f>
        <v>0.0048</v>
      </c>
      <c r="M45" s="431">
        <f>'Confidence intervals'!R10</f>
        <v>0.01</v>
      </c>
      <c r="N45" s="431">
        <f>'Confidence intervals'!U10</f>
        <v>0.0025</v>
      </c>
      <c r="O45" s="431">
        <f>'Confidence intervals'!X10</f>
        <v>0.0052</v>
      </c>
      <c r="P45" s="431">
        <f>'Confidence intervals'!AA10</f>
        <v>0.0126</v>
      </c>
      <c r="Q45" s="431">
        <f>'Confidence intervals'!AD10</f>
        <v>0.0141</v>
      </c>
      <c r="R45" s="431">
        <f>'Confidence intervals'!AG10</f>
        <v>0.0111</v>
      </c>
      <c r="S45" s="431">
        <f>'Confidence intervals'!AJ10</f>
        <v>0.0041</v>
      </c>
      <c r="T45" s="431">
        <f>'Confidence intervals'!AM10</f>
        <v>0.0029</v>
      </c>
      <c r="U45" s="431">
        <f>'Confidence intervals'!AP10</f>
        <v>0.0067</v>
      </c>
      <c r="V45" s="431">
        <f>'Confidence intervals'!AS10</f>
        <v>0.0056</v>
      </c>
      <c r="W45" s="431">
        <f>'Confidence intervals'!AV10</f>
        <v>0.007</v>
      </c>
      <c r="X45" s="431">
        <f>'Confidence intervals'!AY10</f>
        <v>0.0041</v>
      </c>
      <c r="Y45" s="431">
        <f>'Confidence intervals'!BB10</f>
        <v>0.0049</v>
      </c>
      <c r="Z45" s="431">
        <f>'Confidence intervals'!BE10</f>
        <v>0.0028</v>
      </c>
      <c r="AA45" s="431">
        <f>'Confidence intervals'!BH10</f>
        <v>0.0035</v>
      </c>
      <c r="AB45" s="431">
        <f>'Confidence intervals'!BK10</f>
        <v>0.0067</v>
      </c>
      <c r="AC45" s="431">
        <f>'Confidence intervals'!BN10</f>
        <v>0.0043</v>
      </c>
      <c r="AD45" s="431">
        <f>'Confidence intervals'!BQ10</f>
        <v>0.0026</v>
      </c>
      <c r="AE45" s="431">
        <f>'Confidence intervals'!BT10</f>
        <v>0.0058</v>
      </c>
      <c r="AF45" s="431">
        <f>'Confidence intervals'!BW10</f>
        <v>0.0122</v>
      </c>
      <c r="AG45" s="431">
        <f>'Confidence intervals'!BZ10</f>
        <v>0.0041</v>
      </c>
      <c r="AH45" s="431">
        <f>'Confidence intervals'!CC10</f>
        <v>0.0126</v>
      </c>
      <c r="AI45" s="431">
        <f>'Confidence intervals'!CF10</f>
        <v>0.0056</v>
      </c>
      <c r="AJ45" s="431">
        <f>'Confidence intervals'!CI10</f>
        <v>0.0045</v>
      </c>
      <c r="AK45" s="975"/>
    </row>
    <row r="46">
      <c r="A46" s="101"/>
      <c r="B46" s="102"/>
      <c r="C46" s="109"/>
      <c r="D46" s="102"/>
      <c r="E46" s="610" t="s">
        <v>563</v>
      </c>
      <c r="F46" s="176" t="s">
        <v>112</v>
      </c>
      <c r="G46" s="176" t="s">
        <v>213</v>
      </c>
      <c r="H46" s="235" t="s">
        <v>165</v>
      </c>
      <c r="I46" s="976">
        <f>'Confidence intervals'!F11</f>
        <v>0.012</v>
      </c>
      <c r="J46" s="976">
        <f>'Confidence intervals'!I11</f>
        <v>0.033</v>
      </c>
      <c r="K46" s="976">
        <f>'Confidence intervals'!L11</f>
        <v>0.008</v>
      </c>
      <c r="L46" s="976">
        <f>'Confidence intervals'!O11</f>
        <v>0.027</v>
      </c>
      <c r="M46" s="976">
        <f>'Confidence intervals'!R11</f>
        <v>0.01</v>
      </c>
      <c r="N46" s="976">
        <f>'Confidence intervals'!U11</f>
        <v>0.012</v>
      </c>
      <c r="O46" s="976">
        <f>'Confidence intervals'!X11</f>
        <v>0.04</v>
      </c>
      <c r="P46" s="976">
        <f>'Confidence intervals'!AA11</f>
        <v>0.016</v>
      </c>
      <c r="Q46" s="976">
        <f>'Confidence intervals'!AD11</f>
        <v>0.038</v>
      </c>
      <c r="R46" s="976">
        <f>'Confidence intervals'!AG11</f>
        <v>0.011</v>
      </c>
      <c r="S46" s="976">
        <f>'Confidence intervals'!AJ11</f>
        <v>0.002</v>
      </c>
      <c r="T46" s="976">
        <f>'Confidence intervals'!AM11</f>
        <v>0</v>
      </c>
      <c r="U46" s="976">
        <f>'Confidence intervals'!AP11</f>
        <v>0.005</v>
      </c>
      <c r="V46" s="976">
        <f>'Confidence intervals'!AS11</f>
        <v>0.001</v>
      </c>
      <c r="W46" s="976">
        <f>'Confidence intervals'!AV11</f>
        <v>0.01</v>
      </c>
      <c r="X46" s="976">
        <f>'Confidence intervals'!AY11</f>
        <v>0.001</v>
      </c>
      <c r="Y46" s="976">
        <f>'Confidence intervals'!BB11</f>
        <v>0.003</v>
      </c>
      <c r="Z46" s="976">
        <f>'Confidence intervals'!BE11</f>
        <v>0.002</v>
      </c>
      <c r="AA46" s="976">
        <f>'Confidence intervals'!BH11</f>
        <v>0.003</v>
      </c>
      <c r="AB46" s="976">
        <f>'Confidence intervals'!BK11</f>
        <v>0.008</v>
      </c>
      <c r="AC46" s="976">
        <f>'Confidence intervals'!BN11</f>
        <v>0.002</v>
      </c>
      <c r="AD46" s="976">
        <f>'Confidence intervals'!BQ11</f>
        <v>0.001</v>
      </c>
      <c r="AE46" s="976">
        <f>'Confidence intervals'!BT11</f>
        <v>0.004</v>
      </c>
      <c r="AF46" s="976">
        <f>'Confidence intervals'!BW11</f>
        <v>0.017</v>
      </c>
      <c r="AG46" s="976">
        <f>'Confidence intervals'!BZ11</f>
        <v>0.016</v>
      </c>
      <c r="AH46" s="976">
        <f>'Confidence intervals'!CC11</f>
        <v>0.043</v>
      </c>
      <c r="AI46" s="976">
        <f>'Confidence intervals'!CF11</f>
        <v>0.035</v>
      </c>
      <c r="AJ46" s="976">
        <f>'Confidence intervals'!CI11</f>
        <v>0.009</v>
      </c>
      <c r="AK46" s="977"/>
    </row>
    <row r="47">
      <c r="A47" s="101"/>
      <c r="B47" s="102"/>
      <c r="C47" s="109"/>
      <c r="D47" s="102"/>
      <c r="E47" s="956"/>
      <c r="F47" s="132"/>
      <c r="G47" s="132"/>
      <c r="H47" s="105"/>
      <c r="I47" s="957"/>
      <c r="J47" s="957"/>
      <c r="K47" s="957"/>
      <c r="L47" s="957"/>
      <c r="M47" s="957"/>
      <c r="N47" s="957"/>
      <c r="O47" s="957"/>
      <c r="P47" s="957"/>
      <c r="Q47" s="957"/>
      <c r="R47" s="957"/>
      <c r="S47" s="957"/>
      <c r="T47" s="957"/>
      <c r="U47" s="957"/>
      <c r="V47" s="957"/>
      <c r="W47" s="957"/>
      <c r="X47" s="957"/>
      <c r="Y47" s="957"/>
      <c r="Z47" s="957"/>
      <c r="AA47" s="957"/>
      <c r="AB47" s="957"/>
      <c r="AC47" s="957"/>
      <c r="AD47" s="957"/>
      <c r="AE47" s="957"/>
      <c r="AF47" s="957"/>
      <c r="AG47" s="957"/>
      <c r="AH47" s="957"/>
      <c r="AI47" s="957"/>
      <c r="AJ47" s="957"/>
      <c r="AK47" s="958"/>
    </row>
    <row r="48">
      <c r="A48" s="101"/>
      <c r="B48" s="102"/>
      <c r="C48" s="109" t="s">
        <v>577</v>
      </c>
      <c r="F48" s="132"/>
      <c r="G48" s="132"/>
      <c r="H48" s="105"/>
      <c r="I48" s="957"/>
      <c r="J48" s="957"/>
      <c r="K48" s="957"/>
      <c r="L48" s="957"/>
      <c r="M48" s="957"/>
      <c r="N48" s="957"/>
      <c r="O48" s="957"/>
      <c r="P48" s="957"/>
      <c r="Q48" s="957"/>
      <c r="R48" s="957"/>
      <c r="S48" s="957"/>
      <c r="T48" s="957"/>
      <c r="U48" s="957"/>
      <c r="V48" s="957"/>
      <c r="W48" s="957"/>
      <c r="X48" s="957"/>
      <c r="Y48" s="957"/>
      <c r="Z48" s="957"/>
      <c r="AA48" s="957"/>
      <c r="AB48" s="957"/>
      <c r="AC48" s="957"/>
      <c r="AD48" s="957"/>
      <c r="AE48" s="957"/>
      <c r="AF48" s="957"/>
      <c r="AG48" s="957"/>
      <c r="AH48" s="957"/>
      <c r="AI48" s="957"/>
      <c r="AJ48" s="957"/>
      <c r="AK48" s="958"/>
    </row>
    <row r="49">
      <c r="A49" s="978"/>
      <c r="B49" s="979"/>
      <c r="C49" s="980"/>
      <c r="D49" s="979"/>
      <c r="E49" s="981" t="s">
        <v>578</v>
      </c>
      <c r="F49" s="544" t="s">
        <v>112</v>
      </c>
      <c r="G49" s="544" t="s">
        <v>213</v>
      </c>
      <c r="H49" s="249" t="s">
        <v>165</v>
      </c>
      <c r="I49" s="675">
        <f>'Confidence intervals'!F14</f>
        <v>0.05</v>
      </c>
      <c r="J49" s="675">
        <f>'Confidence intervals'!I14</f>
        <v>0.05</v>
      </c>
      <c r="K49" s="675">
        <f>'Confidence intervals'!L14</f>
        <v>0.05</v>
      </c>
      <c r="L49" s="675">
        <f>'Confidence intervals'!O14</f>
        <v>0.05</v>
      </c>
      <c r="M49" s="675">
        <f>'Confidence intervals'!R14</f>
        <v>0.05</v>
      </c>
      <c r="N49" s="675">
        <f>'Confidence intervals'!U14</f>
        <v>0.05</v>
      </c>
      <c r="O49" s="675">
        <f>'Confidence intervals'!X14</f>
        <v>0.05</v>
      </c>
      <c r="P49" s="675">
        <f>'Confidence intervals'!AA14</f>
        <v>0.05</v>
      </c>
      <c r="Q49" s="675">
        <f>'Confidence intervals'!AD14</f>
        <v>0.05</v>
      </c>
      <c r="R49" s="675">
        <f>'Confidence intervals'!AG14</f>
        <v>0.05</v>
      </c>
      <c r="S49" s="675">
        <f>'Confidence intervals'!AJ14</f>
        <v>0.05</v>
      </c>
      <c r="T49" s="675">
        <f>'Confidence intervals'!AM14</f>
        <v>0.05</v>
      </c>
      <c r="U49" s="675">
        <f>'Confidence intervals'!AP14</f>
        <v>0.05</v>
      </c>
      <c r="V49" s="675">
        <f>'Confidence intervals'!AS14</f>
        <v>0.05</v>
      </c>
      <c r="W49" s="675">
        <f>'Confidence intervals'!AV14</f>
        <v>0.05</v>
      </c>
      <c r="X49" s="675">
        <f>'Confidence intervals'!AY14</f>
        <v>0.05</v>
      </c>
      <c r="Y49" s="675">
        <f>'Confidence intervals'!BB14</f>
        <v>0.05</v>
      </c>
      <c r="Z49" s="675">
        <f>'Confidence intervals'!BE14</f>
        <v>0.05</v>
      </c>
      <c r="AA49" s="675">
        <f>'Confidence intervals'!BH14</f>
        <v>0.05</v>
      </c>
      <c r="AB49" s="675">
        <f>'Confidence intervals'!BK14</f>
        <v>0.05</v>
      </c>
      <c r="AC49" s="675">
        <f>'Confidence intervals'!BN14</f>
        <v>0.05</v>
      </c>
      <c r="AD49" s="675">
        <f>'Confidence intervals'!BQ14</f>
        <v>0.05</v>
      </c>
      <c r="AE49" s="675">
        <f>'Confidence intervals'!BT14</f>
        <v>0.05</v>
      </c>
      <c r="AF49" s="675">
        <f>'Confidence intervals'!BW14</f>
        <v>0.05</v>
      </c>
      <c r="AG49" s="675">
        <f>'Confidence intervals'!BZ14</f>
        <v>0.05</v>
      </c>
      <c r="AH49" s="675">
        <f>'Confidence intervals'!CC14</f>
        <v>0.05</v>
      </c>
      <c r="AI49" s="675">
        <f>'Confidence intervals'!CF14</f>
        <v>0.05</v>
      </c>
      <c r="AJ49" s="675">
        <f>'Confidence intervals'!CI14</f>
        <v>0.05</v>
      </c>
      <c r="AK49" s="982"/>
    </row>
    <row r="50">
      <c r="A50" s="101"/>
      <c r="B50" s="102"/>
      <c r="C50" s="109"/>
      <c r="D50" s="102"/>
      <c r="E50" s="956"/>
      <c r="F50" s="132"/>
      <c r="G50" s="132"/>
      <c r="H50" s="105"/>
      <c r="I50" s="957"/>
      <c r="J50" s="957"/>
      <c r="K50" s="957"/>
      <c r="L50" s="957"/>
      <c r="M50" s="957"/>
      <c r="N50" s="957"/>
      <c r="O50" s="957"/>
      <c r="P50" s="957"/>
      <c r="Q50" s="957"/>
      <c r="R50" s="957"/>
      <c r="S50" s="957"/>
      <c r="T50" s="957"/>
      <c r="U50" s="957"/>
      <c r="V50" s="957"/>
      <c r="W50" s="957"/>
      <c r="X50" s="957"/>
      <c r="Y50" s="957"/>
      <c r="Z50" s="957"/>
      <c r="AA50" s="957"/>
      <c r="AB50" s="957"/>
      <c r="AC50" s="957"/>
      <c r="AD50" s="957"/>
      <c r="AE50" s="957"/>
      <c r="AF50" s="957"/>
      <c r="AG50" s="957"/>
      <c r="AH50" s="957"/>
      <c r="AI50" s="957"/>
      <c r="AJ50" s="957"/>
      <c r="AK50" s="958"/>
    </row>
    <row r="51">
      <c r="A51" s="101"/>
      <c r="B51" s="102"/>
      <c r="C51" s="801" t="s">
        <v>579</v>
      </c>
      <c r="F51" s="61"/>
      <c r="G51" s="61"/>
      <c r="H51" s="105"/>
      <c r="I51" s="957"/>
      <c r="J51" s="957"/>
      <c r="K51" s="957"/>
      <c r="L51" s="957"/>
      <c r="M51" s="957"/>
      <c r="N51" s="957"/>
      <c r="O51" s="957"/>
      <c r="P51" s="957"/>
      <c r="Q51" s="957"/>
      <c r="R51" s="957"/>
      <c r="S51" s="957"/>
      <c r="T51" s="957"/>
      <c r="U51" s="957"/>
      <c r="V51" s="957"/>
      <c r="W51" s="957"/>
      <c r="X51" s="957"/>
      <c r="Y51" s="957"/>
      <c r="Z51" s="957"/>
      <c r="AA51" s="957"/>
      <c r="AB51" s="957"/>
      <c r="AC51" s="957"/>
      <c r="AD51" s="957"/>
      <c r="AE51" s="957"/>
      <c r="AF51" s="957"/>
      <c r="AG51" s="957"/>
      <c r="AH51" s="957"/>
      <c r="AI51" s="957"/>
      <c r="AJ51" s="957"/>
      <c r="AK51" s="958"/>
    </row>
    <row r="52">
      <c r="A52" s="978"/>
      <c r="B52" s="979"/>
      <c r="C52" s="983"/>
      <c r="D52" s="969"/>
      <c r="E52" s="984" t="s">
        <v>580</v>
      </c>
      <c r="F52" s="985" t="s">
        <v>112</v>
      </c>
      <c r="G52" s="986" t="s">
        <v>213</v>
      </c>
      <c r="H52" s="256" t="s">
        <v>165</v>
      </c>
      <c r="I52" s="166">
        <f>'Confidence intervals'!F17</f>
        <v>0.51</v>
      </c>
      <c r="J52" s="166">
        <f>'Confidence intervals'!I17</f>
        <v>0.49</v>
      </c>
      <c r="K52" s="166">
        <f>'Confidence intervals'!L17</f>
        <v>0.49</v>
      </c>
      <c r="L52" s="166">
        <f>'Confidence intervals'!O17</f>
        <v>0.49</v>
      </c>
      <c r="M52" s="166">
        <f>'Confidence intervals'!R17</f>
        <v>0.48</v>
      </c>
      <c r="N52" s="166">
        <f>'Confidence intervals'!U17</f>
        <v>0.49</v>
      </c>
      <c r="O52" s="166">
        <f>'Confidence intervals'!X17</f>
        <v>0.49</v>
      </c>
      <c r="P52" s="166">
        <f>'Confidence intervals'!AA17</f>
        <v>0.5</v>
      </c>
      <c r="Q52" s="166">
        <f>'Confidence intervals'!AD17</f>
        <v>0.48</v>
      </c>
      <c r="R52" s="166">
        <f>'Confidence intervals'!AG17</f>
        <v>0.5</v>
      </c>
      <c r="S52" s="166">
        <f>'Confidence intervals'!AJ17</f>
        <v>0.47</v>
      </c>
      <c r="T52" s="166">
        <f>'Confidence intervals'!AM17</f>
        <v>0.49</v>
      </c>
      <c r="U52" s="166">
        <f>'Confidence intervals'!AP17</f>
        <v>0.51</v>
      </c>
      <c r="V52" s="166">
        <f>'Confidence intervals'!AS17</f>
        <v>0.5</v>
      </c>
      <c r="W52" s="166">
        <f>'Confidence intervals'!AV17</f>
        <v>0.49</v>
      </c>
      <c r="X52" s="166">
        <f>'Confidence intervals'!AY17</f>
        <v>0.48</v>
      </c>
      <c r="Y52" s="166">
        <f>'Confidence intervals'!BB17</f>
        <v>0.48</v>
      </c>
      <c r="Z52" s="166">
        <f>'Confidence intervals'!BE17</f>
        <v>0.48</v>
      </c>
      <c r="AA52" s="166">
        <f>'Confidence intervals'!BH17</f>
        <v>0.49</v>
      </c>
      <c r="AB52" s="166">
        <f>'Confidence intervals'!BK17</f>
        <v>0.62</v>
      </c>
      <c r="AC52" s="166">
        <f>'Confidence intervals'!BN17</f>
        <v>0.62</v>
      </c>
      <c r="AD52" s="166">
        <f>'Confidence intervals'!BQ17</f>
        <v>0.63</v>
      </c>
      <c r="AE52" s="166">
        <f>'Confidence intervals'!BT17</f>
        <v>0.61</v>
      </c>
      <c r="AF52" s="166">
        <f>'Confidence intervals'!BW17</f>
        <v>0.61</v>
      </c>
      <c r="AG52" s="166">
        <f>'Confidence intervals'!BZ17</f>
        <v>0.61</v>
      </c>
      <c r="AH52" s="166">
        <f>'Confidence intervals'!CC17</f>
        <v>0.62</v>
      </c>
      <c r="AI52" s="166">
        <f>'Confidence intervals'!CF17</f>
        <v>0.63</v>
      </c>
      <c r="AJ52" s="166">
        <f>'Confidence intervals'!CI17</f>
        <v>0.49</v>
      </c>
      <c r="AK52" s="987"/>
    </row>
    <row r="53">
      <c r="A53" s="978"/>
      <c r="B53" s="979"/>
      <c r="C53" s="980"/>
      <c r="D53" s="979"/>
      <c r="E53" s="988" t="s">
        <v>582</v>
      </c>
      <c r="F53" s="990" t="s">
        <v>112</v>
      </c>
      <c r="G53" s="991" t="s">
        <v>213</v>
      </c>
      <c r="H53" s="223" t="s">
        <v>165</v>
      </c>
      <c r="I53" s="187">
        <f>'Confidence intervals'!F18</f>
        <v>-0.4</v>
      </c>
      <c r="J53" s="187">
        <f>'Confidence intervals'!I18</f>
        <v>-0.4</v>
      </c>
      <c r="K53" s="187">
        <f>'Confidence intervals'!L18</f>
        <v>-0.4</v>
      </c>
      <c r="L53" s="187">
        <f>'Confidence intervals'!O18</f>
        <v>-0.4</v>
      </c>
      <c r="M53" s="187">
        <f>'Confidence intervals'!R18</f>
        <v>-0.4</v>
      </c>
      <c r="N53" s="187">
        <f>'Confidence intervals'!U18</f>
        <v>-0.4</v>
      </c>
      <c r="O53" s="187">
        <f>'Confidence intervals'!X18</f>
        <v>-0.4</v>
      </c>
      <c r="P53" s="187">
        <f>'Confidence intervals'!AA18</f>
        <v>-0.4</v>
      </c>
      <c r="Q53" s="187">
        <f>'Confidence intervals'!AD18</f>
        <v>-0.4</v>
      </c>
      <c r="R53" s="187">
        <f>'Confidence intervals'!AG18</f>
        <v>-0.4</v>
      </c>
      <c r="S53" s="187">
        <f>'Confidence intervals'!AJ18</f>
        <v>-0.4</v>
      </c>
      <c r="T53" s="187">
        <f>'Confidence intervals'!AM18</f>
        <v>-0.4</v>
      </c>
      <c r="U53" s="187">
        <f>'Confidence intervals'!AP18</f>
        <v>-0.4</v>
      </c>
      <c r="V53" s="187">
        <f>'Confidence intervals'!AS18</f>
        <v>-0.4</v>
      </c>
      <c r="W53" s="187">
        <f>'Confidence intervals'!AV18</f>
        <v>-0.4</v>
      </c>
      <c r="X53" s="187">
        <f>'Confidence intervals'!AY18</f>
        <v>-0.4</v>
      </c>
      <c r="Y53" s="187">
        <f>'Confidence intervals'!BB18</f>
        <v>-0.4</v>
      </c>
      <c r="Z53" s="187">
        <f>'Confidence intervals'!BE18</f>
        <v>-0.4</v>
      </c>
      <c r="AA53" s="187">
        <f>'Confidence intervals'!BH18</f>
        <v>-0.4</v>
      </c>
      <c r="AB53" s="187">
        <f>'Confidence intervals'!BK18</f>
        <v>-0.4</v>
      </c>
      <c r="AC53" s="187">
        <f>'Confidence intervals'!BN18</f>
        <v>-0.4</v>
      </c>
      <c r="AD53" s="187">
        <f>'Confidence intervals'!BQ18</f>
        <v>-0.4</v>
      </c>
      <c r="AE53" s="187">
        <f>'Confidence intervals'!BT18</f>
        <v>-0.4</v>
      </c>
      <c r="AF53" s="187">
        <f>'Confidence intervals'!BW18</f>
        <v>-0.4</v>
      </c>
      <c r="AG53" s="187">
        <f>'Confidence intervals'!BZ18</f>
        <v>-0.43</v>
      </c>
      <c r="AH53" s="187">
        <f>'Confidence intervals'!CC18</f>
        <v>-0.43</v>
      </c>
      <c r="AI53" s="187">
        <f>'Confidence intervals'!CF18</f>
        <v>-0.43</v>
      </c>
      <c r="AJ53" s="187">
        <f>'Confidence intervals'!CI18</f>
        <v>-0.43</v>
      </c>
      <c r="AK53" s="994"/>
    </row>
    <row r="54">
      <c r="A54" s="978"/>
      <c r="B54" s="979"/>
      <c r="C54" s="980"/>
      <c r="D54" s="979"/>
      <c r="E54" s="995" t="s">
        <v>589</v>
      </c>
      <c r="F54" s="522" t="s">
        <v>112</v>
      </c>
      <c r="G54" s="522" t="s">
        <v>213</v>
      </c>
      <c r="H54" s="235" t="s">
        <v>165</v>
      </c>
      <c r="I54" s="233" t="str">
        <f>'Confidence intervals'!F19</f>
        <v>-</v>
      </c>
      <c r="J54" s="233" t="str">
        <f>'Confidence intervals'!I19</f>
        <v>-</v>
      </c>
      <c r="K54" s="233" t="str">
        <f>'Confidence intervals'!L19</f>
        <v>-</v>
      </c>
      <c r="L54" s="233" t="str">
        <f>'Confidence intervals'!O19</f>
        <v>-</v>
      </c>
      <c r="M54" s="233" t="str">
        <f>'Confidence intervals'!R19</f>
        <v>-</v>
      </c>
      <c r="N54" s="233" t="str">
        <f>'Confidence intervals'!U19</f>
        <v>-</v>
      </c>
      <c r="O54" s="233" t="str">
        <f>'Confidence intervals'!X19</f>
        <v>-</v>
      </c>
      <c r="P54" s="233" t="str">
        <f>'Confidence intervals'!AA19</f>
        <v>-</v>
      </c>
      <c r="Q54" s="233" t="str">
        <f>'Confidence intervals'!AD19</f>
        <v>-</v>
      </c>
      <c r="R54" s="233" t="str">
        <f>'Confidence intervals'!AG19</f>
        <v>-</v>
      </c>
      <c r="S54" s="233" t="str">
        <f>'Confidence intervals'!AJ19</f>
        <v>-</v>
      </c>
      <c r="T54" s="233" t="str">
        <f>'Confidence intervals'!AM19</f>
        <v>-</v>
      </c>
      <c r="U54" s="233" t="str">
        <f>'Confidence intervals'!AP19</f>
        <v>-</v>
      </c>
      <c r="V54" s="233" t="str">
        <f>'Confidence intervals'!AS19</f>
        <v>-</v>
      </c>
      <c r="W54" s="233" t="str">
        <f>'Confidence intervals'!AV19</f>
        <v>-</v>
      </c>
      <c r="X54" s="233" t="str">
        <f>'Confidence intervals'!AY19</f>
        <v>-</v>
      </c>
      <c r="Y54" s="233" t="str">
        <f>'Confidence intervals'!BB19</f>
        <v>-</v>
      </c>
      <c r="Z54" s="233" t="str">
        <f>'Confidence intervals'!BE19</f>
        <v>-</v>
      </c>
      <c r="AA54" s="233" t="str">
        <f>'Confidence intervals'!BH19</f>
        <v>-</v>
      </c>
      <c r="AB54" s="233" t="str">
        <f>'Confidence intervals'!BK19</f>
        <v>-</v>
      </c>
      <c r="AC54" s="233" t="str">
        <f>'Confidence intervals'!BN19</f>
        <v>-</v>
      </c>
      <c r="AD54" s="233" t="str">
        <f>'Confidence intervals'!BQ19</f>
        <v>-</v>
      </c>
      <c r="AE54" s="233" t="str">
        <f>'Confidence intervals'!BT19</f>
        <v>-</v>
      </c>
      <c r="AF54" s="233" t="str">
        <f>'Confidence intervals'!BW19</f>
        <v>-</v>
      </c>
      <c r="AG54" s="233" t="str">
        <f>'Confidence intervals'!BZ19</f>
        <v>-</v>
      </c>
      <c r="AH54" s="233" t="str">
        <f>'Confidence intervals'!CC19</f>
        <v>-</v>
      </c>
      <c r="AI54" s="233" t="str">
        <f>'Confidence intervals'!CF19</f>
        <v>-</v>
      </c>
      <c r="AJ54" s="233" t="str">
        <f>'Confidence intervals'!CI19</f>
        <v>-</v>
      </c>
      <c r="AK54" s="996"/>
    </row>
    <row r="55">
      <c r="A55" s="101"/>
      <c r="B55" s="102"/>
      <c r="C55" s="109"/>
      <c r="D55" s="102"/>
      <c r="E55" s="956"/>
      <c r="F55" s="132"/>
      <c r="G55" s="132"/>
      <c r="H55" s="105"/>
      <c r="I55" s="957"/>
      <c r="J55" s="957"/>
      <c r="K55" s="957"/>
      <c r="L55" s="957"/>
      <c r="M55" s="957"/>
      <c r="N55" s="957"/>
      <c r="O55" s="957"/>
      <c r="P55" s="957"/>
      <c r="Q55" s="957"/>
      <c r="R55" s="957"/>
      <c r="S55" s="957"/>
      <c r="T55" s="957"/>
      <c r="U55" s="957"/>
      <c r="V55" s="957"/>
      <c r="W55" s="957"/>
      <c r="X55" s="957"/>
      <c r="Y55" s="957"/>
      <c r="Z55" s="957"/>
      <c r="AA55" s="957"/>
      <c r="AB55" s="957"/>
      <c r="AC55" s="957"/>
      <c r="AD55" s="957"/>
      <c r="AE55" s="957"/>
      <c r="AF55" s="957"/>
      <c r="AG55" s="957"/>
      <c r="AH55" s="957"/>
      <c r="AI55" s="957"/>
      <c r="AJ55" s="957"/>
      <c r="AK55" s="958"/>
    </row>
    <row r="56">
      <c r="A56" s="99" t="s">
        <v>610</v>
      </c>
      <c r="B56" s="12"/>
      <c r="C56" s="12"/>
      <c r="D56" s="12"/>
      <c r="E56" s="12"/>
      <c r="F56" s="12"/>
      <c r="G56" s="12"/>
      <c r="H56" s="97"/>
      <c r="I56" s="98"/>
      <c r="J56" s="864"/>
      <c r="K56" s="864"/>
      <c r="L56" s="864"/>
      <c r="M56" s="864"/>
      <c r="N56" s="864"/>
      <c r="O56" s="864"/>
      <c r="P56" s="864"/>
      <c r="Q56" s="864"/>
      <c r="R56" s="864"/>
      <c r="S56" s="864"/>
      <c r="T56" s="864"/>
      <c r="U56" s="864"/>
      <c r="V56" s="864"/>
      <c r="W56" s="864"/>
      <c r="X56" s="864"/>
      <c r="Y56" s="864"/>
      <c r="Z56" s="864"/>
      <c r="AA56" s="864"/>
      <c r="AB56" s="864"/>
      <c r="AC56" s="864"/>
      <c r="AD56" s="864"/>
      <c r="AE56" s="864"/>
      <c r="AF56" s="864"/>
      <c r="AG56" s="864"/>
      <c r="AH56" s="864"/>
      <c r="AI56" s="864"/>
      <c r="AJ56" s="864"/>
      <c r="AK56" s="865"/>
    </row>
    <row r="57">
      <c r="A57" s="101"/>
      <c r="B57" s="102"/>
      <c r="C57" s="109"/>
      <c r="D57" s="102"/>
      <c r="E57" s="956"/>
      <c r="F57" s="132"/>
      <c r="G57" s="132"/>
      <c r="H57" s="105"/>
      <c r="I57" s="957"/>
      <c r="J57" s="957"/>
      <c r="K57" s="957"/>
      <c r="L57" s="957"/>
      <c r="M57" s="957"/>
      <c r="N57" s="957"/>
      <c r="O57" s="957"/>
      <c r="P57" s="957"/>
      <c r="Q57" s="957"/>
      <c r="R57" s="957"/>
      <c r="S57" s="957"/>
      <c r="T57" s="957"/>
      <c r="U57" s="957"/>
      <c r="V57" s="957"/>
      <c r="W57" s="957"/>
      <c r="X57" s="957"/>
      <c r="Y57" s="957"/>
      <c r="Z57" s="957"/>
      <c r="AA57" s="957"/>
      <c r="AB57" s="957"/>
      <c r="AC57" s="957"/>
      <c r="AD57" s="957"/>
      <c r="AE57" s="957"/>
      <c r="AF57" s="957"/>
      <c r="AG57" s="957"/>
      <c r="AH57" s="957"/>
      <c r="AI57" s="957"/>
      <c r="AJ57" s="957"/>
      <c r="AK57" s="958"/>
    </row>
    <row r="58">
      <c r="A58" s="101"/>
      <c r="B58" s="102"/>
      <c r="C58" s="801" t="s">
        <v>544</v>
      </c>
      <c r="F58" s="132"/>
      <c r="G58" s="132"/>
      <c r="H58" s="105"/>
      <c r="I58" s="957"/>
      <c r="J58" s="957"/>
      <c r="K58" s="957"/>
      <c r="L58" s="957"/>
      <c r="M58" s="957"/>
      <c r="N58" s="957"/>
      <c r="O58" s="957"/>
      <c r="P58" s="957"/>
      <c r="Q58" s="957"/>
      <c r="R58" s="957"/>
      <c r="S58" s="957"/>
      <c r="T58" s="957"/>
      <c r="U58" s="957"/>
      <c r="V58" s="957"/>
      <c r="W58" s="957"/>
      <c r="X58" s="957"/>
      <c r="Y58" s="957"/>
      <c r="Z58" s="957"/>
      <c r="AA58" s="957"/>
      <c r="AB58" s="957"/>
      <c r="AC58" s="957"/>
      <c r="AD58" s="957"/>
      <c r="AE58" s="957"/>
      <c r="AF58" s="957"/>
      <c r="AG58" s="957"/>
      <c r="AH58" s="957"/>
      <c r="AI58" s="957"/>
      <c r="AJ58" s="957"/>
      <c r="AK58" s="958"/>
    </row>
    <row r="59">
      <c r="A59" s="101"/>
      <c r="B59" s="102"/>
      <c r="C59" s="109"/>
      <c r="D59" s="102"/>
      <c r="E59" s="396" t="s">
        <v>545</v>
      </c>
      <c r="F59" s="114" t="s">
        <v>108</v>
      </c>
      <c r="G59" s="114" t="s">
        <v>213</v>
      </c>
      <c r="H59" s="256" t="s">
        <v>165</v>
      </c>
      <c r="I59" s="291">
        <f>'Confidence intervals'!H8</f>
        <v>2.68</v>
      </c>
      <c r="J59" s="291">
        <f>'Confidence intervals'!K8</f>
        <v>2.89</v>
      </c>
      <c r="K59" s="291">
        <f>'Confidence intervals'!N8</f>
        <v>2.57</v>
      </c>
      <c r="L59" s="291">
        <f>'Confidence intervals'!Q8</f>
        <v>2.57</v>
      </c>
      <c r="M59" s="291">
        <f>'Confidence intervals'!T8</f>
        <v>3.5</v>
      </c>
      <c r="N59" s="291">
        <f>'Confidence intervals'!W8</f>
        <v>2.57</v>
      </c>
      <c r="O59" s="291">
        <f>'Confidence intervals'!Z8</f>
        <v>2.57</v>
      </c>
      <c r="P59" s="291">
        <f>'Confidence intervals'!AC8</f>
        <v>2.04</v>
      </c>
      <c r="Q59" s="291">
        <f>'Confidence intervals'!AF8</f>
        <v>2.19</v>
      </c>
      <c r="R59" s="291">
        <f>'Confidence intervals'!AI8</f>
        <v>2.57</v>
      </c>
      <c r="S59" s="291">
        <f>'Confidence intervals'!AL8</f>
        <v>2.57</v>
      </c>
      <c r="T59" s="291">
        <f>'Confidence intervals'!AO8</f>
        <v>2.57</v>
      </c>
      <c r="U59" s="291">
        <f>'Confidence intervals'!AR8</f>
        <v>2.57</v>
      </c>
      <c r="V59" s="291">
        <f>'Confidence intervals'!AU8</f>
        <v>2.57</v>
      </c>
      <c r="W59" s="291">
        <f>'Confidence intervals'!AX8</f>
        <v>2.57</v>
      </c>
      <c r="X59" s="291">
        <f>'Confidence intervals'!BA8</f>
        <v>2.57</v>
      </c>
      <c r="Y59" s="291">
        <f>'Confidence intervals'!BD8</f>
        <v>2.57</v>
      </c>
      <c r="Z59" s="291">
        <f>'Confidence intervals'!BG8</f>
        <v>2.57</v>
      </c>
      <c r="AA59" s="291">
        <f>'Confidence intervals'!BJ8</f>
        <v>2.57</v>
      </c>
      <c r="AB59" s="291">
        <f>'Confidence intervals'!BM8</f>
        <v>2.57</v>
      </c>
      <c r="AC59" s="291">
        <f>'Confidence intervals'!BP8</f>
        <v>2.57</v>
      </c>
      <c r="AD59" s="291">
        <f>'Confidence intervals'!BS8</f>
        <v>2.57</v>
      </c>
      <c r="AE59" s="291">
        <f>'Confidence intervals'!BV8</f>
        <v>2.57</v>
      </c>
      <c r="AF59" s="291">
        <f>'Confidence intervals'!BY8</f>
        <v>2.57</v>
      </c>
      <c r="AG59" s="291">
        <f>'Confidence intervals'!CB8</f>
        <v>4.02</v>
      </c>
      <c r="AH59" s="291">
        <f>'Confidence intervals'!CE8</f>
        <v>4.02</v>
      </c>
      <c r="AI59" s="291">
        <f>'Confidence intervals'!CH8</f>
        <v>3.01</v>
      </c>
      <c r="AJ59" s="291">
        <f>'Confidence intervals'!CK8</f>
        <v>2.82</v>
      </c>
      <c r="AK59" s="967"/>
    </row>
    <row r="60">
      <c r="A60" s="101"/>
      <c r="B60" s="102"/>
      <c r="C60" s="109"/>
      <c r="D60" s="102"/>
      <c r="E60" s="598" t="s">
        <v>549</v>
      </c>
      <c r="F60" s="145" t="s">
        <v>112</v>
      </c>
      <c r="G60" s="145" t="s">
        <v>213</v>
      </c>
      <c r="H60" s="223" t="s">
        <v>165</v>
      </c>
      <c r="I60" s="187">
        <f>'Confidence intervals'!H9</f>
        <v>0.45</v>
      </c>
      <c r="J60" s="187">
        <f>'Confidence intervals'!K9</f>
        <v>0.45</v>
      </c>
      <c r="K60" s="187">
        <f>'Confidence intervals'!N9</f>
        <v>0.45</v>
      </c>
      <c r="L60" s="187">
        <f>'Confidence intervals'!Q9</f>
        <v>0.45</v>
      </c>
      <c r="M60" s="187">
        <f>'Confidence intervals'!T9</f>
        <v>0.45</v>
      </c>
      <c r="N60" s="187">
        <f>'Confidence intervals'!W9</f>
        <v>0.45</v>
      </c>
      <c r="O60" s="187">
        <f>'Confidence intervals'!Z9</f>
        <v>0.55</v>
      </c>
      <c r="P60" s="187">
        <f>'Confidence intervals'!AC9</f>
        <v>0.45</v>
      </c>
      <c r="Q60" s="187">
        <f>'Confidence intervals'!AF9</f>
        <v>0.45</v>
      </c>
      <c r="R60" s="187">
        <f>'Confidence intervals'!AI9</f>
        <v>0.45</v>
      </c>
      <c r="S60" s="187">
        <f>'Confidence intervals'!AL9</f>
        <v>0.45</v>
      </c>
      <c r="T60" s="187">
        <f>'Confidence intervals'!AO9</f>
        <v>0.45</v>
      </c>
      <c r="U60" s="187">
        <f>'Confidence intervals'!AR9</f>
        <v>0.45</v>
      </c>
      <c r="V60" s="187">
        <f>'Confidence intervals'!AU9</f>
        <v>0.45</v>
      </c>
      <c r="W60" s="187">
        <f>'Confidence intervals'!AX9</f>
        <v>0.45</v>
      </c>
      <c r="X60" s="187">
        <f>'Confidence intervals'!BA9</f>
        <v>0.45</v>
      </c>
      <c r="Y60" s="187">
        <f>'Confidence intervals'!BD9</f>
        <v>0.45</v>
      </c>
      <c r="Z60" s="187">
        <f>'Confidence intervals'!BG9</f>
        <v>0.45</v>
      </c>
      <c r="AA60" s="187">
        <f>'Confidence intervals'!BJ9</f>
        <v>0.45</v>
      </c>
      <c r="AB60" s="187">
        <f>'Confidence intervals'!BM9</f>
        <v>0.45</v>
      </c>
      <c r="AC60" s="187">
        <f>'Confidence intervals'!BP9</f>
        <v>0.45</v>
      </c>
      <c r="AD60" s="187">
        <f>'Confidence intervals'!BS9</f>
        <v>0.45</v>
      </c>
      <c r="AE60" s="187">
        <f>'Confidence intervals'!BV9</f>
        <v>0.45</v>
      </c>
      <c r="AF60" s="187">
        <f>'Confidence intervals'!BY9</f>
        <v>0.45</v>
      </c>
      <c r="AG60" s="187">
        <f>'Confidence intervals'!CB9</f>
        <v>0.45</v>
      </c>
      <c r="AH60" s="187">
        <f>'Confidence intervals'!CE9</f>
        <v>0.45</v>
      </c>
      <c r="AI60" s="187">
        <f>'Confidence intervals'!CH9</f>
        <v>0.45</v>
      </c>
      <c r="AJ60" s="187">
        <f>'Confidence intervals'!CK9</f>
        <v>0.45</v>
      </c>
      <c r="AK60" s="975"/>
    </row>
    <row r="61">
      <c r="A61" s="101"/>
      <c r="B61" s="102"/>
      <c r="C61" s="109"/>
      <c r="D61" s="102"/>
      <c r="E61" s="598" t="s">
        <v>558</v>
      </c>
      <c r="F61" s="145" t="s">
        <v>112</v>
      </c>
      <c r="G61" s="145" t="s">
        <v>213</v>
      </c>
      <c r="H61" s="223" t="s">
        <v>165</v>
      </c>
      <c r="I61" s="431">
        <f>'Confidence intervals'!H10</f>
        <v>0.019</v>
      </c>
      <c r="J61" s="431">
        <f>'Confidence intervals'!K10</f>
        <v>0.0097</v>
      </c>
      <c r="K61" s="431">
        <f>'Confidence intervals'!N10</f>
        <v>0.01</v>
      </c>
      <c r="L61" s="431">
        <f>'Confidence intervals'!Q10</f>
        <v>0.0084</v>
      </c>
      <c r="M61" s="431">
        <f>'Confidence intervals'!T10</f>
        <v>0.016</v>
      </c>
      <c r="N61" s="431">
        <f>'Confidence intervals'!W10</f>
        <v>0.0046</v>
      </c>
      <c r="O61" s="431">
        <f>'Confidence intervals'!Z10</f>
        <v>0.0089</v>
      </c>
      <c r="P61" s="431">
        <f>'Confidence intervals'!AC10</f>
        <v>0.0196</v>
      </c>
      <c r="Q61" s="431">
        <f>'Confidence intervals'!AF10</f>
        <v>0.0216</v>
      </c>
      <c r="R61" s="431">
        <f>'Confidence intervals'!AI10</f>
        <v>0.0175</v>
      </c>
      <c r="S61" s="431">
        <f>'Confidence intervals'!AL10</f>
        <v>0.0073</v>
      </c>
      <c r="T61" s="431">
        <f>'Confidence intervals'!AO10</f>
        <v>0.0053</v>
      </c>
      <c r="U61" s="431">
        <f>'Confidence intervals'!AR10</f>
        <v>0.0112</v>
      </c>
      <c r="V61" s="431">
        <f>'Confidence intervals'!AU10</f>
        <v>0.0095</v>
      </c>
      <c r="W61" s="431">
        <f>'Confidence intervals'!AX10</f>
        <v>0.0117</v>
      </c>
      <c r="X61" s="431">
        <f>'Confidence intervals'!BA10</f>
        <v>0.0073</v>
      </c>
      <c r="Y61" s="431">
        <f>'Confidence intervals'!BD10</f>
        <v>0.0085</v>
      </c>
      <c r="Z61" s="431">
        <f>'Confidence intervals'!BG10</f>
        <v>0.0051</v>
      </c>
      <c r="AA61" s="431">
        <f>'Confidence intervals'!BJ10</f>
        <v>0.0063</v>
      </c>
      <c r="AB61" s="431">
        <f>'Confidence intervals'!BM10</f>
        <v>0.0112</v>
      </c>
      <c r="AC61" s="431">
        <f>'Confidence intervals'!BP10</f>
        <v>0.0075</v>
      </c>
      <c r="AD61" s="431">
        <f>'Confidence intervals'!BS10</f>
        <v>0.0047</v>
      </c>
      <c r="AE61" s="431">
        <f>'Confidence intervals'!BV10</f>
        <v>0.0099</v>
      </c>
      <c r="AF61" s="431">
        <f>'Confidence intervals'!BY10</f>
        <v>0.019</v>
      </c>
      <c r="AG61" s="431">
        <f>'Confidence intervals'!CB10</f>
        <v>0.0073</v>
      </c>
      <c r="AH61" s="431">
        <f>'Confidence intervals'!CE10</f>
        <v>0.0196</v>
      </c>
      <c r="AI61" s="431">
        <f>'Confidence intervals'!CH10</f>
        <v>0.0096</v>
      </c>
      <c r="AJ61" s="431">
        <f>'Confidence intervals'!CK10</f>
        <v>0.0078</v>
      </c>
      <c r="AK61" s="975"/>
    </row>
    <row r="62">
      <c r="A62" s="101"/>
      <c r="B62" s="102"/>
      <c r="C62" s="109"/>
      <c r="D62" s="102"/>
      <c r="E62" s="610" t="s">
        <v>563</v>
      </c>
      <c r="F62" s="176" t="s">
        <v>112</v>
      </c>
      <c r="G62" s="176" t="s">
        <v>213</v>
      </c>
      <c r="H62" s="235" t="s">
        <v>165</v>
      </c>
      <c r="I62" s="976">
        <f>'Confidence intervals'!H11</f>
        <v>0.097</v>
      </c>
      <c r="J62" s="976">
        <f>'Confidence intervals'!K11</f>
        <v>0.15</v>
      </c>
      <c r="K62" s="976">
        <f>'Confidence intervals'!N11</f>
        <v>0.082</v>
      </c>
      <c r="L62" s="976">
        <f>'Confidence intervals'!Q11</f>
        <v>0.15</v>
      </c>
      <c r="M62" s="976">
        <f>'Confidence intervals'!T11</f>
        <v>0.09</v>
      </c>
      <c r="N62" s="976">
        <f>'Confidence intervals'!W11</f>
        <v>0.095</v>
      </c>
      <c r="O62" s="976">
        <f>'Confidence intervals'!Z11</f>
        <v>0.15</v>
      </c>
      <c r="P62" s="976">
        <f>'Confidence intervals'!AC11</f>
        <v>0.109</v>
      </c>
      <c r="Q62" s="976">
        <f>'Confidence intervals'!AF11</f>
        <v>0.15</v>
      </c>
      <c r="R62" s="976">
        <f>'Confidence intervals'!AI11</f>
        <v>0.093</v>
      </c>
      <c r="S62" s="976">
        <f>'Confidence intervals'!AL11</f>
        <v>0.053</v>
      </c>
      <c r="T62" s="976">
        <f>'Confidence intervals'!AO11</f>
        <v>0.042</v>
      </c>
      <c r="U62" s="976">
        <f>'Confidence intervals'!AR11</f>
        <v>0.069</v>
      </c>
      <c r="V62" s="976">
        <f>'Confidence intervals'!AU11</f>
        <v>0.047</v>
      </c>
      <c r="W62" s="976">
        <f>'Confidence intervals'!AX11</f>
        <v>0.091</v>
      </c>
      <c r="X62" s="976">
        <f>'Confidence intervals'!BA11</f>
        <v>0.047</v>
      </c>
      <c r="Y62" s="976">
        <f>'Confidence intervals'!BD11</f>
        <v>0.059</v>
      </c>
      <c r="Z62" s="976">
        <f>'Confidence intervals'!BG11</f>
        <v>0.056</v>
      </c>
      <c r="AA62" s="976">
        <f>'Confidence intervals'!BJ11</f>
        <v>0.059</v>
      </c>
      <c r="AB62" s="976">
        <f>'Confidence intervals'!BM11</f>
        <v>0.084</v>
      </c>
      <c r="AC62" s="976">
        <f>'Confidence intervals'!BP11</f>
        <v>0.056</v>
      </c>
      <c r="AD62" s="976">
        <f>'Confidence intervals'!BS11</f>
        <v>0.047</v>
      </c>
      <c r="AE62" s="976">
        <f>'Confidence intervals'!BV11</f>
        <v>0.065</v>
      </c>
      <c r="AF62" s="976">
        <f>'Confidence intervals'!BY11</f>
        <v>0.112</v>
      </c>
      <c r="AG62" s="976">
        <f>'Confidence intervals'!CB11</f>
        <v>0.108</v>
      </c>
      <c r="AH62" s="976">
        <f>'Confidence intervals'!CE11</f>
        <v>0.15</v>
      </c>
      <c r="AI62" s="976">
        <f>'Confidence intervals'!CH11</f>
        <v>0.15</v>
      </c>
      <c r="AJ62" s="976">
        <f>'Confidence intervals'!CK11</f>
        <v>0.087</v>
      </c>
      <c r="AK62" s="977"/>
    </row>
    <row r="63">
      <c r="A63" s="101"/>
      <c r="B63" s="102"/>
      <c r="C63" s="109"/>
      <c r="D63" s="102"/>
      <c r="E63" s="956"/>
      <c r="F63" s="132"/>
      <c r="G63" s="132"/>
      <c r="H63" s="105"/>
      <c r="I63" s="957"/>
      <c r="J63" s="957"/>
      <c r="K63" s="957"/>
      <c r="L63" s="957"/>
      <c r="M63" s="957"/>
      <c r="N63" s="957"/>
      <c r="O63" s="957"/>
      <c r="P63" s="957"/>
      <c r="Q63" s="957"/>
      <c r="R63" s="957"/>
      <c r="S63" s="957"/>
      <c r="T63" s="957"/>
      <c r="U63" s="957"/>
      <c r="V63" s="957"/>
      <c r="W63" s="957"/>
      <c r="X63" s="957"/>
      <c r="Y63" s="957"/>
      <c r="Z63" s="957"/>
      <c r="AA63" s="957"/>
      <c r="AB63" s="957"/>
      <c r="AC63" s="957"/>
      <c r="AD63" s="957"/>
      <c r="AE63" s="957"/>
      <c r="AF63" s="957"/>
      <c r="AG63" s="957"/>
      <c r="AH63" s="957"/>
      <c r="AI63" s="957"/>
      <c r="AJ63" s="957"/>
      <c r="AK63" s="958"/>
    </row>
    <row r="64">
      <c r="A64" s="101"/>
      <c r="B64" s="102"/>
      <c r="C64" s="109" t="s">
        <v>577</v>
      </c>
      <c r="F64" s="132"/>
      <c r="G64" s="132"/>
      <c r="H64" s="105"/>
      <c r="I64" s="957"/>
      <c r="J64" s="957"/>
      <c r="K64" s="957"/>
      <c r="L64" s="957"/>
      <c r="M64" s="957"/>
      <c r="N64" s="957"/>
      <c r="O64" s="957"/>
      <c r="P64" s="957"/>
      <c r="Q64" s="957"/>
      <c r="R64" s="957"/>
      <c r="S64" s="957"/>
      <c r="T64" s="957"/>
      <c r="U64" s="957"/>
      <c r="V64" s="957"/>
      <c r="W64" s="957"/>
      <c r="X64" s="957"/>
      <c r="Y64" s="957"/>
      <c r="Z64" s="957"/>
      <c r="AA64" s="957"/>
      <c r="AB64" s="957"/>
      <c r="AC64" s="957"/>
      <c r="AD64" s="957"/>
      <c r="AE64" s="957"/>
      <c r="AF64" s="957"/>
      <c r="AG64" s="957"/>
      <c r="AH64" s="957"/>
      <c r="AI64" s="957"/>
      <c r="AJ64" s="957"/>
      <c r="AK64" s="958"/>
    </row>
    <row r="65">
      <c r="A65" s="978"/>
      <c r="B65" s="979"/>
      <c r="C65" s="980"/>
      <c r="D65" s="979"/>
      <c r="E65" s="981" t="s">
        <v>578</v>
      </c>
      <c r="F65" s="544" t="s">
        <v>112</v>
      </c>
      <c r="G65" s="544" t="s">
        <v>213</v>
      </c>
      <c r="H65" s="249" t="s">
        <v>165</v>
      </c>
      <c r="I65" s="675">
        <f>'Confidence intervals'!H14</f>
        <v>0.6</v>
      </c>
      <c r="J65" s="675">
        <f>'Confidence intervals'!K14</f>
        <v>0.6</v>
      </c>
      <c r="K65" s="675">
        <f>'Confidence intervals'!N14</f>
        <v>0.6</v>
      </c>
      <c r="L65" s="675">
        <f>'Confidence intervals'!Q14</f>
        <v>0.6</v>
      </c>
      <c r="M65" s="675">
        <f>'Confidence intervals'!T14</f>
        <v>0.6</v>
      </c>
      <c r="N65" s="675">
        <f>'Confidence intervals'!W14</f>
        <v>0.6</v>
      </c>
      <c r="O65" s="675">
        <f>'Confidence intervals'!Z14</f>
        <v>0.6</v>
      </c>
      <c r="P65" s="675">
        <f>'Confidence intervals'!AC14</f>
        <v>0.6</v>
      </c>
      <c r="Q65" s="675">
        <f>'Confidence intervals'!AF14</f>
        <v>0.6</v>
      </c>
      <c r="R65" s="675">
        <f>'Confidence intervals'!AI14</f>
        <v>0.6</v>
      </c>
      <c r="S65" s="675">
        <f>'Confidence intervals'!AL14</f>
        <v>0.6</v>
      </c>
      <c r="T65" s="675">
        <f>'Confidence intervals'!AO14</f>
        <v>0.6</v>
      </c>
      <c r="U65" s="675">
        <f>'Confidence intervals'!AR14</f>
        <v>0.6</v>
      </c>
      <c r="V65" s="675">
        <f>'Confidence intervals'!AU14</f>
        <v>0.6</v>
      </c>
      <c r="W65" s="675">
        <f>'Confidence intervals'!AX14</f>
        <v>0.6</v>
      </c>
      <c r="X65" s="675">
        <f>'Confidence intervals'!BA14</f>
        <v>0.6</v>
      </c>
      <c r="Y65" s="675">
        <f>'Confidence intervals'!BD14</f>
        <v>0.6</v>
      </c>
      <c r="Z65" s="675">
        <f>'Confidence intervals'!BG14</f>
        <v>0.6</v>
      </c>
      <c r="AA65" s="675">
        <f>'Confidence intervals'!BJ14</f>
        <v>0.6</v>
      </c>
      <c r="AB65" s="675">
        <f>'Confidence intervals'!BM14</f>
        <v>0.6</v>
      </c>
      <c r="AC65" s="675">
        <f>'Confidence intervals'!BP14</f>
        <v>0.6</v>
      </c>
      <c r="AD65" s="675">
        <f>'Confidence intervals'!BS14</f>
        <v>0.6</v>
      </c>
      <c r="AE65" s="675">
        <f>'Confidence intervals'!BV14</f>
        <v>0.6</v>
      </c>
      <c r="AF65" s="675">
        <f>'Confidence intervals'!BY14</f>
        <v>0.6</v>
      </c>
      <c r="AG65" s="675">
        <f>'Confidence intervals'!CB14</f>
        <v>0.6</v>
      </c>
      <c r="AH65" s="675">
        <f>'Confidence intervals'!CE14</f>
        <v>0.6</v>
      </c>
      <c r="AI65" s="675">
        <f>'Confidence intervals'!CH14</f>
        <v>0.6</v>
      </c>
      <c r="AJ65" s="675">
        <f>'Confidence intervals'!CK14</f>
        <v>0.6</v>
      </c>
      <c r="AK65" s="982"/>
    </row>
    <row r="66">
      <c r="A66" s="101"/>
      <c r="B66" s="102"/>
      <c r="C66" s="109"/>
      <c r="D66" s="102"/>
      <c r="E66" s="956"/>
      <c r="F66" s="132"/>
      <c r="G66" s="132"/>
      <c r="H66" s="105"/>
      <c r="I66" s="957"/>
      <c r="J66" s="957"/>
      <c r="K66" s="957"/>
      <c r="L66" s="957"/>
      <c r="M66" s="957"/>
      <c r="N66" s="957"/>
      <c r="O66" s="957"/>
      <c r="P66" s="957"/>
      <c r="Q66" s="957"/>
      <c r="R66" s="957"/>
      <c r="S66" s="957"/>
      <c r="T66" s="957"/>
      <c r="U66" s="957"/>
      <c r="V66" s="957"/>
      <c r="W66" s="957"/>
      <c r="X66" s="957"/>
      <c r="Y66" s="957"/>
      <c r="Z66" s="957"/>
      <c r="AA66" s="957"/>
      <c r="AB66" s="957"/>
      <c r="AC66" s="957"/>
      <c r="AD66" s="957"/>
      <c r="AE66" s="957"/>
      <c r="AF66" s="957"/>
      <c r="AG66" s="957"/>
      <c r="AH66" s="957"/>
      <c r="AI66" s="957"/>
      <c r="AJ66" s="957"/>
      <c r="AK66" s="958"/>
    </row>
    <row r="67">
      <c r="A67" s="101"/>
      <c r="B67" s="102"/>
      <c r="C67" s="801" t="s">
        <v>579</v>
      </c>
      <c r="F67" s="61"/>
      <c r="G67" s="61"/>
      <c r="H67" s="105"/>
      <c r="I67" s="957"/>
      <c r="J67" s="957"/>
      <c r="K67" s="957"/>
      <c r="L67" s="957"/>
      <c r="M67" s="957"/>
      <c r="N67" s="957"/>
      <c r="O67" s="957"/>
      <c r="P67" s="957"/>
      <c r="Q67" s="957"/>
      <c r="R67" s="957"/>
      <c r="S67" s="957"/>
      <c r="T67" s="957"/>
      <c r="U67" s="957"/>
      <c r="V67" s="957"/>
      <c r="W67" s="957"/>
      <c r="X67" s="957"/>
      <c r="Y67" s="957"/>
      <c r="Z67" s="957"/>
      <c r="AA67" s="957"/>
      <c r="AB67" s="957"/>
      <c r="AC67" s="957"/>
      <c r="AD67" s="957"/>
      <c r="AE67" s="957"/>
      <c r="AF67" s="957"/>
      <c r="AG67" s="957"/>
      <c r="AH67" s="957"/>
      <c r="AI67" s="957"/>
      <c r="AJ67" s="957"/>
      <c r="AK67" s="958"/>
    </row>
    <row r="68">
      <c r="A68" s="978"/>
      <c r="B68" s="979"/>
      <c r="C68" s="983"/>
      <c r="D68" s="969"/>
      <c r="E68" s="984" t="s">
        <v>580</v>
      </c>
      <c r="F68" s="985" t="s">
        <v>112</v>
      </c>
      <c r="G68" s="986" t="s">
        <v>213</v>
      </c>
      <c r="H68" s="256" t="s">
        <v>165</v>
      </c>
      <c r="I68" s="166">
        <f>'Confidence intervals'!H17</f>
        <v>0.84</v>
      </c>
      <c r="J68" s="166">
        <f>'Confidence intervals'!K17</f>
        <v>0.86</v>
      </c>
      <c r="K68" s="166">
        <f>'Confidence intervals'!N17</f>
        <v>0.85</v>
      </c>
      <c r="L68" s="166">
        <f>'Confidence intervals'!Q17</f>
        <v>0.85</v>
      </c>
      <c r="M68" s="166">
        <f>'Confidence intervals'!T17</f>
        <v>0.84</v>
      </c>
      <c r="N68" s="166">
        <f>'Confidence intervals'!W17</f>
        <v>0.84</v>
      </c>
      <c r="O68" s="166">
        <f>'Confidence intervals'!Z17</f>
        <v>0.85</v>
      </c>
      <c r="P68" s="166">
        <f>'Confidence intervals'!AC17</f>
        <v>0.84</v>
      </c>
      <c r="Q68" s="166">
        <f>'Confidence intervals'!AF17</f>
        <v>0.85</v>
      </c>
      <c r="R68" s="166">
        <f>'Confidence intervals'!AI17</f>
        <v>0.85</v>
      </c>
      <c r="S68" s="166">
        <f>'Confidence intervals'!AL17</f>
        <v>0.85</v>
      </c>
      <c r="T68" s="166">
        <f>'Confidence intervals'!AO17</f>
        <v>0.85</v>
      </c>
      <c r="U68" s="166">
        <f>'Confidence intervals'!AR17</f>
        <v>0.84</v>
      </c>
      <c r="V68" s="166">
        <f>'Confidence intervals'!AU17</f>
        <v>0.85</v>
      </c>
      <c r="W68" s="166">
        <f>'Confidence intervals'!AX17</f>
        <v>0.84</v>
      </c>
      <c r="X68" s="166">
        <f>'Confidence intervals'!BA17</f>
        <v>0.84</v>
      </c>
      <c r="Y68" s="166">
        <f>'Confidence intervals'!BD17</f>
        <v>0.84</v>
      </c>
      <c r="Z68" s="166">
        <f>'Confidence intervals'!BG17</f>
        <v>0.84</v>
      </c>
      <c r="AA68" s="166">
        <f>'Confidence intervals'!BJ17</f>
        <v>0.84</v>
      </c>
      <c r="AB68" s="166">
        <f>'Confidence intervals'!BM17</f>
        <v>0.94</v>
      </c>
      <c r="AC68" s="166">
        <f>'Confidence intervals'!BP17</f>
        <v>0.93</v>
      </c>
      <c r="AD68" s="166">
        <f>'Confidence intervals'!BS17</f>
        <v>0.93</v>
      </c>
      <c r="AE68" s="166">
        <f>'Confidence intervals'!BV17</f>
        <v>0.93</v>
      </c>
      <c r="AF68" s="166">
        <f>'Confidence intervals'!BY17</f>
        <v>0.93</v>
      </c>
      <c r="AG68" s="166">
        <f>'Confidence intervals'!CB17</f>
        <v>0.93</v>
      </c>
      <c r="AH68" s="166">
        <f>'Confidence intervals'!CE17</f>
        <v>0.94</v>
      </c>
      <c r="AI68" s="166">
        <f>'Confidence intervals'!CH17</f>
        <v>0.94</v>
      </c>
      <c r="AJ68" s="166">
        <f>'Confidence intervals'!CK17</f>
        <v>0.84</v>
      </c>
      <c r="AK68" s="987"/>
    </row>
    <row r="69">
      <c r="A69" s="978"/>
      <c r="B69" s="979"/>
      <c r="C69" s="980"/>
      <c r="D69" s="979"/>
      <c r="E69" s="988" t="s">
        <v>582</v>
      </c>
      <c r="F69" s="990" t="s">
        <v>112</v>
      </c>
      <c r="G69" s="991" t="s">
        <v>213</v>
      </c>
      <c r="H69" s="223" t="s">
        <v>165</v>
      </c>
      <c r="I69" s="187">
        <f>'Confidence intervals'!H18</f>
        <v>-0.1</v>
      </c>
      <c r="J69" s="187">
        <f>'Confidence intervals'!K18</f>
        <v>-0.1</v>
      </c>
      <c r="K69" s="187">
        <f>'Confidence intervals'!N18</f>
        <v>-0.1</v>
      </c>
      <c r="L69" s="187">
        <f>'Confidence intervals'!Q18</f>
        <v>-0.1</v>
      </c>
      <c r="M69" s="187">
        <f>'Confidence intervals'!T18</f>
        <v>-0.1</v>
      </c>
      <c r="N69" s="187">
        <f>'Confidence intervals'!W18</f>
        <v>-0.1</v>
      </c>
      <c r="O69" s="187">
        <f>'Confidence intervals'!Z18</f>
        <v>-0.1</v>
      </c>
      <c r="P69" s="187">
        <f>'Confidence intervals'!AC18</f>
        <v>-0.1</v>
      </c>
      <c r="Q69" s="187">
        <f>'Confidence intervals'!AF18</f>
        <v>-0.1</v>
      </c>
      <c r="R69" s="187">
        <f>'Confidence intervals'!AI18</f>
        <v>-0.1</v>
      </c>
      <c r="S69" s="187">
        <f>'Confidence intervals'!AL18</f>
        <v>-0.1</v>
      </c>
      <c r="T69" s="187">
        <f>'Confidence intervals'!AO18</f>
        <v>-0.1</v>
      </c>
      <c r="U69" s="187">
        <f>'Confidence intervals'!AR18</f>
        <v>-0.1</v>
      </c>
      <c r="V69" s="187">
        <f>'Confidence intervals'!AU18</f>
        <v>-0.1</v>
      </c>
      <c r="W69" s="187">
        <f>'Confidence intervals'!AX18</f>
        <v>-0.1</v>
      </c>
      <c r="X69" s="187">
        <f>'Confidence intervals'!BA18</f>
        <v>-0.1</v>
      </c>
      <c r="Y69" s="187">
        <f>'Confidence intervals'!BD18</f>
        <v>-0.1</v>
      </c>
      <c r="Z69" s="187">
        <f>'Confidence intervals'!BG18</f>
        <v>-0.1</v>
      </c>
      <c r="AA69" s="187">
        <f>'Confidence intervals'!BJ18</f>
        <v>-0.1</v>
      </c>
      <c r="AB69" s="187">
        <f>'Confidence intervals'!BM18</f>
        <v>-0.1</v>
      </c>
      <c r="AC69" s="187">
        <f>'Confidence intervals'!BP18</f>
        <v>-0.1</v>
      </c>
      <c r="AD69" s="187">
        <f>'Confidence intervals'!BS18</f>
        <v>-0.1</v>
      </c>
      <c r="AE69" s="187">
        <f>'Confidence intervals'!BV18</f>
        <v>-0.1</v>
      </c>
      <c r="AF69" s="187">
        <f>'Confidence intervals'!BY18</f>
        <v>-0.1</v>
      </c>
      <c r="AG69" s="187">
        <f>'Confidence intervals'!CB18</f>
        <v>-0.11</v>
      </c>
      <c r="AH69" s="187">
        <f>'Confidence intervals'!CE18</f>
        <v>-0.11</v>
      </c>
      <c r="AI69" s="187">
        <f>'Confidence intervals'!CH18</f>
        <v>-0.11</v>
      </c>
      <c r="AJ69" s="187">
        <f>'Confidence intervals'!CK18</f>
        <v>-0.11</v>
      </c>
      <c r="AK69" s="994"/>
    </row>
    <row r="70">
      <c r="A70" s="978"/>
      <c r="B70" s="979"/>
      <c r="C70" s="980"/>
      <c r="D70" s="979"/>
      <c r="E70" s="995" t="s">
        <v>589</v>
      </c>
      <c r="F70" s="522" t="s">
        <v>112</v>
      </c>
      <c r="G70" s="522" t="s">
        <v>213</v>
      </c>
      <c r="H70" s="235" t="s">
        <v>165</v>
      </c>
      <c r="I70" s="233" t="str">
        <f>'Confidence intervals'!H19</f>
        <v>-</v>
      </c>
      <c r="J70" s="233" t="str">
        <f>'Confidence intervals'!K19</f>
        <v>-</v>
      </c>
      <c r="K70" s="233" t="str">
        <f>'Confidence intervals'!N19</f>
        <v>-</v>
      </c>
      <c r="L70" s="233" t="str">
        <f>'Confidence intervals'!Q19</f>
        <v>-</v>
      </c>
      <c r="M70" s="233" t="str">
        <f>'Confidence intervals'!T19</f>
        <v>-</v>
      </c>
      <c r="N70" s="233" t="str">
        <f>'Confidence intervals'!W19</f>
        <v>-</v>
      </c>
      <c r="O70" s="233" t="str">
        <f>'Confidence intervals'!Z19</f>
        <v>-</v>
      </c>
      <c r="P70" s="233" t="str">
        <f>'Confidence intervals'!AC19</f>
        <v>-</v>
      </c>
      <c r="Q70" s="233" t="str">
        <f>'Confidence intervals'!AF19</f>
        <v>-</v>
      </c>
      <c r="R70" s="233" t="str">
        <f>'Confidence intervals'!AI19</f>
        <v>-</v>
      </c>
      <c r="S70" s="233" t="str">
        <f>'Confidence intervals'!AL19</f>
        <v>-</v>
      </c>
      <c r="T70" s="233" t="str">
        <f>'Confidence intervals'!AO19</f>
        <v>-</v>
      </c>
      <c r="U70" s="233" t="str">
        <f>'Confidence intervals'!AR19</f>
        <v>-</v>
      </c>
      <c r="V70" s="233" t="str">
        <f>'Confidence intervals'!AU19</f>
        <v>-</v>
      </c>
      <c r="W70" s="233" t="str">
        <f>'Confidence intervals'!AX19</f>
        <v>-</v>
      </c>
      <c r="X70" s="233" t="str">
        <f>'Confidence intervals'!BA19</f>
        <v>-</v>
      </c>
      <c r="Y70" s="233" t="str">
        <f>'Confidence intervals'!BD19</f>
        <v>-</v>
      </c>
      <c r="Z70" s="233" t="str">
        <f>'Confidence intervals'!BG19</f>
        <v>-</v>
      </c>
      <c r="AA70" s="233" t="str">
        <f>'Confidence intervals'!BJ19</f>
        <v>-</v>
      </c>
      <c r="AB70" s="233" t="str">
        <f>'Confidence intervals'!BM19</f>
        <v>-</v>
      </c>
      <c r="AC70" s="233" t="str">
        <f>'Confidence intervals'!BP19</f>
        <v>-</v>
      </c>
      <c r="AD70" s="233" t="str">
        <f>'Confidence intervals'!BS19</f>
        <v>-</v>
      </c>
      <c r="AE70" s="233" t="str">
        <f>'Confidence intervals'!BV19</f>
        <v>-</v>
      </c>
      <c r="AF70" s="233" t="str">
        <f>'Confidence intervals'!BY19</f>
        <v>-</v>
      </c>
      <c r="AG70" s="233" t="str">
        <f>'Confidence intervals'!CB19</f>
        <v>-</v>
      </c>
      <c r="AH70" s="233" t="str">
        <f>'Confidence intervals'!CE19</f>
        <v>-</v>
      </c>
      <c r="AI70" s="233" t="str">
        <f>'Confidence intervals'!CH19</f>
        <v>-</v>
      </c>
      <c r="AJ70" s="233" t="str">
        <f>'Confidence intervals'!CK19</f>
        <v>-</v>
      </c>
      <c r="AK70" s="996"/>
    </row>
    <row r="71">
      <c r="A71" s="101"/>
      <c r="B71" s="102"/>
      <c r="C71" s="109"/>
      <c r="D71" s="102"/>
      <c r="E71" s="956"/>
      <c r="F71" s="132"/>
      <c r="G71" s="132"/>
      <c r="H71" s="105"/>
      <c r="I71" s="957"/>
      <c r="J71" s="957"/>
      <c r="K71" s="957"/>
      <c r="L71" s="957"/>
      <c r="M71" s="957"/>
      <c r="N71" s="957"/>
      <c r="O71" s="957"/>
      <c r="P71" s="957"/>
      <c r="Q71" s="957"/>
      <c r="R71" s="957"/>
      <c r="S71" s="957"/>
      <c r="T71" s="957"/>
      <c r="U71" s="957"/>
      <c r="V71" s="957"/>
      <c r="W71" s="957"/>
      <c r="X71" s="957"/>
      <c r="Y71" s="957"/>
      <c r="Z71" s="957"/>
      <c r="AA71" s="957"/>
      <c r="AB71" s="957"/>
      <c r="AC71" s="957"/>
      <c r="AD71" s="957"/>
      <c r="AE71" s="957"/>
      <c r="AF71" s="957"/>
      <c r="AG71" s="957"/>
      <c r="AH71" s="957"/>
      <c r="AI71" s="957"/>
      <c r="AJ71" s="957"/>
      <c r="AK71" s="958"/>
    </row>
    <row r="72">
      <c r="A72" s="99" t="s">
        <v>617</v>
      </c>
      <c r="B72" s="12"/>
      <c r="C72" s="12"/>
      <c r="D72" s="12"/>
      <c r="E72" s="12"/>
      <c r="F72" s="12"/>
      <c r="G72" s="12"/>
      <c r="H72" s="97"/>
      <c r="I72" s="98"/>
      <c r="J72" s="864"/>
      <c r="K72" s="864"/>
      <c r="L72" s="864"/>
      <c r="M72" s="864"/>
      <c r="N72" s="864"/>
      <c r="O72" s="864"/>
      <c r="P72" s="864"/>
      <c r="Q72" s="864"/>
      <c r="R72" s="864"/>
      <c r="S72" s="864"/>
      <c r="T72" s="864"/>
      <c r="U72" s="864"/>
      <c r="V72" s="864"/>
      <c r="W72" s="864"/>
      <c r="X72" s="864"/>
      <c r="Y72" s="864"/>
      <c r="Z72" s="864"/>
      <c r="AA72" s="864"/>
      <c r="AB72" s="864"/>
      <c r="AC72" s="864"/>
      <c r="AD72" s="864"/>
      <c r="AE72" s="864"/>
      <c r="AF72" s="864"/>
      <c r="AG72" s="864"/>
      <c r="AH72" s="864"/>
      <c r="AI72" s="864"/>
      <c r="AJ72" s="864"/>
      <c r="AK72" s="865"/>
    </row>
    <row r="73">
      <c r="A73" s="101"/>
      <c r="B73" s="102"/>
      <c r="C73" s="102"/>
      <c r="D73" s="102"/>
      <c r="E73" s="337"/>
      <c r="F73" s="104"/>
      <c r="G73" s="104"/>
      <c r="H73" s="105"/>
      <c r="I73" s="106"/>
      <c r="J73" s="866"/>
      <c r="K73" s="866"/>
      <c r="L73" s="866"/>
      <c r="M73" s="866"/>
      <c r="N73" s="866"/>
      <c r="O73" s="866"/>
      <c r="P73" s="866"/>
      <c r="Q73" s="866"/>
      <c r="R73" s="866"/>
      <c r="S73" s="866"/>
      <c r="T73" s="866"/>
      <c r="U73" s="866"/>
      <c r="V73" s="866"/>
      <c r="W73" s="866"/>
      <c r="X73" s="866"/>
      <c r="Y73" s="866"/>
      <c r="Z73" s="866"/>
      <c r="AA73" s="866"/>
      <c r="AB73" s="866"/>
      <c r="AC73" s="866"/>
      <c r="AD73" s="866"/>
      <c r="AE73" s="866"/>
      <c r="AF73" s="866"/>
      <c r="AG73" s="866"/>
      <c r="AH73" s="866"/>
      <c r="AI73" s="866"/>
      <c r="AJ73" s="866"/>
      <c r="AK73" s="867"/>
    </row>
    <row r="74">
      <c r="A74" s="101"/>
      <c r="B74" s="102"/>
      <c r="C74" s="113" t="s">
        <v>543</v>
      </c>
      <c r="F74" s="104"/>
      <c r="G74" s="110"/>
      <c r="H74" s="105"/>
      <c r="I74" s="106"/>
      <c r="J74" s="866"/>
      <c r="K74" s="866"/>
      <c r="L74" s="866"/>
      <c r="M74" s="866"/>
      <c r="N74" s="866"/>
      <c r="O74" s="866"/>
      <c r="P74" s="866"/>
      <c r="Q74" s="866"/>
      <c r="R74" s="866"/>
      <c r="S74" s="866"/>
      <c r="T74" s="866"/>
      <c r="U74" s="866"/>
      <c r="V74" s="866"/>
      <c r="W74" s="866"/>
      <c r="X74" s="866"/>
      <c r="Y74" s="866"/>
      <c r="Z74" s="866"/>
      <c r="AA74" s="866"/>
      <c r="AB74" s="866"/>
      <c r="AC74" s="866"/>
      <c r="AD74" s="866"/>
      <c r="AE74" s="866"/>
      <c r="AF74" s="866"/>
      <c r="AG74" s="866"/>
      <c r="AH74" s="866"/>
      <c r="AI74" s="866"/>
      <c r="AJ74" s="866"/>
      <c r="AK74" s="867"/>
    </row>
    <row r="75">
      <c r="A75" s="101"/>
      <c r="B75" s="102"/>
      <c r="C75" s="102"/>
      <c r="D75" s="102"/>
      <c r="E75" s="403" t="s">
        <v>96</v>
      </c>
      <c r="F75" s="121" t="s">
        <v>108</v>
      </c>
      <c r="G75" s="280" t="s">
        <v>213</v>
      </c>
      <c r="H75" s="125" t="s">
        <v>165</v>
      </c>
      <c r="I75" s="127">
        <v>1000000.0</v>
      </c>
      <c r="J75" s="127">
        <v>1000000.0</v>
      </c>
      <c r="K75" s="127">
        <v>1000000.0</v>
      </c>
      <c r="L75" s="127">
        <v>1000000.0</v>
      </c>
      <c r="M75" s="127">
        <v>1000000.0</v>
      </c>
      <c r="N75" s="127">
        <v>1000000.0</v>
      </c>
      <c r="O75" s="127">
        <v>1000000.0</v>
      </c>
      <c r="P75" s="127">
        <v>1000000.0</v>
      </c>
      <c r="Q75" s="127">
        <v>1000000.0</v>
      </c>
      <c r="R75" s="127">
        <v>1000000.0</v>
      </c>
      <c r="S75" s="127">
        <v>1000000.0</v>
      </c>
      <c r="T75" s="127">
        <v>1000000.0</v>
      </c>
      <c r="U75" s="127">
        <v>1000000.0</v>
      </c>
      <c r="V75" s="127">
        <v>1000000.0</v>
      </c>
      <c r="W75" s="127">
        <v>1000000.0</v>
      </c>
      <c r="X75" s="127">
        <v>1000000.0</v>
      </c>
      <c r="Y75" s="127">
        <v>1000000.0</v>
      </c>
      <c r="Z75" s="127">
        <v>1000000.0</v>
      </c>
      <c r="AA75" s="127">
        <v>1000000.0</v>
      </c>
      <c r="AB75" s="127">
        <v>1000000.0</v>
      </c>
      <c r="AC75" s="127">
        <v>1000000.0</v>
      </c>
      <c r="AD75" s="127">
        <v>1000000.0</v>
      </c>
      <c r="AE75" s="127">
        <v>1000000.0</v>
      </c>
      <c r="AF75" s="127">
        <v>1000000.0</v>
      </c>
      <c r="AG75" s="127">
        <v>1000000.0</v>
      </c>
      <c r="AH75" s="127">
        <v>1000000.0</v>
      </c>
      <c r="AI75" s="127">
        <v>1000000.0</v>
      </c>
      <c r="AJ75" s="127">
        <v>1000000.0</v>
      </c>
      <c r="AK75" s="152"/>
    </row>
    <row r="76">
      <c r="A76" s="101"/>
      <c r="B76" s="102"/>
      <c r="C76" s="109"/>
      <c r="D76" s="102"/>
      <c r="E76" s="440"/>
      <c r="F76" s="132"/>
      <c r="G76" s="132"/>
      <c r="H76" s="712"/>
      <c r="I76" s="654"/>
      <c r="J76" s="654"/>
      <c r="K76" s="654"/>
      <c r="L76" s="654"/>
      <c r="M76" s="654"/>
      <c r="N76" s="654"/>
      <c r="O76" s="654"/>
      <c r="P76" s="654"/>
      <c r="Q76" s="654"/>
      <c r="R76" s="654"/>
      <c r="S76" s="654"/>
      <c r="T76" s="654"/>
      <c r="U76" s="654"/>
      <c r="V76" s="654"/>
      <c r="W76" s="654"/>
      <c r="X76" s="654"/>
      <c r="Y76" s="654"/>
      <c r="Z76" s="654"/>
      <c r="AA76" s="654"/>
      <c r="AB76" s="654"/>
      <c r="AC76" s="654"/>
      <c r="AD76" s="654"/>
      <c r="AE76" s="654"/>
      <c r="AF76" s="654"/>
      <c r="AG76" s="654"/>
      <c r="AH76" s="654"/>
      <c r="AI76" s="654"/>
      <c r="AJ76" s="654"/>
      <c r="AK76" s="656"/>
    </row>
    <row r="77">
      <c r="A77" s="101"/>
      <c r="B77" s="102"/>
      <c r="C77" s="109" t="s">
        <v>544</v>
      </c>
      <c r="F77" s="132"/>
      <c r="G77" s="132"/>
      <c r="H77" s="712"/>
      <c r="I77" s="654"/>
      <c r="J77" s="654"/>
      <c r="K77" s="654"/>
      <c r="L77" s="654"/>
      <c r="M77" s="654"/>
      <c r="N77" s="654"/>
      <c r="O77" s="654"/>
      <c r="P77" s="654"/>
      <c r="Q77" s="654"/>
      <c r="R77" s="654"/>
      <c r="S77" s="654"/>
      <c r="T77" s="654"/>
      <c r="U77" s="654"/>
      <c r="V77" s="654"/>
      <c r="W77" s="654"/>
      <c r="X77" s="654"/>
      <c r="Y77" s="654"/>
      <c r="Z77" s="654"/>
      <c r="AA77" s="654"/>
      <c r="AB77" s="654"/>
      <c r="AC77" s="654"/>
      <c r="AD77" s="654"/>
      <c r="AE77" s="654"/>
      <c r="AF77" s="654"/>
      <c r="AG77" s="654"/>
      <c r="AH77" s="654"/>
      <c r="AI77" s="654"/>
      <c r="AJ77" s="654"/>
      <c r="AK77" s="656"/>
    </row>
    <row r="78">
      <c r="A78" s="101"/>
      <c r="B78" s="102"/>
      <c r="C78" s="109"/>
      <c r="D78" s="102"/>
      <c r="E78" s="396" t="s">
        <v>545</v>
      </c>
      <c r="F78" s="114" t="s">
        <v>108</v>
      </c>
      <c r="G78" s="114" t="s">
        <v>213</v>
      </c>
      <c r="H78" s="256" t="s">
        <v>165</v>
      </c>
      <c r="I78" s="291">
        <v>1.342811377152</v>
      </c>
      <c r="J78" s="291">
        <v>1.4555959563479999</v>
      </c>
      <c r="K78" s="291">
        <v>1.282417721808</v>
      </c>
      <c r="L78" s="291">
        <v>1.282417721808</v>
      </c>
      <c r="M78" s="291">
        <v>1.815199452</v>
      </c>
      <c r="N78" s="291">
        <v>1.282417721808</v>
      </c>
      <c r="O78" s="291">
        <v>1.282417721808</v>
      </c>
      <c r="P78" s="291">
        <v>0.986735161456</v>
      </c>
      <c r="Q78" s="291">
        <v>1.0678648800139998</v>
      </c>
      <c r="R78" s="291">
        <v>1.282417721808</v>
      </c>
      <c r="S78" s="291">
        <v>1.282417721808</v>
      </c>
      <c r="T78" s="291">
        <v>1.282417721808</v>
      </c>
      <c r="U78" s="291">
        <v>1.282417721808</v>
      </c>
      <c r="V78" s="291">
        <v>1.282417721808</v>
      </c>
      <c r="W78" s="291">
        <v>1.282417721808</v>
      </c>
      <c r="X78" s="291">
        <v>1.282417721808</v>
      </c>
      <c r="Y78" s="291">
        <v>1.282417721808</v>
      </c>
      <c r="Z78" s="291">
        <v>1.282417721808</v>
      </c>
      <c r="AA78" s="291">
        <v>1.282417721808</v>
      </c>
      <c r="AB78" s="291">
        <v>1.282417721808</v>
      </c>
      <c r="AC78" s="291">
        <v>1.282417721808</v>
      </c>
      <c r="AD78" s="291">
        <v>1.282417721808</v>
      </c>
      <c r="AE78" s="291">
        <v>1.282417721808</v>
      </c>
      <c r="AF78" s="291">
        <v>1.282417721808</v>
      </c>
      <c r="AG78" s="291">
        <v>2.136372</v>
      </c>
      <c r="AH78" s="291">
        <v>2.136372</v>
      </c>
      <c r="AI78" s="291">
        <v>1.5252999999999999</v>
      </c>
      <c r="AJ78" s="291">
        <v>1.424248</v>
      </c>
      <c r="AK78" s="295"/>
    </row>
    <row r="79">
      <c r="A79" s="101"/>
      <c r="B79" s="102"/>
      <c r="C79" s="109"/>
      <c r="D79" s="102"/>
      <c r="E79" s="598" t="s">
        <v>547</v>
      </c>
      <c r="F79" s="145" t="s">
        <v>101</v>
      </c>
      <c r="G79" s="145" t="s">
        <v>164</v>
      </c>
      <c r="H79" s="223" t="s">
        <v>165</v>
      </c>
      <c r="I79" s="153">
        <f t="shared" ref="I79:AJ79" si="8">I75/I78</f>
        <v>744706.2313</v>
      </c>
      <c r="J79" s="153">
        <f t="shared" si="8"/>
        <v>687003.8321</v>
      </c>
      <c r="K79" s="153">
        <f t="shared" si="8"/>
        <v>779777.1218</v>
      </c>
      <c r="L79" s="153">
        <f t="shared" si="8"/>
        <v>779777.1218</v>
      </c>
      <c r="M79" s="153">
        <f t="shared" si="8"/>
        <v>550903.648</v>
      </c>
      <c r="N79" s="153">
        <f t="shared" si="8"/>
        <v>779777.1218</v>
      </c>
      <c r="O79" s="153">
        <f t="shared" si="8"/>
        <v>779777.1218</v>
      </c>
      <c r="P79" s="153">
        <f t="shared" si="8"/>
        <v>1013443.16</v>
      </c>
      <c r="Q79" s="153">
        <f t="shared" si="8"/>
        <v>936448.0645</v>
      </c>
      <c r="R79" s="153">
        <f t="shared" si="8"/>
        <v>779777.1218</v>
      </c>
      <c r="S79" s="153">
        <f t="shared" si="8"/>
        <v>779777.1218</v>
      </c>
      <c r="T79" s="153">
        <f t="shared" si="8"/>
        <v>779777.1218</v>
      </c>
      <c r="U79" s="153">
        <f t="shared" si="8"/>
        <v>779777.1218</v>
      </c>
      <c r="V79" s="153">
        <f t="shared" si="8"/>
        <v>779777.1218</v>
      </c>
      <c r="W79" s="153">
        <f t="shared" si="8"/>
        <v>779777.1218</v>
      </c>
      <c r="X79" s="153">
        <f t="shared" si="8"/>
        <v>779777.1218</v>
      </c>
      <c r="Y79" s="153">
        <f t="shared" si="8"/>
        <v>779777.1218</v>
      </c>
      <c r="Z79" s="153">
        <f t="shared" si="8"/>
        <v>779777.1218</v>
      </c>
      <c r="AA79" s="153">
        <f t="shared" si="8"/>
        <v>779777.1218</v>
      </c>
      <c r="AB79" s="153">
        <f t="shared" si="8"/>
        <v>779777.1218</v>
      </c>
      <c r="AC79" s="153">
        <f t="shared" si="8"/>
        <v>779777.1218</v>
      </c>
      <c r="AD79" s="153">
        <f t="shared" si="8"/>
        <v>779777.1218</v>
      </c>
      <c r="AE79" s="153">
        <f t="shared" si="8"/>
        <v>779777.1218</v>
      </c>
      <c r="AF79" s="153">
        <f t="shared" si="8"/>
        <v>779777.1218</v>
      </c>
      <c r="AG79" s="153">
        <f t="shared" si="8"/>
        <v>468083.2739</v>
      </c>
      <c r="AH79" s="153">
        <f t="shared" si="8"/>
        <v>468083.2739</v>
      </c>
      <c r="AI79" s="153">
        <f t="shared" si="8"/>
        <v>655608.7327</v>
      </c>
      <c r="AJ79" s="153">
        <f t="shared" si="8"/>
        <v>702124.9108</v>
      </c>
      <c r="AK79" s="168"/>
    </row>
    <row r="80">
      <c r="A80" s="101"/>
      <c r="B80" s="102"/>
      <c r="C80" s="109"/>
      <c r="D80" s="102"/>
      <c r="E80" s="598" t="s">
        <v>549</v>
      </c>
      <c r="F80" s="145" t="s">
        <v>112</v>
      </c>
      <c r="G80" s="145" t="s">
        <v>213</v>
      </c>
      <c r="H80" s="316" t="s">
        <v>165</v>
      </c>
      <c r="I80" s="187">
        <v>0.25</v>
      </c>
      <c r="J80" s="187">
        <v>0.25</v>
      </c>
      <c r="K80" s="187">
        <v>0.25</v>
      </c>
      <c r="L80" s="187">
        <v>0.25</v>
      </c>
      <c r="M80" s="187">
        <v>0.25</v>
      </c>
      <c r="N80" s="187">
        <v>0.25</v>
      </c>
      <c r="O80" s="187">
        <v>0.44</v>
      </c>
      <c r="P80" s="187">
        <v>0.25</v>
      </c>
      <c r="Q80" s="187">
        <v>0.25</v>
      </c>
      <c r="R80" s="187">
        <v>0.25</v>
      </c>
      <c r="S80" s="187">
        <v>0.25</v>
      </c>
      <c r="T80" s="187">
        <v>0.25</v>
      </c>
      <c r="U80" s="187">
        <v>0.25</v>
      </c>
      <c r="V80" s="187">
        <v>0.25</v>
      </c>
      <c r="W80" s="187">
        <v>0.25</v>
      </c>
      <c r="X80" s="187">
        <v>0.25</v>
      </c>
      <c r="Y80" s="187">
        <v>0.25</v>
      </c>
      <c r="Z80" s="187">
        <v>0.25</v>
      </c>
      <c r="AA80" s="187">
        <v>0.25</v>
      </c>
      <c r="AB80" s="187">
        <v>0.25</v>
      </c>
      <c r="AC80" s="187">
        <v>0.25</v>
      </c>
      <c r="AD80" s="187">
        <v>0.25</v>
      </c>
      <c r="AE80" s="187">
        <v>0.25</v>
      </c>
      <c r="AF80" s="187">
        <v>0.25</v>
      </c>
      <c r="AG80" s="187">
        <v>0.25</v>
      </c>
      <c r="AH80" s="187">
        <v>0.25</v>
      </c>
      <c r="AI80" s="187">
        <v>0.25</v>
      </c>
      <c r="AJ80" s="187">
        <v>0.25</v>
      </c>
      <c r="AK80" s="168"/>
    </row>
    <row r="81">
      <c r="A81" s="101"/>
      <c r="B81" s="102"/>
      <c r="C81" s="109"/>
      <c r="D81" s="102"/>
      <c r="E81" s="598" t="s">
        <v>556</v>
      </c>
      <c r="F81" s="145" t="s">
        <v>101</v>
      </c>
      <c r="G81" s="145" t="s">
        <v>164</v>
      </c>
      <c r="H81" s="223" t="s">
        <v>165</v>
      </c>
      <c r="I81" s="153">
        <f t="shared" ref="I81:AJ81" si="9">I79*(1-I80)</f>
        <v>558529.6735</v>
      </c>
      <c r="J81" s="153">
        <f t="shared" si="9"/>
        <v>515252.8741</v>
      </c>
      <c r="K81" s="153">
        <f t="shared" si="9"/>
        <v>584832.8413</v>
      </c>
      <c r="L81" s="153">
        <f t="shared" si="9"/>
        <v>584832.8413</v>
      </c>
      <c r="M81" s="153">
        <f t="shared" si="9"/>
        <v>413177.736</v>
      </c>
      <c r="N81" s="153">
        <f t="shared" si="9"/>
        <v>584832.8413</v>
      </c>
      <c r="O81" s="153">
        <f t="shared" si="9"/>
        <v>436675.1882</v>
      </c>
      <c r="P81" s="153">
        <f t="shared" si="9"/>
        <v>760082.3699</v>
      </c>
      <c r="Q81" s="153">
        <f t="shared" si="9"/>
        <v>702336.0483</v>
      </c>
      <c r="R81" s="153">
        <f t="shared" si="9"/>
        <v>584832.8413</v>
      </c>
      <c r="S81" s="153">
        <f t="shared" si="9"/>
        <v>584832.8413</v>
      </c>
      <c r="T81" s="153">
        <f t="shared" si="9"/>
        <v>584832.8413</v>
      </c>
      <c r="U81" s="153">
        <f t="shared" si="9"/>
        <v>584832.8413</v>
      </c>
      <c r="V81" s="153">
        <f t="shared" si="9"/>
        <v>584832.8413</v>
      </c>
      <c r="W81" s="153">
        <f t="shared" si="9"/>
        <v>584832.8413</v>
      </c>
      <c r="X81" s="153">
        <f t="shared" si="9"/>
        <v>584832.8413</v>
      </c>
      <c r="Y81" s="153">
        <f t="shared" si="9"/>
        <v>584832.8413</v>
      </c>
      <c r="Z81" s="153">
        <f t="shared" si="9"/>
        <v>584832.8413</v>
      </c>
      <c r="AA81" s="153">
        <f t="shared" si="9"/>
        <v>584832.8413</v>
      </c>
      <c r="AB81" s="153">
        <f t="shared" si="9"/>
        <v>584832.8413</v>
      </c>
      <c r="AC81" s="153">
        <f t="shared" si="9"/>
        <v>584832.8413</v>
      </c>
      <c r="AD81" s="153">
        <f t="shared" si="9"/>
        <v>584832.8413</v>
      </c>
      <c r="AE81" s="153">
        <f t="shared" si="9"/>
        <v>584832.8413</v>
      </c>
      <c r="AF81" s="153">
        <f t="shared" si="9"/>
        <v>584832.8413</v>
      </c>
      <c r="AG81" s="153">
        <f t="shared" si="9"/>
        <v>351062.4554</v>
      </c>
      <c r="AH81" s="153">
        <f t="shared" si="9"/>
        <v>351062.4554</v>
      </c>
      <c r="AI81" s="153">
        <f t="shared" si="9"/>
        <v>491706.5495</v>
      </c>
      <c r="AJ81" s="153">
        <f t="shared" si="9"/>
        <v>526593.6831</v>
      </c>
      <c r="AK81" s="168"/>
    </row>
    <row r="82">
      <c r="A82" s="101"/>
      <c r="B82" s="102"/>
      <c r="C82" s="109"/>
      <c r="D82" s="102"/>
      <c r="E82" s="598" t="s">
        <v>558</v>
      </c>
      <c r="F82" s="145" t="s">
        <v>112</v>
      </c>
      <c r="G82" s="145" t="s">
        <v>213</v>
      </c>
      <c r="H82" s="223" t="s">
        <v>165</v>
      </c>
      <c r="I82" s="431">
        <v>0.015435812688691437</v>
      </c>
      <c r="J82" s="431">
        <v>0.007588106664062007</v>
      </c>
      <c r="K82" s="431">
        <v>0.007795854828576215</v>
      </c>
      <c r="L82" s="431">
        <v>0.006520100368045497</v>
      </c>
      <c r="M82" s="431">
        <v>0.012786985476648437</v>
      </c>
      <c r="N82" s="431">
        <v>0.003466406110676536</v>
      </c>
      <c r="O82" s="431">
        <v>0.0068799443238688075</v>
      </c>
      <c r="P82" s="431">
        <v>0.015881230036634972</v>
      </c>
      <c r="Q82" s="431">
        <v>0.017611090486362564</v>
      </c>
      <c r="R82" s="431">
        <v>0.014113829248972984</v>
      </c>
      <c r="S82" s="431">
        <v>0.005599698220024318</v>
      </c>
      <c r="T82" s="431">
        <v>0.003966311827687846</v>
      </c>
      <c r="U82" s="431">
        <v>0.008786834441915596</v>
      </c>
      <c r="V82" s="431">
        <v>0.007377865940603037</v>
      </c>
      <c r="W82" s="431">
        <v>0.009159672463247882</v>
      </c>
      <c r="X82" s="431">
        <v>0.005616928291158977</v>
      </c>
      <c r="Y82" s="431">
        <v>0.006577533704379232</v>
      </c>
      <c r="Z82" s="431">
        <v>0.0038934551068718288</v>
      </c>
      <c r="AA82" s="431">
        <v>0.004793341673551173</v>
      </c>
      <c r="AB82" s="431">
        <v>0.008795466361715536</v>
      </c>
      <c r="AC82" s="431">
        <v>0.005790887861812809</v>
      </c>
      <c r="AD82" s="431">
        <v>0.0035747515003997903</v>
      </c>
      <c r="AE82" s="431">
        <v>0.007691314661624645</v>
      </c>
      <c r="AF82" s="431">
        <v>0.015410461109569503</v>
      </c>
      <c r="AG82" s="431">
        <v>0.005588155257468006</v>
      </c>
      <c r="AH82" s="431">
        <v>0.015928365931705917</v>
      </c>
      <c r="AI82" s="431">
        <v>0.007467940525826858</v>
      </c>
      <c r="AJ82" s="431">
        <v>0.005978099296452449</v>
      </c>
      <c r="AK82" s="433"/>
    </row>
    <row r="83">
      <c r="A83" s="101"/>
      <c r="B83" s="102"/>
      <c r="C83" s="109"/>
      <c r="D83" s="102"/>
      <c r="E83" s="598" t="s">
        <v>563</v>
      </c>
      <c r="F83" s="145" t="s">
        <v>112</v>
      </c>
      <c r="G83" s="145" t="s">
        <v>213</v>
      </c>
      <c r="H83" s="223" t="s">
        <v>165</v>
      </c>
      <c r="I83" s="427">
        <v>0.06418487838500292</v>
      </c>
      <c r="J83" s="427">
        <v>0.1084006135500819</v>
      </c>
      <c r="K83" s="427">
        <v>0.05252285309458656</v>
      </c>
      <c r="L83" s="427">
        <v>0.09733968501122797</v>
      </c>
      <c r="M83" s="427">
        <v>0.05933184691930453</v>
      </c>
      <c r="N83" s="427">
        <v>0.06335750418332917</v>
      </c>
      <c r="O83" s="427">
        <v>0.12146271346196237</v>
      </c>
      <c r="P83" s="427">
        <v>0.07269667889035548</v>
      </c>
      <c r="Q83" s="427">
        <v>0.11921884341235449</v>
      </c>
      <c r="R83" s="427">
        <v>0.06094937632622273</v>
      </c>
      <c r="S83" s="427">
        <v>0.03312031950330709</v>
      </c>
      <c r="T83" s="427">
        <v>0.025749765823355003</v>
      </c>
      <c r="U83" s="427">
        <v>0.04412402663639747</v>
      </c>
      <c r="V83" s="427">
        <v>0.02934105638699929</v>
      </c>
      <c r="W83" s="427">
        <v>0.05955477798385651</v>
      </c>
      <c r="X83" s="427">
        <v>0.028786826004104697</v>
      </c>
      <c r="Y83" s="427">
        <v>0.03710112259874884</v>
      </c>
      <c r="Z83" s="427">
        <v>0.03486095152726272</v>
      </c>
      <c r="AA83" s="427">
        <v>0.03683074522064561</v>
      </c>
      <c r="AB83" s="427">
        <v>0.05508425132562099</v>
      </c>
      <c r="AC83" s="427">
        <v>0.034857183919363585</v>
      </c>
      <c r="AD83" s="427">
        <v>0.02881675545374819</v>
      </c>
      <c r="AE83" s="427">
        <v>0.040937179159894754</v>
      </c>
      <c r="AF83" s="427">
        <v>0.07501954197348427</v>
      </c>
      <c r="AG83" s="427">
        <v>0.07193930444704197</v>
      </c>
      <c r="AH83" s="427">
        <v>0.12731991517129168</v>
      </c>
      <c r="AI83" s="427">
        <v>0.11329961325161231</v>
      </c>
      <c r="AJ83" s="427">
        <v>0.056931129027870606</v>
      </c>
      <c r="AK83" s="429"/>
    </row>
    <row r="84">
      <c r="A84" s="101"/>
      <c r="B84" s="102"/>
      <c r="C84" s="109"/>
      <c r="D84" s="102"/>
      <c r="E84" s="610" t="s">
        <v>566</v>
      </c>
      <c r="F84" s="176" t="s">
        <v>101</v>
      </c>
      <c r="G84" s="176" t="s">
        <v>164</v>
      </c>
      <c r="H84" s="235" t="s">
        <v>165</v>
      </c>
      <c r="I84" s="200">
        <f t="shared" ref="I84:AJ84" si="10">I81*I82*I83</f>
        <v>553.3609059</v>
      </c>
      <c r="J84" s="200">
        <f t="shared" si="10"/>
        <v>423.8240432</v>
      </c>
      <c r="K84" s="200">
        <f t="shared" si="10"/>
        <v>239.4659698</v>
      </c>
      <c r="L84" s="200">
        <f t="shared" si="10"/>
        <v>371.1726522</v>
      </c>
      <c r="M84" s="200">
        <f t="shared" si="10"/>
        <v>313.4678109</v>
      </c>
      <c r="N84" s="200">
        <f t="shared" si="10"/>
        <v>128.4426493</v>
      </c>
      <c r="O84" s="200">
        <f t="shared" si="10"/>
        <v>364.9105494</v>
      </c>
      <c r="P84" s="200">
        <f t="shared" si="10"/>
        <v>877.5247342</v>
      </c>
      <c r="Q84" s="200">
        <f t="shared" si="10"/>
        <v>1474.606393</v>
      </c>
      <c r="R84" s="200">
        <f t="shared" si="10"/>
        <v>503.0902231</v>
      </c>
      <c r="S84" s="200">
        <f t="shared" si="10"/>
        <v>108.4653177</v>
      </c>
      <c r="T84" s="200">
        <f t="shared" si="10"/>
        <v>59.72991425</v>
      </c>
      <c r="U84" s="200">
        <f t="shared" si="10"/>
        <v>226.7458432</v>
      </c>
      <c r="V84" s="200">
        <f t="shared" si="10"/>
        <v>126.6013271</v>
      </c>
      <c r="W84" s="200">
        <f t="shared" si="10"/>
        <v>319.0276366</v>
      </c>
      <c r="X84" s="200">
        <f t="shared" si="10"/>
        <v>94.5636909</v>
      </c>
      <c r="Y84" s="200">
        <f t="shared" si="10"/>
        <v>142.71903</v>
      </c>
      <c r="Z84" s="200">
        <f t="shared" si="10"/>
        <v>79.37909823</v>
      </c>
      <c r="AA84" s="200">
        <f t="shared" si="10"/>
        <v>103.2477618</v>
      </c>
      <c r="AB84" s="200">
        <f t="shared" si="10"/>
        <v>283.3466456</v>
      </c>
      <c r="AC84" s="200">
        <f t="shared" si="10"/>
        <v>118.0508736</v>
      </c>
      <c r="AD84" s="200">
        <f t="shared" si="10"/>
        <v>60.24523331</v>
      </c>
      <c r="AE84" s="200">
        <f t="shared" si="10"/>
        <v>184.1408932</v>
      </c>
      <c r="AF84" s="200">
        <f t="shared" si="10"/>
        <v>676.1169046</v>
      </c>
      <c r="AG84" s="200">
        <f t="shared" si="10"/>
        <v>141.1299164</v>
      </c>
      <c r="AH84" s="200">
        <f t="shared" si="10"/>
        <v>711.9540274</v>
      </c>
      <c r="AI84" s="200">
        <f t="shared" si="10"/>
        <v>416.0401757</v>
      </c>
      <c r="AJ84" s="200">
        <f t="shared" si="10"/>
        <v>179.2208638</v>
      </c>
      <c r="AK84" s="207"/>
    </row>
    <row r="85">
      <c r="A85" s="101"/>
      <c r="B85" s="102"/>
      <c r="C85" s="109"/>
      <c r="D85" s="102"/>
      <c r="E85" s="440"/>
      <c r="F85" s="132"/>
      <c r="G85" s="132"/>
      <c r="H85" s="712"/>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7"/>
    </row>
    <row r="86">
      <c r="A86" s="101"/>
      <c r="B86" s="102"/>
      <c r="C86" s="109" t="s">
        <v>568</v>
      </c>
      <c r="F86" s="132"/>
      <c r="G86" s="132"/>
      <c r="H86" s="712"/>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7"/>
    </row>
    <row r="87">
      <c r="A87" s="101"/>
      <c r="B87" s="102"/>
      <c r="C87" s="109"/>
      <c r="D87" s="102"/>
      <c r="E87" s="396" t="s">
        <v>569</v>
      </c>
      <c r="F87" s="114" t="s">
        <v>108</v>
      </c>
      <c r="G87" s="114" t="s">
        <v>164</v>
      </c>
      <c r="H87" s="256" t="s">
        <v>165</v>
      </c>
      <c r="I87" s="297">
        <f t="shared" ref="I87:AJ87" si="11">I75/I84</f>
        <v>1807.138866</v>
      </c>
      <c r="J87" s="297">
        <f t="shared" si="11"/>
        <v>2359.469728</v>
      </c>
      <c r="K87" s="297">
        <f t="shared" si="11"/>
        <v>4175.9587</v>
      </c>
      <c r="L87" s="297">
        <f t="shared" si="11"/>
        <v>2694.164007</v>
      </c>
      <c r="M87" s="297">
        <f t="shared" si="11"/>
        <v>3190.120214</v>
      </c>
      <c r="N87" s="297">
        <f t="shared" si="11"/>
        <v>7785.575937</v>
      </c>
      <c r="O87" s="297">
        <f t="shared" si="11"/>
        <v>2740.397617</v>
      </c>
      <c r="P87" s="297">
        <f t="shared" si="11"/>
        <v>1139.569018</v>
      </c>
      <c r="Q87" s="297">
        <f t="shared" si="11"/>
        <v>678.1470666</v>
      </c>
      <c r="R87" s="297">
        <f t="shared" si="11"/>
        <v>1987.715034</v>
      </c>
      <c r="S87" s="297">
        <f t="shared" si="11"/>
        <v>9219.53691</v>
      </c>
      <c r="T87" s="297">
        <f t="shared" si="11"/>
        <v>16742.02973</v>
      </c>
      <c r="U87" s="297">
        <f t="shared" si="11"/>
        <v>4410.224177</v>
      </c>
      <c r="V87" s="297">
        <f t="shared" si="11"/>
        <v>7898.811357</v>
      </c>
      <c r="W87" s="297">
        <f t="shared" si="11"/>
        <v>3134.524678</v>
      </c>
      <c r="X87" s="297">
        <f t="shared" si="11"/>
        <v>10574.88335</v>
      </c>
      <c r="Y87" s="297">
        <f t="shared" si="11"/>
        <v>7006.774081</v>
      </c>
      <c r="Z87" s="297">
        <f t="shared" si="11"/>
        <v>12597.77476</v>
      </c>
      <c r="AA87" s="297">
        <f t="shared" si="11"/>
        <v>9685.439982</v>
      </c>
      <c r="AB87" s="297">
        <f t="shared" si="11"/>
        <v>3529.245945</v>
      </c>
      <c r="AC87" s="297">
        <f t="shared" si="11"/>
        <v>8470.92418</v>
      </c>
      <c r="AD87" s="297">
        <f t="shared" si="11"/>
        <v>16598.82359</v>
      </c>
      <c r="AE87" s="297">
        <f t="shared" si="11"/>
        <v>5430.624251</v>
      </c>
      <c r="AF87" s="297">
        <f t="shared" si="11"/>
        <v>1479.034163</v>
      </c>
      <c r="AG87" s="297">
        <f t="shared" si="11"/>
        <v>7085.669895</v>
      </c>
      <c r="AH87" s="297">
        <f t="shared" si="11"/>
        <v>1404.585074</v>
      </c>
      <c r="AI87" s="297">
        <f t="shared" si="11"/>
        <v>2403.614022</v>
      </c>
      <c r="AJ87" s="297">
        <f t="shared" si="11"/>
        <v>5579.707512</v>
      </c>
      <c r="AK87" s="306"/>
    </row>
    <row r="88">
      <c r="A88" s="101"/>
      <c r="B88" s="102"/>
      <c r="C88" s="109"/>
      <c r="D88" s="102"/>
      <c r="E88" s="598" t="s">
        <v>571</v>
      </c>
      <c r="F88" s="145" t="s">
        <v>116</v>
      </c>
      <c r="G88" s="145" t="s">
        <v>213</v>
      </c>
      <c r="H88" s="485">
        <v>118.73259</v>
      </c>
      <c r="I88" s="464" t="s">
        <v>165</v>
      </c>
      <c r="J88" s="464" t="s">
        <v>165</v>
      </c>
      <c r="K88" s="464" t="s">
        <v>165</v>
      </c>
      <c r="L88" s="464" t="s">
        <v>165</v>
      </c>
      <c r="M88" s="464" t="s">
        <v>165</v>
      </c>
      <c r="N88" s="464" t="s">
        <v>165</v>
      </c>
      <c r="O88" s="464" t="s">
        <v>165</v>
      </c>
      <c r="P88" s="464" t="s">
        <v>165</v>
      </c>
      <c r="Q88" s="464" t="s">
        <v>165</v>
      </c>
      <c r="R88" s="464" t="s">
        <v>165</v>
      </c>
      <c r="S88" s="464" t="s">
        <v>165</v>
      </c>
      <c r="T88" s="464" t="s">
        <v>165</v>
      </c>
      <c r="U88" s="464" t="s">
        <v>165</v>
      </c>
      <c r="V88" s="464" t="s">
        <v>165</v>
      </c>
      <c r="W88" s="464" t="s">
        <v>165</v>
      </c>
      <c r="X88" s="464" t="s">
        <v>165</v>
      </c>
      <c r="Y88" s="464" t="s">
        <v>165</v>
      </c>
      <c r="Z88" s="464" t="s">
        <v>165</v>
      </c>
      <c r="AA88" s="464" t="s">
        <v>165</v>
      </c>
      <c r="AB88" s="464" t="s">
        <v>165</v>
      </c>
      <c r="AC88" s="464" t="s">
        <v>165</v>
      </c>
      <c r="AD88" s="464" t="s">
        <v>165</v>
      </c>
      <c r="AE88" s="464" t="s">
        <v>165</v>
      </c>
      <c r="AF88" s="464" t="s">
        <v>165</v>
      </c>
      <c r="AG88" s="464" t="s">
        <v>165</v>
      </c>
      <c r="AH88" s="464" t="s">
        <v>165</v>
      </c>
      <c r="AI88" s="464" t="s">
        <v>165</v>
      </c>
      <c r="AJ88" s="464" t="s">
        <v>165</v>
      </c>
      <c r="AK88" s="474"/>
    </row>
    <row r="89">
      <c r="A89" s="101"/>
      <c r="B89" s="102"/>
      <c r="C89" s="109"/>
      <c r="D89" s="102"/>
      <c r="E89" s="909" t="s">
        <v>574</v>
      </c>
      <c r="F89" s="809" t="s">
        <v>118</v>
      </c>
      <c r="G89" s="809" t="s">
        <v>164</v>
      </c>
      <c r="H89" s="911" t="s">
        <v>165</v>
      </c>
      <c r="I89" s="812">
        <f>((I84*$H88)/I75)/'Main CEA'!$H$94</f>
        <v>19.73032239</v>
      </c>
      <c r="J89" s="812">
        <f>((J84*$H88)/J75)/'Main CEA'!$H$94</f>
        <v>15.11162954</v>
      </c>
      <c r="K89" s="812">
        <f>((K84*$H88)/K75)/'Main CEA'!$H$94</f>
        <v>8.538262706</v>
      </c>
      <c r="L89" s="812">
        <f>((L84*$H88)/L75)/'Main CEA'!$H$94</f>
        <v>13.23432142</v>
      </c>
      <c r="M89" s="812">
        <f>((M84*$H88)/M75)/'Main CEA'!$H$94</f>
        <v>11.17683035</v>
      </c>
      <c r="N89" s="812">
        <f>((N84*$H88)/N75)/'Main CEA'!$H$94</f>
        <v>4.579678205</v>
      </c>
      <c r="O89" s="812">
        <f>((O84*$H88)/O75)/'Main CEA'!$H$94</f>
        <v>13.01104344</v>
      </c>
      <c r="P89" s="812">
        <f>((P84*$H88)/P75)/'Main CEA'!$H$94</f>
        <v>31.28852387</v>
      </c>
      <c r="Q89" s="812">
        <f>((Q84*$H88)/Q75)/'Main CEA'!$H$94</f>
        <v>52.57772862</v>
      </c>
      <c r="R89" s="812">
        <f>((R84*$H88)/R75)/'Main CEA'!$H$94</f>
        <v>17.93789946</v>
      </c>
      <c r="S89" s="812">
        <f>((S84*$H88)/S75)/'Main CEA'!$H$94</f>
        <v>3.867377807</v>
      </c>
      <c r="T89" s="812">
        <f>((T84*$H88)/T75)/'Main CEA'!$H$94</f>
        <v>2.129695922</v>
      </c>
      <c r="U89" s="812">
        <f>((U84*$H88)/U75)/'Main CEA'!$H$94</f>
        <v>8.084721093</v>
      </c>
      <c r="V89" s="812">
        <f>((V84*$H88)/V75)/'Main CEA'!$H$94</f>
        <v>4.514025063</v>
      </c>
      <c r="W89" s="812">
        <f>((W84*$H88)/W75)/'Main CEA'!$H$94</f>
        <v>11.37506834</v>
      </c>
      <c r="X89" s="812">
        <f>((X84*$H88)/X75)/'Main CEA'!$H$94</f>
        <v>3.371709291</v>
      </c>
      <c r="Y89" s="812">
        <f>((Y84*$H88)/Y75)/'Main CEA'!$H$94</f>
        <v>5.08870873</v>
      </c>
      <c r="Z89" s="812">
        <f>((Z84*$H88)/Z75)/'Main CEA'!$H$94</f>
        <v>2.830296074</v>
      </c>
      <c r="AA89" s="812">
        <f>((AA84*$H88)/AA75)/'Main CEA'!$H$94</f>
        <v>3.681343594</v>
      </c>
      <c r="AB89" s="812">
        <f>((AB84*$H88)/AB75)/'Main CEA'!$H$94</f>
        <v>10.10284718</v>
      </c>
      <c r="AC89" s="812">
        <f>((AC84*$H88)/AC75)/'Main CEA'!$H$94</f>
        <v>4.209154949</v>
      </c>
      <c r="AD89" s="812">
        <f>((AD84*$H88)/AD75)/'Main CEA'!$H$94</f>
        <v>2.148069846</v>
      </c>
      <c r="AE89" s="812">
        <f>((AE84*$H88)/AE75)/'Main CEA'!$H$94</f>
        <v>6.565623174</v>
      </c>
      <c r="AF89" s="812">
        <f>((AF84*$H88)/AF75)/'Main CEA'!$H$94</f>
        <v>24.10724061</v>
      </c>
      <c r="AG89" s="812">
        <f>((AG84*$H88)/AG75)/'Main CEA'!$H$94</f>
        <v>5.032048199</v>
      </c>
      <c r="AH89" s="812">
        <f>((AH84*$H88)/AH75)/'Main CEA'!$H$94</f>
        <v>25.38502872</v>
      </c>
      <c r="AI89" s="812">
        <f>((AI84*$H88)/AI75)/'Main CEA'!$H$94</f>
        <v>14.83409237</v>
      </c>
      <c r="AJ89" s="812">
        <f>((AJ84*$H88)/AJ75)/'Main CEA'!$H$94</f>
        <v>6.390197399</v>
      </c>
      <c r="AK89" s="816"/>
    </row>
    <row r="90">
      <c r="A90" s="101"/>
      <c r="B90" s="102"/>
      <c r="C90" s="109"/>
      <c r="D90" s="102"/>
      <c r="E90" s="440"/>
      <c r="F90" s="132"/>
      <c r="G90" s="132"/>
      <c r="H90" s="105"/>
      <c r="I90" s="106"/>
      <c r="J90" s="866"/>
      <c r="K90" s="866"/>
      <c r="L90" s="866"/>
      <c r="M90" s="866"/>
      <c r="N90" s="866"/>
      <c r="O90" s="866"/>
      <c r="P90" s="866"/>
      <c r="Q90" s="866"/>
      <c r="R90" s="866"/>
      <c r="S90" s="866"/>
      <c r="T90" s="866"/>
      <c r="U90" s="866"/>
      <c r="V90" s="866"/>
      <c r="W90" s="866"/>
      <c r="X90" s="866"/>
      <c r="Y90" s="866"/>
      <c r="Z90" s="866"/>
      <c r="AA90" s="866"/>
      <c r="AB90" s="866"/>
      <c r="AC90" s="866"/>
      <c r="AD90" s="866"/>
      <c r="AE90" s="866"/>
      <c r="AF90" s="866"/>
      <c r="AG90" s="866"/>
      <c r="AH90" s="866"/>
      <c r="AI90" s="866"/>
      <c r="AJ90" s="866"/>
      <c r="AK90" s="867"/>
    </row>
    <row r="91">
      <c r="A91" s="101"/>
      <c r="B91" s="102"/>
      <c r="C91" s="109" t="s">
        <v>577</v>
      </c>
      <c r="F91" s="132"/>
      <c r="G91" s="132"/>
      <c r="H91" s="105"/>
      <c r="AK91" s="714"/>
    </row>
    <row r="92">
      <c r="A92" s="101"/>
      <c r="B92" s="102"/>
      <c r="C92" s="109"/>
      <c r="D92" s="102"/>
      <c r="E92" s="403" t="s">
        <v>578</v>
      </c>
      <c r="F92" s="121" t="s">
        <v>112</v>
      </c>
      <c r="G92" s="121" t="s">
        <v>213</v>
      </c>
      <c r="H92" s="249" t="s">
        <v>165</v>
      </c>
      <c r="I92" s="675">
        <v>0.24517600000000003</v>
      </c>
      <c r="J92" s="675">
        <v>0.24517600000000003</v>
      </c>
      <c r="K92" s="675">
        <v>0.24517600000000003</v>
      </c>
      <c r="L92" s="675">
        <v>0.245176</v>
      </c>
      <c r="M92" s="675">
        <v>0.245176</v>
      </c>
      <c r="N92" s="675">
        <v>0.24517600000000003</v>
      </c>
      <c r="O92" s="675">
        <v>0.24517600000000006</v>
      </c>
      <c r="P92" s="675">
        <v>0.245176</v>
      </c>
      <c r="Q92" s="675">
        <v>0.24517600000000006</v>
      </c>
      <c r="R92" s="675">
        <v>0.24517600000000003</v>
      </c>
      <c r="S92" s="675">
        <v>0.24517600000000003</v>
      </c>
      <c r="T92" s="675">
        <v>0.24517600000000006</v>
      </c>
      <c r="U92" s="675">
        <v>0.24517600000000003</v>
      </c>
      <c r="V92" s="675">
        <v>0.24517600000000003</v>
      </c>
      <c r="W92" s="675">
        <v>0.24517600000000003</v>
      </c>
      <c r="X92" s="675">
        <v>0.24517600000000003</v>
      </c>
      <c r="Y92" s="675">
        <v>0.24517600000000006</v>
      </c>
      <c r="Z92" s="675">
        <v>0.245176</v>
      </c>
      <c r="AA92" s="675">
        <v>0.24517600000000003</v>
      </c>
      <c r="AB92" s="675">
        <v>0.24517600000000003</v>
      </c>
      <c r="AC92" s="675">
        <v>0.245176</v>
      </c>
      <c r="AD92" s="675">
        <v>0.24517600000000003</v>
      </c>
      <c r="AE92" s="675">
        <v>0.2451760000000001</v>
      </c>
      <c r="AF92" s="675">
        <v>0.24517600000000003</v>
      </c>
      <c r="AG92" s="675">
        <v>0.24517600000000006</v>
      </c>
      <c r="AH92" s="675">
        <v>0.24517600000000003</v>
      </c>
      <c r="AI92" s="675">
        <v>0.24517600000000003</v>
      </c>
      <c r="AJ92" s="675">
        <v>0.24517600000000003</v>
      </c>
      <c r="AK92" s="679"/>
    </row>
    <row r="93">
      <c r="A93" s="101"/>
      <c r="B93" s="102"/>
      <c r="C93" s="109"/>
      <c r="D93" s="102"/>
      <c r="E93" s="440"/>
      <c r="F93" s="132"/>
      <c r="G93" s="132"/>
      <c r="H93" s="105"/>
      <c r="I93" s="106"/>
      <c r="J93" s="866"/>
      <c r="K93" s="866"/>
      <c r="L93" s="866"/>
      <c r="M93" s="866"/>
      <c r="N93" s="866"/>
      <c r="O93" s="866"/>
      <c r="P93" s="866"/>
      <c r="Q93" s="866"/>
      <c r="R93" s="866"/>
      <c r="S93" s="866"/>
      <c r="T93" s="866"/>
      <c r="U93" s="866"/>
      <c r="V93" s="866"/>
      <c r="W93" s="866"/>
      <c r="X93" s="866"/>
      <c r="Y93" s="866"/>
      <c r="Z93" s="866"/>
      <c r="AA93" s="866"/>
      <c r="AB93" s="866"/>
      <c r="AC93" s="866"/>
      <c r="AD93" s="866"/>
      <c r="AE93" s="866"/>
      <c r="AF93" s="866"/>
      <c r="AG93" s="866"/>
      <c r="AH93" s="866"/>
      <c r="AI93" s="866"/>
      <c r="AJ93" s="866"/>
      <c r="AK93" s="867"/>
    </row>
    <row r="94">
      <c r="A94" s="101"/>
      <c r="B94" s="102"/>
      <c r="C94" s="109" t="s">
        <v>584</v>
      </c>
      <c r="F94" s="132"/>
      <c r="G94" s="132"/>
      <c r="H94" s="105"/>
      <c r="AK94" s="714"/>
    </row>
    <row r="95">
      <c r="A95" s="101"/>
      <c r="B95" s="102"/>
      <c r="C95" s="109"/>
      <c r="D95" s="102"/>
      <c r="E95" s="396" t="s">
        <v>585</v>
      </c>
      <c r="F95" s="114" t="s">
        <v>112</v>
      </c>
      <c r="G95" s="114" t="s">
        <v>213</v>
      </c>
      <c r="H95" s="256" t="s">
        <v>165</v>
      </c>
      <c r="I95" s="166">
        <f t="shared" ref="I95:AJ95" si="12">1-I96</f>
        <v>0.8030993209</v>
      </c>
      <c r="J95" s="166">
        <f t="shared" si="12"/>
        <v>0.8030993209</v>
      </c>
      <c r="K95" s="166">
        <f t="shared" si="12"/>
        <v>0.8030993209</v>
      </c>
      <c r="L95" s="166">
        <f t="shared" si="12"/>
        <v>0.8030993209</v>
      </c>
      <c r="M95" s="166">
        <f t="shared" si="12"/>
        <v>0.8030993209</v>
      </c>
      <c r="N95" s="166">
        <f t="shared" si="12"/>
        <v>0.8030993209</v>
      </c>
      <c r="O95" s="166">
        <f t="shared" si="12"/>
        <v>0.8030993209</v>
      </c>
      <c r="P95" s="166">
        <f t="shared" si="12"/>
        <v>0.8030993209</v>
      </c>
      <c r="Q95" s="166">
        <f t="shared" si="12"/>
        <v>0.8030993209</v>
      </c>
      <c r="R95" s="166">
        <f t="shared" si="12"/>
        <v>0.8030993209</v>
      </c>
      <c r="S95" s="166">
        <f t="shared" si="12"/>
        <v>0.8030993209</v>
      </c>
      <c r="T95" s="166">
        <f t="shared" si="12"/>
        <v>0.8030993209</v>
      </c>
      <c r="U95" s="166">
        <f t="shared" si="12"/>
        <v>0.8030993209</v>
      </c>
      <c r="V95" s="166">
        <f t="shared" si="12"/>
        <v>0.8030993209</v>
      </c>
      <c r="W95" s="166">
        <f t="shared" si="12"/>
        <v>0.8030993209</v>
      </c>
      <c r="X95" s="166">
        <f t="shared" si="12"/>
        <v>0.8030993209</v>
      </c>
      <c r="Y95" s="166">
        <f t="shared" si="12"/>
        <v>0.8030993209</v>
      </c>
      <c r="Z95" s="166">
        <f t="shared" si="12"/>
        <v>0.8030993209</v>
      </c>
      <c r="AA95" s="166">
        <f t="shared" si="12"/>
        <v>0.8030993209</v>
      </c>
      <c r="AB95" s="166">
        <f t="shared" si="12"/>
        <v>0.8030993209</v>
      </c>
      <c r="AC95" s="166">
        <f t="shared" si="12"/>
        <v>0.8030993209</v>
      </c>
      <c r="AD95" s="166">
        <f t="shared" si="12"/>
        <v>0.8030993209</v>
      </c>
      <c r="AE95" s="166">
        <f t="shared" si="12"/>
        <v>0.8030993209</v>
      </c>
      <c r="AF95" s="166">
        <f t="shared" si="12"/>
        <v>0.8030993209</v>
      </c>
      <c r="AG95" s="166">
        <f t="shared" si="12"/>
        <v>0.8030993209</v>
      </c>
      <c r="AH95" s="166">
        <f t="shared" si="12"/>
        <v>0.8030993209</v>
      </c>
      <c r="AI95" s="166">
        <f t="shared" si="12"/>
        <v>0.8030993209</v>
      </c>
      <c r="AJ95" s="166">
        <f t="shared" si="12"/>
        <v>0.8030993209</v>
      </c>
      <c r="AK95" s="180"/>
    </row>
    <row r="96">
      <c r="A96" s="101"/>
      <c r="B96" s="102"/>
      <c r="C96" s="109"/>
      <c r="D96" s="102"/>
      <c r="E96" s="610" t="s">
        <v>586</v>
      </c>
      <c r="F96" s="176" t="s">
        <v>112</v>
      </c>
      <c r="G96" s="176" t="s">
        <v>213</v>
      </c>
      <c r="H96" s="235" t="s">
        <v>165</v>
      </c>
      <c r="I96" s="233">
        <f t="shared" ref="I96:AJ96" si="13">I92/(1*(1+I92))</f>
        <v>0.1969006791</v>
      </c>
      <c r="J96" s="233">
        <f t="shared" si="13"/>
        <v>0.1969006791</v>
      </c>
      <c r="K96" s="233">
        <f t="shared" si="13"/>
        <v>0.1969006791</v>
      </c>
      <c r="L96" s="233">
        <f t="shared" si="13"/>
        <v>0.1969006791</v>
      </c>
      <c r="M96" s="233">
        <f t="shared" si="13"/>
        <v>0.1969006791</v>
      </c>
      <c r="N96" s="233">
        <f t="shared" si="13"/>
        <v>0.1969006791</v>
      </c>
      <c r="O96" s="233">
        <f t="shared" si="13"/>
        <v>0.1969006791</v>
      </c>
      <c r="P96" s="233">
        <f t="shared" si="13"/>
        <v>0.1969006791</v>
      </c>
      <c r="Q96" s="233">
        <f t="shared" si="13"/>
        <v>0.1969006791</v>
      </c>
      <c r="R96" s="233">
        <f t="shared" si="13"/>
        <v>0.1969006791</v>
      </c>
      <c r="S96" s="233">
        <f t="shared" si="13"/>
        <v>0.1969006791</v>
      </c>
      <c r="T96" s="233">
        <f t="shared" si="13"/>
        <v>0.1969006791</v>
      </c>
      <c r="U96" s="233">
        <f t="shared" si="13"/>
        <v>0.1969006791</v>
      </c>
      <c r="V96" s="233">
        <f t="shared" si="13"/>
        <v>0.1969006791</v>
      </c>
      <c r="W96" s="233">
        <f t="shared" si="13"/>
        <v>0.1969006791</v>
      </c>
      <c r="X96" s="233">
        <f t="shared" si="13"/>
        <v>0.1969006791</v>
      </c>
      <c r="Y96" s="233">
        <f t="shared" si="13"/>
        <v>0.1969006791</v>
      </c>
      <c r="Z96" s="233">
        <f t="shared" si="13"/>
        <v>0.1969006791</v>
      </c>
      <c r="AA96" s="233">
        <f t="shared" si="13"/>
        <v>0.1969006791</v>
      </c>
      <c r="AB96" s="233">
        <f t="shared" si="13"/>
        <v>0.1969006791</v>
      </c>
      <c r="AC96" s="233">
        <f t="shared" si="13"/>
        <v>0.1969006791</v>
      </c>
      <c r="AD96" s="233">
        <f t="shared" si="13"/>
        <v>0.1969006791</v>
      </c>
      <c r="AE96" s="233">
        <f t="shared" si="13"/>
        <v>0.1969006791</v>
      </c>
      <c r="AF96" s="233">
        <f t="shared" si="13"/>
        <v>0.1969006791</v>
      </c>
      <c r="AG96" s="233">
        <f t="shared" si="13"/>
        <v>0.1969006791</v>
      </c>
      <c r="AH96" s="233">
        <f t="shared" si="13"/>
        <v>0.1969006791</v>
      </c>
      <c r="AI96" s="233">
        <f t="shared" si="13"/>
        <v>0.1969006791</v>
      </c>
      <c r="AJ96" s="233">
        <f t="shared" si="13"/>
        <v>0.1969006791</v>
      </c>
      <c r="AK96" s="239"/>
    </row>
    <row r="97">
      <c r="A97" s="101"/>
      <c r="B97" s="102"/>
      <c r="C97" s="109"/>
      <c r="D97" s="102"/>
      <c r="E97" s="923"/>
      <c r="F97" s="132"/>
      <c r="G97" s="132"/>
      <c r="H97" s="105"/>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7"/>
    </row>
    <row r="98">
      <c r="A98" s="101"/>
      <c r="B98" s="102"/>
      <c r="C98" s="801" t="s">
        <v>579</v>
      </c>
      <c r="F98" s="61"/>
      <c r="G98" s="61"/>
      <c r="H98" s="105"/>
      <c r="I98" s="559"/>
      <c r="J98" s="924"/>
      <c r="K98" s="866"/>
      <c r="L98" s="866"/>
      <c r="M98" s="866"/>
      <c r="N98" s="866"/>
      <c r="O98" s="866"/>
      <c r="P98" s="866"/>
      <c r="Q98" s="866"/>
      <c r="R98" s="866"/>
      <c r="S98" s="866"/>
      <c r="T98" s="866"/>
      <c r="U98" s="866"/>
      <c r="V98" s="866"/>
      <c r="W98" s="866"/>
      <c r="X98" s="866"/>
      <c r="Y98" s="866"/>
      <c r="Z98" s="866"/>
      <c r="AA98" s="866"/>
      <c r="AB98" s="866"/>
      <c r="AC98" s="866"/>
      <c r="AD98" s="866"/>
      <c r="AE98" s="866"/>
      <c r="AF98" s="866"/>
      <c r="AG98" s="866"/>
      <c r="AH98" s="866"/>
      <c r="AI98" s="866"/>
      <c r="AJ98" s="866"/>
      <c r="AK98" s="867"/>
    </row>
    <row r="99">
      <c r="A99" s="101"/>
      <c r="B99" s="102"/>
      <c r="C99" s="801"/>
      <c r="D99" s="198"/>
      <c r="E99" s="892" t="s">
        <v>580</v>
      </c>
      <c r="F99" s="585" t="s">
        <v>112</v>
      </c>
      <c r="G99" s="925" t="s">
        <v>213</v>
      </c>
      <c r="H99" s="256" t="s">
        <v>165</v>
      </c>
      <c r="I99" s="166">
        <v>0.665</v>
      </c>
      <c r="J99" s="166">
        <v>0.665</v>
      </c>
      <c r="K99" s="166">
        <v>0.665</v>
      </c>
      <c r="L99" s="166">
        <v>0.665</v>
      </c>
      <c r="M99" s="166">
        <v>0.665</v>
      </c>
      <c r="N99" s="166">
        <v>0.665</v>
      </c>
      <c r="O99" s="166">
        <v>0.665</v>
      </c>
      <c r="P99" s="166">
        <v>0.665</v>
      </c>
      <c r="Q99" s="166">
        <v>0.665</v>
      </c>
      <c r="R99" s="166">
        <v>0.665</v>
      </c>
      <c r="S99" s="166">
        <v>0.665</v>
      </c>
      <c r="T99" s="166">
        <v>0.665</v>
      </c>
      <c r="U99" s="166">
        <v>0.665</v>
      </c>
      <c r="V99" s="166">
        <v>0.665</v>
      </c>
      <c r="W99" s="166">
        <v>0.665</v>
      </c>
      <c r="X99" s="166">
        <v>0.665</v>
      </c>
      <c r="Y99" s="166">
        <v>0.665</v>
      </c>
      <c r="Z99" s="166">
        <v>0.665</v>
      </c>
      <c r="AA99" s="166">
        <v>0.665</v>
      </c>
      <c r="AB99" s="166">
        <v>0.665</v>
      </c>
      <c r="AC99" s="166">
        <v>0.665</v>
      </c>
      <c r="AD99" s="166">
        <v>0.665</v>
      </c>
      <c r="AE99" s="166">
        <v>0.665</v>
      </c>
      <c r="AF99" s="166">
        <v>0.665</v>
      </c>
      <c r="AG99" s="166">
        <v>0.665</v>
      </c>
      <c r="AH99" s="166">
        <v>0.665</v>
      </c>
      <c r="AI99" s="166">
        <v>0.665</v>
      </c>
      <c r="AJ99" s="166">
        <v>0.665</v>
      </c>
      <c r="AK99" s="180"/>
    </row>
    <row r="100">
      <c r="A100" s="101"/>
      <c r="B100" s="102"/>
      <c r="C100" s="801"/>
      <c r="D100" s="198"/>
      <c r="E100" s="396" t="s">
        <v>582</v>
      </c>
      <c r="F100" s="585" t="s">
        <v>112</v>
      </c>
      <c r="G100" s="925" t="s">
        <v>213</v>
      </c>
      <c r="H100" s="256" t="s">
        <v>165</v>
      </c>
      <c r="I100" s="166">
        <v>-0.21999999999999997</v>
      </c>
      <c r="J100" s="166">
        <v>-0.21999999999999997</v>
      </c>
      <c r="K100" s="166">
        <v>-0.21999999999999997</v>
      </c>
      <c r="L100" s="166">
        <v>-0.21999999999999997</v>
      </c>
      <c r="M100" s="166">
        <v>-0.21999999999999997</v>
      </c>
      <c r="N100" s="166">
        <v>-0.21999999999999997</v>
      </c>
      <c r="O100" s="166">
        <v>-0.21999999999999997</v>
      </c>
      <c r="P100" s="166">
        <v>-0.21999999999999997</v>
      </c>
      <c r="Q100" s="166">
        <v>-0.21999999999999997</v>
      </c>
      <c r="R100" s="166">
        <v>-0.21999999999999997</v>
      </c>
      <c r="S100" s="166">
        <v>-0.21999999999999997</v>
      </c>
      <c r="T100" s="166">
        <v>-0.21999999999999997</v>
      </c>
      <c r="U100" s="166">
        <v>-0.21999999999999997</v>
      </c>
      <c r="V100" s="166">
        <v>-0.21999999999999997</v>
      </c>
      <c r="W100" s="166">
        <v>-0.21999999999999997</v>
      </c>
      <c r="X100" s="166">
        <v>-0.21999999999999997</v>
      </c>
      <c r="Y100" s="166">
        <v>-0.21999999999999997</v>
      </c>
      <c r="Z100" s="166">
        <v>-0.21999999999999997</v>
      </c>
      <c r="AA100" s="166">
        <v>-0.21999999999999997</v>
      </c>
      <c r="AB100" s="166">
        <v>-0.21999999999999997</v>
      </c>
      <c r="AC100" s="166">
        <v>-0.21999999999999997</v>
      </c>
      <c r="AD100" s="166">
        <v>-0.21999999999999997</v>
      </c>
      <c r="AE100" s="166">
        <v>-0.21999999999999997</v>
      </c>
      <c r="AF100" s="166">
        <v>-0.21999999999999997</v>
      </c>
      <c r="AG100" s="166">
        <v>-0.23999999999999996</v>
      </c>
      <c r="AH100" s="166">
        <v>-0.23999999999999996</v>
      </c>
      <c r="AI100" s="166">
        <v>-0.23999999999999996</v>
      </c>
      <c r="AJ100" s="166">
        <v>-0.23999999999999996</v>
      </c>
      <c r="AK100" s="180"/>
    </row>
    <row r="101">
      <c r="A101" s="101"/>
      <c r="B101" s="102"/>
      <c r="C101" s="109"/>
      <c r="D101" s="102"/>
      <c r="E101" s="598" t="s">
        <v>587</v>
      </c>
      <c r="F101" s="145" t="s">
        <v>112</v>
      </c>
      <c r="G101" s="145" t="s">
        <v>213</v>
      </c>
      <c r="H101" s="223" t="s">
        <v>165</v>
      </c>
      <c r="I101" s="187">
        <v>-0.019473259137787784</v>
      </c>
      <c r="J101" s="187">
        <v>-0.022053862409895184</v>
      </c>
      <c r="K101" s="187">
        <v>-0.03625298957626528</v>
      </c>
      <c r="L101" s="187">
        <v>-0.03402036420101989</v>
      </c>
      <c r="M101" s="187">
        <v>-0.02513471842203802</v>
      </c>
      <c r="N101" s="187">
        <v>-0.07987834228773424</v>
      </c>
      <c r="O101" s="187">
        <v>-0.032441414833501464</v>
      </c>
      <c r="P101" s="187">
        <v>-0.012500161352182218</v>
      </c>
      <c r="Q101" s="187">
        <v>-0.007809414553792589</v>
      </c>
      <c r="R101" s="187">
        <v>-0.02353099695935248</v>
      </c>
      <c r="S101" s="187">
        <v>-0.10914285561154005</v>
      </c>
      <c r="T101" s="187">
        <v>-0.19819573922723893</v>
      </c>
      <c r="U101" s="187">
        <v>-0.05220917984546688</v>
      </c>
      <c r="V101" s="187">
        <v>-0.09350782320777193</v>
      </c>
      <c r="W101" s="187">
        <v>-0.037107175522813986</v>
      </c>
      <c r="X101" s="187">
        <v>-0.12518773745869555</v>
      </c>
      <c r="Y101" s="187">
        <v>-0.08294769458339257</v>
      </c>
      <c r="Z101" s="187">
        <v>-0.1491351599179507</v>
      </c>
      <c r="AA101" s="187">
        <v>-0.11465831611724894</v>
      </c>
      <c r="AB101" s="187">
        <v>-0.041779970556189545</v>
      </c>
      <c r="AC101" s="187">
        <v>-0.10028061752795925</v>
      </c>
      <c r="AD101" s="187">
        <v>-0.1965004343004878</v>
      </c>
      <c r="AE101" s="187">
        <v>-0.0642888947995157</v>
      </c>
      <c r="AF101" s="187">
        <v>-0.017509123685360548</v>
      </c>
      <c r="AG101" s="187">
        <v>-0.04925154078190502</v>
      </c>
      <c r="AH101" s="187">
        <v>-0.008135901998704299</v>
      </c>
      <c r="AI101" s="187">
        <v>-0.016707198581142075</v>
      </c>
      <c r="AJ101" s="187">
        <v>-0.03878379830900737</v>
      </c>
      <c r="AK101" s="204"/>
    </row>
    <row r="102">
      <c r="A102" s="101"/>
      <c r="B102" s="102"/>
      <c r="C102" s="109"/>
      <c r="D102" s="102"/>
      <c r="E102" s="403" t="s">
        <v>589</v>
      </c>
      <c r="F102" s="121" t="s">
        <v>112</v>
      </c>
      <c r="G102" s="121" t="s">
        <v>213</v>
      </c>
      <c r="H102" s="249" t="s">
        <v>165</v>
      </c>
      <c r="I102" s="675">
        <v>-0.2720680021669245</v>
      </c>
      <c r="J102" s="675">
        <v>-0.32697254509845053</v>
      </c>
      <c r="K102" s="675">
        <v>-0.3452941853540991</v>
      </c>
      <c r="L102" s="675">
        <v>-0.17563091006286993</v>
      </c>
      <c r="M102" s="675">
        <v>-0.370012586391145</v>
      </c>
      <c r="N102" s="675">
        <v>-0.2723292122679578</v>
      </c>
      <c r="O102" s="675">
        <v>-0.21125194594049113</v>
      </c>
      <c r="P102" s="675">
        <v>-0.338631383978553</v>
      </c>
      <c r="Q102" s="675">
        <v>-0.2942304914633665</v>
      </c>
      <c r="R102" s="675">
        <v>-0.23600794395560418</v>
      </c>
      <c r="S102" s="675">
        <v>-0.18510122179693275</v>
      </c>
      <c r="T102" s="675">
        <v>-0.13214838938535597</v>
      </c>
      <c r="U102" s="675">
        <v>-0.21895525626510412</v>
      </c>
      <c r="V102" s="675">
        <v>-0.19439816106505492</v>
      </c>
      <c r="W102" s="675">
        <v>-0.22793524513809071</v>
      </c>
      <c r="X102" s="675">
        <v>-0.17556057690122723</v>
      </c>
      <c r="Y102" s="675">
        <v>-0.20067744926536288</v>
      </c>
      <c r="Z102" s="675">
        <v>-0.1613209049592552</v>
      </c>
      <c r="AA102" s="675">
        <v>-0.18182160586566395</v>
      </c>
      <c r="AB102" s="675">
        <v>-0.22515669690641543</v>
      </c>
      <c r="AC102" s="675">
        <v>-0.19037090638184181</v>
      </c>
      <c r="AD102" s="675">
        <v>-0.1331564555369269</v>
      </c>
      <c r="AE102" s="675">
        <v>-0.2117723881133916</v>
      </c>
      <c r="AF102" s="675">
        <v>-0.239588684222899</v>
      </c>
      <c r="AG102" s="675">
        <v>-0.2409743249217924</v>
      </c>
      <c r="AH102" s="675">
        <v>-0.4592342562024187</v>
      </c>
      <c r="AI102" s="675">
        <v>-0.3460550169425781</v>
      </c>
      <c r="AJ102" s="675">
        <v>-0.33446127771986744</v>
      </c>
      <c r="AK102" s="679"/>
    </row>
    <row r="103">
      <c r="A103" s="101"/>
      <c r="B103" s="102"/>
      <c r="C103" s="109"/>
      <c r="D103" s="102"/>
      <c r="E103" s="440"/>
      <c r="F103" s="132"/>
      <c r="G103" s="132"/>
      <c r="H103" s="105"/>
      <c r="I103" s="106"/>
      <c r="J103" s="866"/>
      <c r="K103" s="866"/>
      <c r="L103" s="866"/>
      <c r="M103" s="866"/>
      <c r="N103" s="866"/>
      <c r="O103" s="866"/>
      <c r="P103" s="866"/>
      <c r="Q103" s="866"/>
      <c r="R103" s="866"/>
      <c r="S103" s="866"/>
      <c r="T103" s="866"/>
      <c r="U103" s="866"/>
      <c r="V103" s="866"/>
      <c r="W103" s="866"/>
      <c r="X103" s="866"/>
      <c r="Y103" s="866"/>
      <c r="Z103" s="866"/>
      <c r="AA103" s="866"/>
      <c r="AB103" s="866"/>
      <c r="AC103" s="866"/>
      <c r="AD103" s="866"/>
      <c r="AE103" s="866"/>
      <c r="AF103" s="866"/>
      <c r="AG103" s="866"/>
      <c r="AH103" s="866"/>
      <c r="AI103" s="866"/>
      <c r="AJ103" s="866"/>
      <c r="AK103" s="867"/>
    </row>
    <row r="104">
      <c r="A104" s="101"/>
      <c r="B104" s="102"/>
      <c r="C104" s="109" t="s">
        <v>594</v>
      </c>
      <c r="F104" s="819"/>
      <c r="G104" s="819"/>
      <c r="H104" s="935"/>
      <c r="I104" s="936"/>
      <c r="J104" s="936"/>
      <c r="K104" s="936"/>
      <c r="L104" s="936"/>
      <c r="M104" s="936"/>
      <c r="N104" s="936"/>
      <c r="O104" s="936"/>
      <c r="P104" s="936"/>
      <c r="Q104" s="936"/>
      <c r="R104" s="936"/>
      <c r="S104" s="936"/>
      <c r="T104" s="936"/>
      <c r="U104" s="936"/>
      <c r="V104" s="936"/>
      <c r="W104" s="936"/>
      <c r="X104" s="936"/>
      <c r="Y104" s="936"/>
      <c r="Z104" s="936"/>
      <c r="AA104" s="936"/>
      <c r="AB104" s="936"/>
      <c r="AC104" s="936"/>
      <c r="AD104" s="936"/>
      <c r="AE104" s="936"/>
      <c r="AF104" s="936"/>
      <c r="AG104" s="936"/>
      <c r="AH104" s="936"/>
      <c r="AI104" s="936"/>
      <c r="AJ104" s="936"/>
      <c r="AK104" s="937"/>
    </row>
    <row r="105">
      <c r="A105" s="101"/>
      <c r="B105" s="102"/>
      <c r="C105" s="109"/>
      <c r="D105" s="102"/>
      <c r="E105" s="938" t="s">
        <v>595</v>
      </c>
      <c r="F105" s="939" t="s">
        <v>118</v>
      </c>
      <c r="G105" s="939" t="s">
        <v>164</v>
      </c>
      <c r="H105" s="940" t="s">
        <v>165</v>
      </c>
      <c r="I105" s="941">
        <f t="shared" ref="I105:AJ105" si="14">I89/I95*(1+I100)*(1+I99)*(1+SUM(I101:I102))</f>
        <v>22.60415752</v>
      </c>
      <c r="J105" s="941">
        <f t="shared" si="14"/>
        <v>15.90795125</v>
      </c>
      <c r="K105" s="941">
        <f t="shared" si="14"/>
        <v>8.539170255</v>
      </c>
      <c r="L105" s="941">
        <f t="shared" si="14"/>
        <v>16.91453322</v>
      </c>
      <c r="M105" s="941">
        <f t="shared" si="14"/>
        <v>10.93220737</v>
      </c>
      <c r="N105" s="941">
        <f t="shared" si="14"/>
        <v>4.797449632</v>
      </c>
      <c r="O105" s="941">
        <f t="shared" si="14"/>
        <v>15.91291055</v>
      </c>
      <c r="P105" s="941">
        <f t="shared" si="14"/>
        <v>32.8307888</v>
      </c>
      <c r="Q105" s="941">
        <f t="shared" si="14"/>
        <v>59.34334121</v>
      </c>
      <c r="R105" s="941">
        <f t="shared" si="14"/>
        <v>21.47896702</v>
      </c>
      <c r="S105" s="941">
        <f t="shared" si="14"/>
        <v>4.41378032</v>
      </c>
      <c r="T105" s="941">
        <f t="shared" si="14"/>
        <v>2.306263162</v>
      </c>
      <c r="U105" s="941">
        <f t="shared" si="14"/>
        <v>9.528711546</v>
      </c>
      <c r="V105" s="941">
        <f t="shared" si="14"/>
        <v>5.198055163</v>
      </c>
      <c r="W105" s="941">
        <f t="shared" si="14"/>
        <v>13.5193518</v>
      </c>
      <c r="X105" s="941">
        <f t="shared" si="14"/>
        <v>3.812617409</v>
      </c>
      <c r="Y105" s="941">
        <f t="shared" si="14"/>
        <v>5.895050222</v>
      </c>
      <c r="Z105" s="941">
        <f t="shared" si="14"/>
        <v>3.155973833</v>
      </c>
      <c r="AA105" s="941">
        <f t="shared" si="14"/>
        <v>4.188151971</v>
      </c>
      <c r="AB105" s="941">
        <f t="shared" si="14"/>
        <v>11.97636056</v>
      </c>
      <c r="AC105" s="941">
        <f t="shared" si="14"/>
        <v>4.828298764</v>
      </c>
      <c r="AD105" s="941">
        <f t="shared" si="14"/>
        <v>2.328547655</v>
      </c>
      <c r="AE105" s="941">
        <f t="shared" si="14"/>
        <v>7.686300139</v>
      </c>
      <c r="AF105" s="941">
        <f t="shared" si="14"/>
        <v>28.9613448</v>
      </c>
      <c r="AG105" s="941">
        <f t="shared" si="14"/>
        <v>5.627604036</v>
      </c>
      <c r="AH105" s="941">
        <f t="shared" si="14"/>
        <v>21.30402807</v>
      </c>
      <c r="AI105" s="941">
        <f t="shared" si="14"/>
        <v>14.89433335</v>
      </c>
      <c r="AJ105" s="941">
        <f t="shared" si="14"/>
        <v>6.31059923</v>
      </c>
      <c r="AK105" s="945"/>
    </row>
    <row r="106">
      <c r="A106" s="101"/>
      <c r="B106" s="102"/>
      <c r="C106" s="109"/>
      <c r="D106" s="102"/>
      <c r="E106" s="956"/>
      <c r="F106" s="132"/>
      <c r="G106" s="132"/>
      <c r="H106" s="105"/>
      <c r="I106" s="957"/>
      <c r="J106" s="957"/>
      <c r="K106" s="957"/>
      <c r="L106" s="957"/>
      <c r="M106" s="957"/>
      <c r="N106" s="957"/>
      <c r="O106" s="957"/>
      <c r="P106" s="957"/>
      <c r="Q106" s="957"/>
      <c r="R106" s="957"/>
      <c r="S106" s="957"/>
      <c r="T106" s="957"/>
      <c r="U106" s="957"/>
      <c r="V106" s="957"/>
      <c r="W106" s="957"/>
      <c r="X106" s="957"/>
      <c r="Y106" s="957"/>
      <c r="Z106" s="957"/>
      <c r="AA106" s="957"/>
      <c r="AB106" s="957"/>
      <c r="AC106" s="957"/>
      <c r="AD106" s="957"/>
      <c r="AE106" s="957"/>
      <c r="AF106" s="957"/>
      <c r="AG106" s="957"/>
      <c r="AH106" s="957"/>
      <c r="AI106" s="957"/>
      <c r="AJ106" s="957"/>
      <c r="AK106" s="958"/>
    </row>
    <row r="107">
      <c r="A107" s="885" t="s">
        <v>623</v>
      </c>
      <c r="B107" s="12"/>
      <c r="C107" s="12"/>
      <c r="D107" s="12"/>
      <c r="E107" s="12"/>
      <c r="F107" s="12"/>
      <c r="G107" s="30"/>
      <c r="H107" s="97"/>
      <c r="I107" s="98"/>
      <c r="J107" s="864"/>
      <c r="K107" s="864"/>
      <c r="L107" s="864"/>
      <c r="M107" s="864"/>
      <c r="N107" s="864"/>
      <c r="O107" s="864"/>
      <c r="P107" s="864"/>
      <c r="Q107" s="864"/>
      <c r="R107" s="864"/>
      <c r="S107" s="864"/>
      <c r="T107" s="864"/>
      <c r="U107" s="864"/>
      <c r="V107" s="864"/>
      <c r="W107" s="864"/>
      <c r="X107" s="864"/>
      <c r="Y107" s="864"/>
      <c r="Z107" s="864"/>
      <c r="AA107" s="864"/>
      <c r="AB107" s="864"/>
      <c r="AC107" s="864"/>
      <c r="AD107" s="864"/>
      <c r="AE107" s="864"/>
      <c r="AF107" s="864"/>
      <c r="AG107" s="864"/>
      <c r="AH107" s="864"/>
      <c r="AI107" s="864"/>
      <c r="AJ107" s="864"/>
      <c r="AK107" s="865"/>
    </row>
    <row r="108">
      <c r="A108" s="101"/>
      <c r="B108" s="102"/>
      <c r="C108" s="109"/>
      <c r="D108" s="102"/>
      <c r="E108" s="956"/>
      <c r="F108" s="132"/>
      <c r="G108" s="132"/>
      <c r="H108" s="105"/>
      <c r="I108" s="957"/>
      <c r="J108" s="957"/>
      <c r="K108" s="957"/>
      <c r="L108" s="957"/>
      <c r="M108" s="957"/>
      <c r="N108" s="957"/>
      <c r="O108" s="957"/>
      <c r="P108" s="957"/>
      <c r="Q108" s="957"/>
      <c r="R108" s="957"/>
      <c r="S108" s="957"/>
      <c r="T108" s="957"/>
      <c r="U108" s="957"/>
      <c r="V108" s="957"/>
      <c r="W108" s="957"/>
      <c r="X108" s="957"/>
      <c r="Y108" s="957"/>
      <c r="Z108" s="957"/>
      <c r="AA108" s="957"/>
      <c r="AB108" s="957"/>
      <c r="AC108" s="957"/>
      <c r="AD108" s="957"/>
      <c r="AE108" s="957"/>
      <c r="AF108" s="957"/>
      <c r="AG108" s="957"/>
      <c r="AH108" s="957"/>
      <c r="AI108" s="957"/>
      <c r="AJ108" s="957"/>
      <c r="AK108" s="958"/>
    </row>
    <row r="109">
      <c r="A109" s="101"/>
      <c r="B109" s="102"/>
      <c r="C109" s="801" t="s">
        <v>544</v>
      </c>
      <c r="F109" s="132"/>
      <c r="G109" s="132"/>
      <c r="H109" s="105"/>
      <c r="I109" s="957"/>
      <c r="J109" s="957"/>
      <c r="K109" s="957"/>
      <c r="L109" s="957"/>
      <c r="M109" s="957"/>
      <c r="N109" s="957"/>
      <c r="O109" s="957"/>
      <c r="P109" s="957"/>
      <c r="Q109" s="957"/>
      <c r="R109" s="957"/>
      <c r="S109" s="957"/>
      <c r="T109" s="957"/>
      <c r="U109" s="957"/>
      <c r="V109" s="957"/>
      <c r="W109" s="957"/>
      <c r="X109" s="957"/>
      <c r="Y109" s="957"/>
      <c r="Z109" s="957"/>
      <c r="AA109" s="957"/>
      <c r="AB109" s="957"/>
      <c r="AC109" s="957"/>
      <c r="AD109" s="957"/>
      <c r="AE109" s="957"/>
      <c r="AF109" s="957"/>
      <c r="AG109" s="957"/>
      <c r="AH109" s="957"/>
      <c r="AI109" s="957"/>
      <c r="AJ109" s="957"/>
      <c r="AK109" s="958"/>
    </row>
    <row r="110">
      <c r="A110" s="101"/>
      <c r="B110" s="102"/>
      <c r="C110" s="109"/>
      <c r="D110" s="102"/>
      <c r="E110" s="396" t="s">
        <v>545</v>
      </c>
      <c r="F110" s="114" t="s">
        <v>108</v>
      </c>
      <c r="G110" s="114" t="s">
        <v>213</v>
      </c>
      <c r="H110" s="256" t="s">
        <v>165</v>
      </c>
      <c r="I110" s="997">
        <v>39.13173010056924</v>
      </c>
      <c r="J110" s="997">
        <v>27.04285897849695</v>
      </c>
      <c r="K110" s="997">
        <v>14.891510797984163</v>
      </c>
      <c r="L110" s="997">
        <v>29.497357077412083</v>
      </c>
      <c r="M110" s="997">
        <v>17.908366138582306</v>
      </c>
      <c r="N110" s="997">
        <v>8.366301510269109</v>
      </c>
      <c r="O110" s="997">
        <v>27.750621218509743</v>
      </c>
      <c r="P110" s="997">
        <v>59.55313094728084</v>
      </c>
      <c r="Q110" s="997">
        <v>106.62344835030262</v>
      </c>
      <c r="R110" s="997">
        <v>37.457300856646924</v>
      </c>
      <c r="S110" s="997">
        <v>7.697218269533203</v>
      </c>
      <c r="T110" s="997">
        <v>4.021906316349203</v>
      </c>
      <c r="U110" s="997">
        <v>16.61717785826825</v>
      </c>
      <c r="V110" s="997">
        <v>9.064919925084348</v>
      </c>
      <c r="W110" s="997">
        <v>23.576479603398308</v>
      </c>
      <c r="X110" s="997">
        <v>6.648846622720242</v>
      </c>
      <c r="Y110" s="997">
        <v>10.28041383592072</v>
      </c>
      <c r="Z110" s="997">
        <v>5.5037219091124285</v>
      </c>
      <c r="AA110" s="997">
        <v>7.3037436231636175</v>
      </c>
      <c r="AB110" s="997">
        <v>20.885647812584953</v>
      </c>
      <c r="AC110" s="997">
        <v>8.420099498353542</v>
      </c>
      <c r="AD110" s="997">
        <v>4.0607683785158</v>
      </c>
      <c r="AE110" s="997">
        <v>13.404185430054314</v>
      </c>
      <c r="AF110" s="997">
        <v>50.50586485683054</v>
      </c>
      <c r="AG110" s="997">
        <v>8.973568989564928</v>
      </c>
      <c r="AH110" s="997">
        <v>33.97061421382593</v>
      </c>
      <c r="AI110" s="997">
        <v>25.05822287742425</v>
      </c>
      <c r="AJ110" s="997">
        <v>10.880749284023558</v>
      </c>
      <c r="AK110" s="998"/>
    </row>
    <row r="111">
      <c r="A111" s="101"/>
      <c r="B111" s="102"/>
      <c r="C111" s="109"/>
      <c r="D111" s="102"/>
      <c r="E111" s="598" t="s">
        <v>549</v>
      </c>
      <c r="F111" s="145" t="s">
        <v>112</v>
      </c>
      <c r="G111" s="145" t="s">
        <v>213</v>
      </c>
      <c r="H111" s="223" t="s">
        <v>165</v>
      </c>
      <c r="I111" s="999">
        <v>25.430940673284102</v>
      </c>
      <c r="J111" s="999">
        <v>17.897334331691738</v>
      </c>
      <c r="K111" s="999">
        <v>9.607043833967008</v>
      </c>
      <c r="L111" s="999">
        <v>19.029795315814148</v>
      </c>
      <c r="M111" s="999">
        <v>12.299344347440124</v>
      </c>
      <c r="N111" s="999">
        <v>5.397398989780135</v>
      </c>
      <c r="O111" s="999">
        <v>19.745860830891832</v>
      </c>
      <c r="P111" s="999">
        <v>36.93647248361594</v>
      </c>
      <c r="Q111" s="999">
        <v>66.76457586653443</v>
      </c>
      <c r="R111" s="999">
        <v>24.165038464774817</v>
      </c>
      <c r="S111" s="999">
        <v>4.965749568205483</v>
      </c>
      <c r="T111" s="999">
        <v>2.5946749662570174</v>
      </c>
      <c r="U111" s="999">
        <v>10.720333097620928</v>
      </c>
      <c r="V111" s="999">
        <v>5.848102603765031</v>
      </c>
      <c r="W111" s="999">
        <v>15.210026442121476</v>
      </c>
      <c r="X111" s="999">
        <v>4.289407691155393</v>
      </c>
      <c r="Y111" s="999">
        <v>6.632261003791559</v>
      </c>
      <c r="Z111" s="999">
        <v>3.550646965784371</v>
      </c>
      <c r="AA111" s="999">
        <v>4.711905064010584</v>
      </c>
      <c r="AB111" s="999">
        <v>13.474075045727552</v>
      </c>
      <c r="AC111" s="999">
        <v>5.432105987392248</v>
      </c>
      <c r="AD111" s="999">
        <v>2.6197462662599276</v>
      </c>
      <c r="AE111" s="999">
        <v>8.647517282301918</v>
      </c>
      <c r="AF111" s="999">
        <v>32.58313170062416</v>
      </c>
      <c r="AG111" s="999">
        <v>6.331369095334301</v>
      </c>
      <c r="AH111" s="999">
        <v>23.968222368719935</v>
      </c>
      <c r="AI111" s="999">
        <v>16.75695753948255</v>
      </c>
      <c r="AJ111" s="999">
        <v>7.099776865606198</v>
      </c>
      <c r="AK111" s="1000"/>
    </row>
    <row r="112">
      <c r="A112" s="101"/>
      <c r="B112" s="102"/>
      <c r="C112" s="109"/>
      <c r="D112" s="102"/>
      <c r="E112" s="598" t="s">
        <v>558</v>
      </c>
      <c r="F112" s="145" t="s">
        <v>112</v>
      </c>
      <c r="G112" s="145" t="s">
        <v>213</v>
      </c>
      <c r="H112" s="223" t="s">
        <v>165</v>
      </c>
      <c r="I112" s="999">
        <v>17.73515928060135</v>
      </c>
      <c r="J112" s="999">
        <v>11.862387790487364</v>
      </c>
      <c r="K112" s="999">
        <v>6.415350344372084</v>
      </c>
      <c r="L112" s="999">
        <v>12.361279061913487</v>
      </c>
      <c r="M112" s="999">
        <v>8.487037605012182</v>
      </c>
      <c r="N112" s="999">
        <v>3.4346890708125497</v>
      </c>
      <c r="O112" s="999">
        <v>11.93945433126973</v>
      </c>
      <c r="P112" s="999">
        <v>25.857358889928882</v>
      </c>
      <c r="Q112" s="999">
        <v>47.16515828379525</v>
      </c>
      <c r="R112" s="999">
        <v>16.769030253566967</v>
      </c>
      <c r="S112" s="999">
        <v>3.208088831650426</v>
      </c>
      <c r="T112" s="999">
        <v>1.6739267216679</v>
      </c>
      <c r="U112" s="999">
        <v>7.212618749193297</v>
      </c>
      <c r="V112" s="999">
        <v>3.9166484205523098</v>
      </c>
      <c r="W112" s="999">
        <v>10.256292606857388</v>
      </c>
      <c r="X112" s="999">
        <v>2.762642197591861</v>
      </c>
      <c r="Y112" s="999">
        <v>4.359502635053263</v>
      </c>
      <c r="Z112" s="999">
        <v>2.253059655386031</v>
      </c>
      <c r="AA112" s="999">
        <v>3.035767636073525</v>
      </c>
      <c r="AB112" s="999">
        <v>9.056434079091364</v>
      </c>
      <c r="AC112" s="999">
        <v>3.5590482287472485</v>
      </c>
      <c r="AD112" s="999">
        <v>1.6812374621204365</v>
      </c>
      <c r="AE112" s="999">
        <v>5.753885172154695</v>
      </c>
      <c r="AF112" s="999">
        <v>22.760372125749313</v>
      </c>
      <c r="AG112" s="999">
        <v>4.09878711860279</v>
      </c>
      <c r="AH112" s="999">
        <v>16.729288997084765</v>
      </c>
      <c r="AI112" s="999">
        <v>11.087271521028846</v>
      </c>
      <c r="AJ112" s="999">
        <v>4.715594221146196</v>
      </c>
      <c r="AK112" s="1000"/>
    </row>
    <row r="113">
      <c r="A113" s="101"/>
      <c r="B113" s="102"/>
      <c r="C113" s="109"/>
      <c r="D113" s="102"/>
      <c r="E113" s="610" t="s">
        <v>563</v>
      </c>
      <c r="F113" s="176" t="s">
        <v>112</v>
      </c>
      <c r="G113" s="176" t="s">
        <v>213</v>
      </c>
      <c r="H113" s="235" t="s">
        <v>165</v>
      </c>
      <c r="I113" s="1001">
        <v>4.195205948421561</v>
      </c>
      <c r="J113" s="1001">
        <v>4.8074291030022644</v>
      </c>
      <c r="K113" s="1001">
        <v>1.291141342629882</v>
      </c>
      <c r="L113" s="1001">
        <v>4.657472318241699</v>
      </c>
      <c r="M113" s="1001">
        <v>1.8290957087963173</v>
      </c>
      <c r="N113" s="1001">
        <v>0.9020072873240197</v>
      </c>
      <c r="O113" s="1001">
        <v>5.202152401991385</v>
      </c>
      <c r="P113" s="1001">
        <v>7.173038577293483</v>
      </c>
      <c r="Q113" s="1001">
        <v>18.777039698180765</v>
      </c>
      <c r="R113" s="1001">
        <v>3.8481611220768697</v>
      </c>
      <c r="S113" s="1001">
        <v>0.2645834220418312</v>
      </c>
      <c r="T113" s="1001">
        <v>0.0</v>
      </c>
      <c r="U113" s="1001">
        <v>1.0718783121296727</v>
      </c>
      <c r="V113" s="1001">
        <v>0.17586587424371783</v>
      </c>
      <c r="W113" s="1001">
        <v>2.2534903194863216</v>
      </c>
      <c r="X113" s="1001">
        <v>0.13147581785002163</v>
      </c>
      <c r="Y113" s="1001">
        <v>0.47319282491545184</v>
      </c>
      <c r="Z113" s="1001">
        <v>0.1797382834423825</v>
      </c>
      <c r="AA113" s="1001">
        <v>0.33864885982080334</v>
      </c>
      <c r="AB113" s="1001">
        <v>1.7266481014257367</v>
      </c>
      <c r="AC113" s="1001">
        <v>0.275009863438525</v>
      </c>
      <c r="AD113" s="1001">
        <v>0.08021516603007656</v>
      </c>
      <c r="AE113" s="1001">
        <v>0.745548419749308</v>
      </c>
      <c r="AF113" s="1001">
        <v>6.514928812576735</v>
      </c>
      <c r="AG113" s="1001">
        <v>1.2424923339767961</v>
      </c>
      <c r="AH113" s="1001">
        <v>7.142500474921402</v>
      </c>
      <c r="AI113" s="1001">
        <v>4.56748493752907</v>
      </c>
      <c r="AJ113" s="1001">
        <v>0.9903295781114324</v>
      </c>
      <c r="AK113" s="1002"/>
    </row>
    <row r="114">
      <c r="A114" s="101"/>
      <c r="B114" s="102"/>
      <c r="C114" s="109"/>
      <c r="D114" s="102"/>
      <c r="E114" s="956"/>
      <c r="F114" s="132"/>
      <c r="G114" s="132"/>
      <c r="H114" s="105"/>
      <c r="I114" s="1003"/>
      <c r="J114" s="1003"/>
      <c r="K114" s="1003"/>
      <c r="L114" s="1003"/>
      <c r="M114" s="1003"/>
      <c r="N114" s="1003"/>
      <c r="O114" s="1003"/>
      <c r="P114" s="1003"/>
      <c r="Q114" s="1003"/>
      <c r="R114" s="1003"/>
      <c r="S114" s="1003"/>
      <c r="T114" s="1003"/>
      <c r="U114" s="1003"/>
      <c r="V114" s="1003"/>
      <c r="W114" s="1003"/>
      <c r="X114" s="1003"/>
      <c r="Y114" s="1003"/>
      <c r="Z114" s="1003"/>
      <c r="AA114" s="1003"/>
      <c r="AB114" s="1003"/>
      <c r="AC114" s="1003"/>
      <c r="AD114" s="1003"/>
      <c r="AE114" s="1003"/>
      <c r="AF114" s="1003"/>
      <c r="AG114" s="1003"/>
      <c r="AH114" s="1003"/>
      <c r="AI114" s="1003"/>
      <c r="AJ114" s="1003"/>
      <c r="AK114" s="958"/>
    </row>
    <row r="115">
      <c r="A115" s="101"/>
      <c r="B115" s="102"/>
      <c r="C115" s="109" t="s">
        <v>577</v>
      </c>
      <c r="F115" s="132"/>
      <c r="G115" s="132"/>
      <c r="H115" s="105"/>
      <c r="I115" s="1003"/>
      <c r="J115" s="1003"/>
      <c r="K115" s="1003"/>
      <c r="L115" s="1003"/>
      <c r="M115" s="1003"/>
      <c r="N115" s="1003"/>
      <c r="O115" s="1003"/>
      <c r="P115" s="1003"/>
      <c r="Q115" s="1003"/>
      <c r="R115" s="1003"/>
      <c r="S115" s="1003"/>
      <c r="T115" s="1003"/>
      <c r="U115" s="1003"/>
      <c r="V115" s="1003"/>
      <c r="W115" s="1003"/>
      <c r="X115" s="1003"/>
      <c r="Y115" s="1003"/>
      <c r="Z115" s="1003"/>
      <c r="AA115" s="1003"/>
      <c r="AB115" s="1003"/>
      <c r="AC115" s="1003"/>
      <c r="AD115" s="1003"/>
      <c r="AE115" s="1003"/>
      <c r="AF115" s="1003"/>
      <c r="AG115" s="1003"/>
      <c r="AH115" s="1003"/>
      <c r="AI115" s="1003"/>
      <c r="AJ115" s="1003"/>
      <c r="AK115" s="958"/>
    </row>
    <row r="116">
      <c r="A116" s="101"/>
      <c r="B116" s="102"/>
      <c r="C116" s="109"/>
      <c r="D116" s="102"/>
      <c r="E116" s="403" t="s">
        <v>578</v>
      </c>
      <c r="F116" s="121" t="s">
        <v>112</v>
      </c>
      <c r="G116" s="121" t="s">
        <v>213</v>
      </c>
      <c r="H116" s="249" t="s">
        <v>165</v>
      </c>
      <c r="I116" s="1004">
        <v>18.921838009208653</v>
      </c>
      <c r="J116" s="1004">
        <v>13.31647402947549</v>
      </c>
      <c r="K116" s="1004">
        <v>7.148100792223484</v>
      </c>
      <c r="L116" s="1004">
        <v>14.159079246820998</v>
      </c>
      <c r="M116" s="1004">
        <v>9.151301336101318</v>
      </c>
      <c r="N116" s="1004">
        <v>4.01592338512964</v>
      </c>
      <c r="O116" s="1004">
        <v>13.32062543604209</v>
      </c>
      <c r="P116" s="1004">
        <v>27.4825047938865</v>
      </c>
      <c r="Q116" s="1004">
        <v>49.6760424842336</v>
      </c>
      <c r="R116" s="1004">
        <v>17.97994612905199</v>
      </c>
      <c r="S116" s="1004">
        <v>3.6947555393651115</v>
      </c>
      <c r="T116" s="1004">
        <v>1.9305624604614375</v>
      </c>
      <c r="U116" s="1004">
        <v>7.976441331210332</v>
      </c>
      <c r="V116" s="1004">
        <v>4.351268462747871</v>
      </c>
      <c r="W116" s="1004">
        <v>11.316988236929292</v>
      </c>
      <c r="X116" s="1004">
        <v>3.191524785898325</v>
      </c>
      <c r="Y116" s="1004">
        <v>4.934719873746977</v>
      </c>
      <c r="Z116" s="1004">
        <v>2.641851419402647</v>
      </c>
      <c r="AA116" s="1004">
        <v>3.5058830690301996</v>
      </c>
      <c r="AB116" s="1004">
        <v>10.025357245515256</v>
      </c>
      <c r="AC116" s="1004">
        <v>4.041747053826736</v>
      </c>
      <c r="AD116" s="1004">
        <v>1.9492167085850123</v>
      </c>
      <c r="AE116" s="1004">
        <v>6.434167076227884</v>
      </c>
      <c r="AF116" s="1004">
        <v>24.24341072525115</v>
      </c>
      <c r="AG116" s="1004">
        <v>4.710841881058686</v>
      </c>
      <c r="AH116" s="1004">
        <v>17.833505526047958</v>
      </c>
      <c r="AI116" s="1004">
        <v>12.46797907174427</v>
      </c>
      <c r="AJ116" s="1004">
        <v>5.282574069061326</v>
      </c>
      <c r="AK116" s="1005"/>
    </row>
    <row r="117">
      <c r="A117" s="101"/>
      <c r="B117" s="102"/>
      <c r="C117" s="109"/>
      <c r="D117" s="102"/>
      <c r="E117" s="956"/>
      <c r="F117" s="132"/>
      <c r="G117" s="132"/>
      <c r="H117" s="105"/>
      <c r="I117" s="1003"/>
      <c r="J117" s="1003"/>
      <c r="K117" s="1003"/>
      <c r="L117" s="1003"/>
      <c r="M117" s="1003"/>
      <c r="N117" s="1003"/>
      <c r="O117" s="1003"/>
      <c r="P117" s="1003"/>
      <c r="Q117" s="1003"/>
      <c r="R117" s="1003"/>
      <c r="S117" s="1003"/>
      <c r="T117" s="1003"/>
      <c r="U117" s="1003"/>
      <c r="V117" s="1003"/>
      <c r="W117" s="1003"/>
      <c r="X117" s="1003"/>
      <c r="Y117" s="1003"/>
      <c r="Z117" s="1003"/>
      <c r="AA117" s="1003"/>
      <c r="AB117" s="1003"/>
      <c r="AC117" s="1003"/>
      <c r="AD117" s="1003"/>
      <c r="AE117" s="1003"/>
      <c r="AF117" s="1003"/>
      <c r="AG117" s="1003"/>
      <c r="AH117" s="1003"/>
      <c r="AI117" s="1003"/>
      <c r="AJ117" s="1003"/>
      <c r="AK117" s="958"/>
    </row>
    <row r="118">
      <c r="A118" s="101"/>
      <c r="B118" s="102"/>
      <c r="C118" s="801" t="s">
        <v>579</v>
      </c>
      <c r="F118" s="61"/>
      <c r="G118" s="61"/>
      <c r="H118" s="105"/>
      <c r="I118" s="1003"/>
      <c r="J118" s="1003"/>
      <c r="K118" s="1003"/>
      <c r="L118" s="1003"/>
      <c r="M118" s="1003"/>
      <c r="N118" s="1003"/>
      <c r="O118" s="1003"/>
      <c r="P118" s="1003"/>
      <c r="Q118" s="1003"/>
      <c r="R118" s="1003"/>
      <c r="S118" s="1003"/>
      <c r="T118" s="1003"/>
      <c r="U118" s="1003"/>
      <c r="V118" s="1003"/>
      <c r="W118" s="1003"/>
      <c r="X118" s="1003"/>
      <c r="Y118" s="1003"/>
      <c r="Z118" s="1003"/>
      <c r="AA118" s="1003"/>
      <c r="AB118" s="1003"/>
      <c r="AC118" s="1003"/>
      <c r="AD118" s="1003"/>
      <c r="AE118" s="1003"/>
      <c r="AF118" s="1003"/>
      <c r="AG118" s="1003"/>
      <c r="AH118" s="1003"/>
      <c r="AI118" s="1003"/>
      <c r="AJ118" s="1003"/>
      <c r="AK118" s="958"/>
    </row>
    <row r="119">
      <c r="A119" s="101"/>
      <c r="B119" s="102"/>
      <c r="C119" s="801"/>
      <c r="D119" s="198"/>
      <c r="E119" s="892" t="s">
        <v>580</v>
      </c>
      <c r="F119" s="585" t="s">
        <v>112</v>
      </c>
      <c r="G119" s="925" t="s">
        <v>213</v>
      </c>
      <c r="H119" s="256" t="s">
        <v>165</v>
      </c>
      <c r="I119" s="997">
        <v>20.35014330506571</v>
      </c>
      <c r="J119" s="997">
        <v>14.131970404992419</v>
      </c>
      <c r="K119" s="997">
        <v>7.585848072395783</v>
      </c>
      <c r="L119" s="997">
        <v>15.026176481485471</v>
      </c>
      <c r="M119" s="997">
        <v>9.646544586227549</v>
      </c>
      <c r="N119" s="997">
        <v>4.261857177939799</v>
      </c>
      <c r="O119" s="997">
        <v>14.136376042296137</v>
      </c>
      <c r="P119" s="997">
        <v>29.36126588522729</v>
      </c>
      <c r="Q119" s="997">
        <v>52.36437322865444</v>
      </c>
      <c r="R119" s="997">
        <v>19.209092579312255</v>
      </c>
      <c r="S119" s="997">
        <v>3.8683899656926655</v>
      </c>
      <c r="T119" s="997">
        <v>2.048789454013225</v>
      </c>
      <c r="U119" s="997">
        <v>8.578538938742769</v>
      </c>
      <c r="V119" s="997">
        <v>4.648730209670136</v>
      </c>
      <c r="W119" s="997">
        <v>12.010036777297831</v>
      </c>
      <c r="X119" s="997">
        <v>3.3642413263963875</v>
      </c>
      <c r="Y119" s="997">
        <v>5.201773336307105</v>
      </c>
      <c r="Z119" s="997">
        <v>2.784821149634801</v>
      </c>
      <c r="AA119" s="997">
        <v>3.720582165011008</v>
      </c>
      <c r="AB119" s="997">
        <v>11.567568401737486</v>
      </c>
      <c r="AC119" s="997">
        <v>4.663493216521167</v>
      </c>
      <c r="AD119" s="997">
        <v>2.262949874935709</v>
      </c>
      <c r="AE119" s="997">
        <v>7.378114904348748</v>
      </c>
      <c r="AF119" s="997">
        <v>27.80012826603333</v>
      </c>
      <c r="AG119" s="997">
        <v>5.4019630331151145</v>
      </c>
      <c r="AH119" s="997">
        <v>20.576852272033012</v>
      </c>
      <c r="AI119" s="997">
        <v>14.47474339658535</v>
      </c>
      <c r="AJ119" s="997">
        <v>5.606077122285762</v>
      </c>
      <c r="AK119" s="998"/>
    </row>
    <row r="120">
      <c r="A120" s="101"/>
      <c r="B120" s="102"/>
      <c r="C120" s="109"/>
      <c r="D120" s="102"/>
      <c r="E120" s="598" t="s">
        <v>582</v>
      </c>
      <c r="F120" s="595" t="s">
        <v>112</v>
      </c>
      <c r="G120" s="1006" t="s">
        <v>213</v>
      </c>
      <c r="H120" s="223" t="s">
        <v>165</v>
      </c>
      <c r="I120" s="999">
        <v>17.26081946150505</v>
      </c>
      <c r="J120" s="999">
        <v>12.147511989836023</v>
      </c>
      <c r="K120" s="999">
        <v>6.520617986855435</v>
      </c>
      <c r="L120" s="999">
        <v>12.916150666842181</v>
      </c>
      <c r="M120" s="999">
        <v>8.347971276543069</v>
      </c>
      <c r="N120" s="999">
        <v>3.6633929794887794</v>
      </c>
      <c r="O120" s="999">
        <v>12.151298972856516</v>
      </c>
      <c r="P120" s="999">
        <v>25.07000394815561</v>
      </c>
      <c r="Q120" s="999">
        <v>45.315322986335566</v>
      </c>
      <c r="R120" s="999">
        <v>16.401609817720466</v>
      </c>
      <c r="S120" s="999">
        <v>3.370418258962997</v>
      </c>
      <c r="T120" s="999">
        <v>1.7610916060567992</v>
      </c>
      <c r="U120" s="999">
        <v>7.276244183905608</v>
      </c>
      <c r="V120" s="999">
        <v>3.9693004097952698</v>
      </c>
      <c r="W120" s="999">
        <v>10.323547358905984</v>
      </c>
      <c r="X120" s="999">
        <v>2.9113626863045656</v>
      </c>
      <c r="Y120" s="999">
        <v>4.501534617958071</v>
      </c>
      <c r="Z120" s="999">
        <v>2.409941379491655</v>
      </c>
      <c r="AA120" s="999">
        <v>3.1981256090569583</v>
      </c>
      <c r="AB120" s="999">
        <v>9.145299804792456</v>
      </c>
      <c r="AC120" s="999">
        <v>3.6869497651983587</v>
      </c>
      <c r="AD120" s="999">
        <v>1.7781083255157886</v>
      </c>
      <c r="AE120" s="999">
        <v>5.86935562147189</v>
      </c>
      <c r="AF120" s="999">
        <v>22.115247760604635</v>
      </c>
      <c r="AG120" s="999">
        <v>4.189876607206522</v>
      </c>
      <c r="AH120" s="999">
        <v>15.861323626358782</v>
      </c>
      <c r="AI120" s="999">
        <v>11.08916307759875</v>
      </c>
      <c r="AJ120" s="999">
        <v>4.6983817492982185</v>
      </c>
      <c r="AK120" s="1000"/>
    </row>
    <row r="121">
      <c r="A121" s="101"/>
      <c r="B121" s="102"/>
      <c r="C121" s="109"/>
      <c r="D121" s="102"/>
      <c r="E121" s="610" t="s">
        <v>589</v>
      </c>
      <c r="F121" s="176" t="s">
        <v>112</v>
      </c>
      <c r="G121" s="176" t="s">
        <v>213</v>
      </c>
      <c r="H121" s="235" t="s">
        <v>165</v>
      </c>
      <c r="I121" s="1001">
        <v>19.65398871953955</v>
      </c>
      <c r="J121" s="1001">
        <v>13.292454653787074</v>
      </c>
      <c r="K121" s="1001">
        <v>6.904591892859328</v>
      </c>
      <c r="L121" s="1001">
        <v>15.423471522393005</v>
      </c>
      <c r="M121" s="1001">
        <v>8.878951100025857</v>
      </c>
      <c r="N121" s="1001">
        <v>4.117876785750327</v>
      </c>
      <c r="O121" s="1001">
        <v>14.360774248578844</v>
      </c>
      <c r="P121" s="1001">
        <v>27.49951846644328</v>
      </c>
      <c r="Q121" s="1001">
        <v>51.67071678195688</v>
      </c>
      <c r="R121" s="1001">
        <v>18.903482913992416</v>
      </c>
      <c r="S121" s="1001">
        <v>3.9165497323317</v>
      </c>
      <c r="T121" s="1001">
        <v>2.1258240304606937</v>
      </c>
      <c r="U121" s="1001">
        <v>8.537070536163698</v>
      </c>
      <c r="V121" s="1001">
        <v>4.684715904465894</v>
      </c>
      <c r="W121" s="1001">
        <v>11.922077189534551</v>
      </c>
      <c r="X121" s="1001">
        <v>3.4359865031479098</v>
      </c>
      <c r="Y121" s="1001">
        <v>5.285705975981009</v>
      </c>
      <c r="Z121" s="1001">
        <v>2.866316948349614</v>
      </c>
      <c r="AA121" s="1001">
        <v>3.8137488600537286</v>
      </c>
      <c r="AB121" s="1001">
        <v>10.512893114814773</v>
      </c>
      <c r="AC121" s="1001">
        <v>4.32255414432959</v>
      </c>
      <c r="AD121" s="1001">
        <v>2.1500104610517368</v>
      </c>
      <c r="AE121" s="1001">
        <v>6.911057582211215</v>
      </c>
      <c r="AF121" s="1001">
        <v>25.637957502671888</v>
      </c>
      <c r="AG121" s="1001">
        <v>2.2097196745617307</v>
      </c>
      <c r="AH121" s="1001">
        <v>12.779833751866892</v>
      </c>
      <c r="AI121" s="1001">
        <v>7.269196419516028</v>
      </c>
      <c r="AJ121" s="1001">
        <v>7.208663566833564</v>
      </c>
      <c r="AK121" s="1002"/>
    </row>
    <row r="122">
      <c r="A122" s="101"/>
      <c r="B122" s="102"/>
      <c r="C122" s="109"/>
      <c r="D122" s="102"/>
      <c r="E122" s="956"/>
      <c r="F122" s="132"/>
      <c r="G122" s="132"/>
      <c r="H122" s="105"/>
      <c r="I122" s="1003"/>
      <c r="J122" s="1003"/>
      <c r="K122" s="1003"/>
      <c r="L122" s="1003"/>
      <c r="M122" s="1003"/>
      <c r="N122" s="1003"/>
      <c r="O122" s="1003"/>
      <c r="P122" s="1003"/>
      <c r="Q122" s="1003"/>
      <c r="R122" s="1003"/>
      <c r="S122" s="1003"/>
      <c r="T122" s="1003"/>
      <c r="U122" s="1003"/>
      <c r="V122" s="1003"/>
      <c r="W122" s="1003"/>
      <c r="X122" s="1003"/>
      <c r="Y122" s="1003"/>
      <c r="Z122" s="1003"/>
      <c r="AA122" s="1003"/>
      <c r="AB122" s="1003"/>
      <c r="AC122" s="1003"/>
      <c r="AD122" s="1003"/>
      <c r="AE122" s="1003"/>
      <c r="AF122" s="1003"/>
      <c r="AG122" s="1003"/>
      <c r="AH122" s="1003"/>
      <c r="AI122" s="1003"/>
      <c r="AJ122" s="1003"/>
      <c r="AK122" s="958"/>
    </row>
    <row r="123">
      <c r="A123" s="885" t="s">
        <v>624</v>
      </c>
      <c r="B123" s="12"/>
      <c r="C123" s="12"/>
      <c r="D123" s="12"/>
      <c r="E123" s="12"/>
      <c r="F123" s="12"/>
      <c r="G123" s="30"/>
      <c r="H123" s="97"/>
      <c r="I123" s="1007"/>
      <c r="J123" s="1008"/>
      <c r="K123" s="1008"/>
      <c r="L123" s="1008"/>
      <c r="M123" s="1008"/>
      <c r="N123" s="1008"/>
      <c r="O123" s="1008"/>
      <c r="P123" s="1008"/>
      <c r="Q123" s="1008"/>
      <c r="R123" s="1008"/>
      <c r="S123" s="1008"/>
      <c r="T123" s="1008"/>
      <c r="U123" s="1008"/>
      <c r="V123" s="1008"/>
      <c r="W123" s="1008"/>
      <c r="X123" s="1008"/>
      <c r="Y123" s="1008"/>
      <c r="Z123" s="1008"/>
      <c r="AA123" s="1008"/>
      <c r="AB123" s="1008"/>
      <c r="AC123" s="1008"/>
      <c r="AD123" s="1008"/>
      <c r="AE123" s="1008"/>
      <c r="AF123" s="1008"/>
      <c r="AG123" s="1008"/>
      <c r="AH123" s="1008"/>
      <c r="AI123" s="1008"/>
      <c r="AJ123" s="1008"/>
      <c r="AK123" s="865"/>
    </row>
    <row r="124">
      <c r="A124" s="101"/>
      <c r="B124" s="102"/>
      <c r="C124" s="109"/>
      <c r="D124" s="102"/>
      <c r="E124" s="956"/>
      <c r="F124" s="132"/>
      <c r="G124" s="132"/>
      <c r="H124" s="105"/>
      <c r="I124" s="1003"/>
      <c r="J124" s="1003"/>
      <c r="K124" s="1003"/>
      <c r="L124" s="1003"/>
      <c r="M124" s="1003"/>
      <c r="N124" s="1003"/>
      <c r="O124" s="1003"/>
      <c r="P124" s="1003"/>
      <c r="Q124" s="1003"/>
      <c r="R124" s="1003"/>
      <c r="S124" s="1003"/>
      <c r="T124" s="1003"/>
      <c r="U124" s="1003"/>
      <c r="V124" s="1003"/>
      <c r="W124" s="1003"/>
      <c r="X124" s="1003"/>
      <c r="Y124" s="1003"/>
      <c r="Z124" s="1003"/>
      <c r="AA124" s="1003"/>
      <c r="AB124" s="1003"/>
      <c r="AC124" s="1003"/>
      <c r="AD124" s="1003"/>
      <c r="AE124" s="1003"/>
      <c r="AF124" s="1003"/>
      <c r="AG124" s="1003"/>
      <c r="AH124" s="1003"/>
      <c r="AI124" s="1003"/>
      <c r="AJ124" s="1003"/>
      <c r="AK124" s="958"/>
    </row>
    <row r="125">
      <c r="A125" s="101"/>
      <c r="B125" s="102"/>
      <c r="C125" s="801" t="s">
        <v>544</v>
      </c>
      <c r="F125" s="132"/>
      <c r="G125" s="132"/>
      <c r="H125" s="105"/>
      <c r="I125" s="1003"/>
      <c r="J125" s="1003"/>
      <c r="K125" s="1003"/>
      <c r="L125" s="1003"/>
      <c r="M125" s="1003"/>
      <c r="N125" s="1003"/>
      <c r="O125" s="1003"/>
      <c r="P125" s="1003"/>
      <c r="Q125" s="1003"/>
      <c r="R125" s="1003"/>
      <c r="S125" s="1003"/>
      <c r="T125" s="1003"/>
      <c r="U125" s="1003"/>
      <c r="V125" s="1003"/>
      <c r="W125" s="1003"/>
      <c r="X125" s="1003"/>
      <c r="Y125" s="1003"/>
      <c r="Z125" s="1003"/>
      <c r="AA125" s="1003"/>
      <c r="AB125" s="1003"/>
      <c r="AC125" s="1003"/>
      <c r="AD125" s="1003"/>
      <c r="AE125" s="1003"/>
      <c r="AF125" s="1003"/>
      <c r="AG125" s="1003"/>
      <c r="AH125" s="1003"/>
      <c r="AI125" s="1003"/>
      <c r="AJ125" s="1003"/>
      <c r="AK125" s="958"/>
    </row>
    <row r="126">
      <c r="A126" s="101"/>
      <c r="B126" s="102"/>
      <c r="C126" s="109"/>
      <c r="D126" s="102"/>
      <c r="E126" s="396" t="s">
        <v>545</v>
      </c>
      <c r="F126" s="114" t="s">
        <v>108</v>
      </c>
      <c r="G126" s="114" t="s">
        <v>213</v>
      </c>
      <c r="H126" s="256" t="s">
        <v>165</v>
      </c>
      <c r="I126" s="997">
        <v>11.243071707999373</v>
      </c>
      <c r="J126" s="997">
        <v>7.953782052499103</v>
      </c>
      <c r="K126" s="997">
        <v>4.229884390088888</v>
      </c>
      <c r="L126" s="997">
        <v>8.378626718486702</v>
      </c>
      <c r="M126" s="997">
        <v>5.62834364355444</v>
      </c>
      <c r="N126" s="997">
        <v>2.376420273344922</v>
      </c>
      <c r="O126" s="997">
        <v>7.882472174907435</v>
      </c>
      <c r="P126" s="997">
        <v>15.76406407428022</v>
      </c>
      <c r="Q126" s="997">
        <v>28.725038596656866</v>
      </c>
      <c r="R126" s="997">
        <v>10.63962242231605</v>
      </c>
      <c r="S126" s="997">
        <v>2.186369391735112</v>
      </c>
      <c r="T126" s="997">
        <v>1.1424091871342095</v>
      </c>
      <c r="U126" s="997">
        <v>4.720054411103434</v>
      </c>
      <c r="V126" s="997">
        <v>2.574860523467539</v>
      </c>
      <c r="W126" s="997">
        <v>6.696821054661779</v>
      </c>
      <c r="X126" s="997">
        <v>1.8885828928349329</v>
      </c>
      <c r="Y126" s="997">
        <v>2.9201175487245625</v>
      </c>
      <c r="Z126" s="997">
        <v>1.5633140053120906</v>
      </c>
      <c r="AA126" s="997">
        <v>2.074604219809121</v>
      </c>
      <c r="AB126" s="997">
        <v>5.9324991841194645</v>
      </c>
      <c r="AC126" s="997">
        <v>2.3917014139292165</v>
      </c>
      <c r="AD126" s="997">
        <v>1.153447827360519</v>
      </c>
      <c r="AE126" s="997">
        <v>3.807414538497918</v>
      </c>
      <c r="AF126" s="997">
        <v>14.346023869839023</v>
      </c>
      <c r="AG126" s="997">
        <v>2.968867352268994</v>
      </c>
      <c r="AH126" s="997">
        <v>11.23903405581803</v>
      </c>
      <c r="AI126" s="997">
        <v>7.492491890259742</v>
      </c>
      <c r="AJ126" s="997">
        <v>3.163905820177064</v>
      </c>
      <c r="AK126" s="998"/>
    </row>
    <row r="127">
      <c r="A127" s="101"/>
      <c r="B127" s="102"/>
      <c r="C127" s="109"/>
      <c r="D127" s="102"/>
      <c r="E127" s="598" t="s">
        <v>549</v>
      </c>
      <c r="F127" s="145" t="s">
        <v>112</v>
      </c>
      <c r="G127" s="145" t="s">
        <v>213</v>
      </c>
      <c r="H127" s="223" t="s">
        <v>165</v>
      </c>
      <c r="I127" s="999">
        <v>16.45531455330148</v>
      </c>
      <c r="J127" s="999">
        <v>11.58062809697701</v>
      </c>
      <c r="K127" s="999">
        <v>6.216322480802182</v>
      </c>
      <c r="L127" s="999">
        <v>12.31339696905621</v>
      </c>
      <c r="M127" s="999">
        <v>7.9583992836377275</v>
      </c>
      <c r="N127" s="999">
        <v>3.49243464044597</v>
      </c>
      <c r="O127" s="999">
        <v>12.693767677001894</v>
      </c>
      <c r="P127" s="999">
        <v>23.900070430575017</v>
      </c>
      <c r="Q127" s="999">
        <v>43.20060791363991</v>
      </c>
      <c r="R127" s="999">
        <v>15.636201359560175</v>
      </c>
      <c r="S127" s="999">
        <v>3.2131320735447244</v>
      </c>
      <c r="T127" s="999">
        <v>1.6789073311074818</v>
      </c>
      <c r="U127" s="999">
        <v>6.936686121990013</v>
      </c>
      <c r="V127" s="999">
        <v>3.7840663906714918</v>
      </c>
      <c r="W127" s="999">
        <v>9.84178181549037</v>
      </c>
      <c r="X127" s="999">
        <v>2.7754990942770195</v>
      </c>
      <c r="Y127" s="999">
        <v>4.291463002453362</v>
      </c>
      <c r="Z127" s="999">
        <v>2.2974774484487117</v>
      </c>
      <c r="AA127" s="999">
        <v>3.0488797473009672</v>
      </c>
      <c r="AB127" s="999">
        <v>8.718519147235478</v>
      </c>
      <c r="AC127" s="999">
        <v>3.514892109489102</v>
      </c>
      <c r="AD127" s="999">
        <v>1.6951299369917188</v>
      </c>
      <c r="AE127" s="999">
        <v>5.5954523591365355</v>
      </c>
      <c r="AF127" s="999">
        <v>21.08320286510975</v>
      </c>
      <c r="AG127" s="999">
        <v>4.096768238157488</v>
      </c>
      <c r="AH127" s="999">
        <v>15.508849767995253</v>
      </c>
      <c r="AI127" s="999">
        <v>10.842737231429885</v>
      </c>
      <c r="AJ127" s="999">
        <v>4.593973265980481</v>
      </c>
      <c r="AK127" s="1000"/>
    </row>
    <row r="128">
      <c r="A128" s="101"/>
      <c r="B128" s="102"/>
      <c r="C128" s="109"/>
      <c r="D128" s="102"/>
      <c r="E128" s="598" t="s">
        <v>558</v>
      </c>
      <c r="F128" s="145" t="s">
        <v>112</v>
      </c>
      <c r="G128" s="145" t="s">
        <v>213</v>
      </c>
      <c r="H128" s="223" t="s">
        <v>165</v>
      </c>
      <c r="I128" s="999">
        <v>27.62033002716604</v>
      </c>
      <c r="J128" s="999">
        <v>20.186870450478498</v>
      </c>
      <c r="K128" s="999">
        <v>10.873475159952683</v>
      </c>
      <c r="L128" s="999">
        <v>21.6322383583486</v>
      </c>
      <c r="M128" s="999">
        <v>13.579260168019491</v>
      </c>
      <c r="N128" s="999">
        <v>6.319827890295089</v>
      </c>
      <c r="O128" s="999">
        <v>20.43483529775012</v>
      </c>
      <c r="P128" s="999">
        <v>40.2225582732227</v>
      </c>
      <c r="Q128" s="999">
        <v>72.25300843475017</v>
      </c>
      <c r="R128" s="999">
        <v>26.437660309677653</v>
      </c>
      <c r="S128" s="999">
        <v>5.711963041719049</v>
      </c>
      <c r="T128" s="999">
        <v>3.0592453878758175</v>
      </c>
      <c r="U128" s="999">
        <v>12.056914924024614</v>
      </c>
      <c r="V128" s="999">
        <v>6.644314284865525</v>
      </c>
      <c r="W128" s="999">
        <v>17.142660500033063</v>
      </c>
      <c r="X128" s="999">
        <v>4.9188507420538015</v>
      </c>
      <c r="Y128" s="999">
        <v>7.562402530194436</v>
      </c>
      <c r="Z128" s="999">
        <v>4.103787229453127</v>
      </c>
      <c r="AA128" s="999">
        <v>5.4643817449323455</v>
      </c>
      <c r="AB128" s="999">
        <v>15.139113684451239</v>
      </c>
      <c r="AC128" s="999">
        <v>6.207642259442876</v>
      </c>
      <c r="AD128" s="999">
        <v>3.03916002767925</v>
      </c>
      <c r="AE128" s="999">
        <v>9.821286759367498</v>
      </c>
      <c r="AF128" s="999">
        <v>35.44648117944565</v>
      </c>
      <c r="AG128" s="999">
        <v>7.297840479463507</v>
      </c>
      <c r="AH128" s="999">
        <v>26.023338439909622</v>
      </c>
      <c r="AI128" s="999">
        <v>19.006751178906594</v>
      </c>
      <c r="AJ128" s="999">
        <v>8.17369664998674</v>
      </c>
      <c r="AK128" s="1000"/>
    </row>
    <row r="129">
      <c r="A129" s="101"/>
      <c r="B129" s="102"/>
      <c r="C129" s="109"/>
      <c r="D129" s="102"/>
      <c r="E129" s="610" t="s">
        <v>563</v>
      </c>
      <c r="F129" s="176" t="s">
        <v>112</v>
      </c>
      <c r="G129" s="176" t="s">
        <v>213</v>
      </c>
      <c r="H129" s="235" t="s">
        <v>165</v>
      </c>
      <c r="I129" s="1001">
        <v>33.91124808307429</v>
      </c>
      <c r="J129" s="1001">
        <v>21.85195046819211</v>
      </c>
      <c r="K129" s="1001">
        <v>13.234198761956286</v>
      </c>
      <c r="L129" s="1001">
        <v>25.87484621245388</v>
      </c>
      <c r="M129" s="1001">
        <v>16.461861379166855</v>
      </c>
      <c r="N129" s="1001">
        <v>7.140891024648488</v>
      </c>
      <c r="O129" s="1001">
        <v>19.50807150746769</v>
      </c>
      <c r="P129" s="1001">
        <v>48.866325307811856</v>
      </c>
      <c r="Q129" s="1001">
        <v>74.11989354545041</v>
      </c>
      <c r="R129" s="1001">
        <v>32.53445312301353</v>
      </c>
      <c r="S129" s="1001">
        <v>7.011460684108528</v>
      </c>
      <c r="T129" s="1001">
        <v>3.734232083908438</v>
      </c>
      <c r="U129" s="1001">
        <v>14.791920707389488</v>
      </c>
      <c r="V129" s="1001">
        <v>8.265696089454735</v>
      </c>
      <c r="W129" s="1001">
        <v>20.506761907325533</v>
      </c>
      <c r="X129" s="1001">
        <v>6.179363438951017</v>
      </c>
      <c r="Y129" s="1001">
        <v>9.306125556670555</v>
      </c>
      <c r="Z129" s="1001">
        <v>5.032671936386711</v>
      </c>
      <c r="AA129" s="1001">
        <v>6.660094243142468</v>
      </c>
      <c r="AB129" s="1001">
        <v>18.129805064970235</v>
      </c>
      <c r="AC129" s="1001">
        <v>7.7002761762787015</v>
      </c>
      <c r="AD129" s="1001">
        <v>3.7701128034135976</v>
      </c>
      <c r="AE129" s="1001">
        <v>12.115161820926254</v>
      </c>
      <c r="AF129" s="1001">
        <v>42.921883941682026</v>
      </c>
      <c r="AG129" s="1001">
        <v>8.386823254343373</v>
      </c>
      <c r="AH129" s="1001">
        <v>24.915699331121164</v>
      </c>
      <c r="AI129" s="1001">
        <v>19.57493544655315</v>
      </c>
      <c r="AJ129" s="1001">
        <v>9.573185921743844</v>
      </c>
      <c r="AK129" s="1002"/>
    </row>
    <row r="130">
      <c r="A130" s="101"/>
      <c r="B130" s="102"/>
      <c r="C130" s="109"/>
      <c r="D130" s="102"/>
      <c r="E130" s="956"/>
      <c r="F130" s="132"/>
      <c r="G130" s="132"/>
      <c r="H130" s="105"/>
      <c r="I130" s="1003"/>
      <c r="J130" s="1003"/>
      <c r="K130" s="1003"/>
      <c r="L130" s="1003"/>
      <c r="M130" s="1003"/>
      <c r="N130" s="1003"/>
      <c r="O130" s="1003"/>
      <c r="P130" s="1003"/>
      <c r="Q130" s="1003"/>
      <c r="R130" s="1003"/>
      <c r="S130" s="1003"/>
      <c r="T130" s="1003"/>
      <c r="U130" s="1003"/>
      <c r="V130" s="1003"/>
      <c r="W130" s="1003"/>
      <c r="X130" s="1003"/>
      <c r="Y130" s="1003"/>
      <c r="Z130" s="1003"/>
      <c r="AA130" s="1003"/>
      <c r="AB130" s="1003"/>
      <c r="AC130" s="1003"/>
      <c r="AD130" s="1003"/>
      <c r="AE130" s="1003"/>
      <c r="AF130" s="1003"/>
      <c r="AG130" s="1003"/>
      <c r="AH130" s="1003"/>
      <c r="AI130" s="1003"/>
      <c r="AJ130" s="1003"/>
      <c r="AK130" s="958"/>
    </row>
    <row r="131">
      <c r="A131" s="101"/>
      <c r="B131" s="102"/>
      <c r="C131" s="109" t="s">
        <v>577</v>
      </c>
      <c r="F131" s="132"/>
      <c r="G131" s="132"/>
      <c r="H131" s="105"/>
      <c r="I131" s="1003"/>
      <c r="J131" s="1003"/>
      <c r="K131" s="1003"/>
      <c r="L131" s="1003"/>
      <c r="M131" s="1003"/>
      <c r="N131" s="1003"/>
      <c r="O131" s="1003"/>
      <c r="P131" s="1003"/>
      <c r="Q131" s="1003"/>
      <c r="R131" s="1003"/>
      <c r="S131" s="1003"/>
      <c r="T131" s="1003"/>
      <c r="U131" s="1003"/>
      <c r="V131" s="1003"/>
      <c r="W131" s="1003"/>
      <c r="X131" s="1003"/>
      <c r="Y131" s="1003"/>
      <c r="Z131" s="1003"/>
      <c r="AA131" s="1003"/>
      <c r="AB131" s="1003"/>
      <c r="AC131" s="1003"/>
      <c r="AD131" s="1003"/>
      <c r="AE131" s="1003"/>
      <c r="AF131" s="1003"/>
      <c r="AG131" s="1003"/>
      <c r="AH131" s="1003"/>
      <c r="AI131" s="1003"/>
      <c r="AJ131" s="1003"/>
      <c r="AK131" s="958"/>
    </row>
    <row r="132">
      <c r="A132" s="101"/>
      <c r="B132" s="102"/>
      <c r="C132" s="109"/>
      <c r="D132" s="102"/>
      <c r="E132" s="403" t="s">
        <v>578</v>
      </c>
      <c r="F132" s="121" t="s">
        <v>112</v>
      </c>
      <c r="G132" s="121" t="s">
        <v>213</v>
      </c>
      <c r="H132" s="249" t="s">
        <v>165</v>
      </c>
      <c r="I132" s="1004">
        <v>28.83327696641318</v>
      </c>
      <c r="J132" s="1004">
        <v>20.291769949676937</v>
      </c>
      <c r="K132" s="1004">
        <v>10.892344064340547</v>
      </c>
      <c r="L132" s="1004">
        <v>21.575739804679614</v>
      </c>
      <c r="M132" s="1004">
        <v>13.944840131202003</v>
      </c>
      <c r="N132" s="1004">
        <v>6.119502301149927</v>
      </c>
      <c r="O132" s="1004">
        <v>20.298095902540325</v>
      </c>
      <c r="P132" s="1004">
        <v>41.87810254306513</v>
      </c>
      <c r="Q132" s="1004">
        <v>75.69682664264168</v>
      </c>
      <c r="R132" s="1004">
        <v>27.3980131490316</v>
      </c>
      <c r="S132" s="1004">
        <v>5.630103679032549</v>
      </c>
      <c r="T132" s="1004">
        <v>2.9418094635602863</v>
      </c>
      <c r="U132" s="1004">
        <v>12.15457726660622</v>
      </c>
      <c r="V132" s="1004">
        <v>6.630504324187232</v>
      </c>
      <c r="W132" s="1004">
        <v>17.244934456273207</v>
      </c>
      <c r="X132" s="1004">
        <v>4.8632758642260185</v>
      </c>
      <c r="Y132" s="1004">
        <v>7.519573140947775</v>
      </c>
      <c r="Z132" s="1004">
        <v>4.025678353375461</v>
      </c>
      <c r="AA132" s="1004">
        <v>5.342298009950781</v>
      </c>
      <c r="AB132" s="1004">
        <v>15.276734850308962</v>
      </c>
      <c r="AC132" s="1004">
        <v>6.158852653450265</v>
      </c>
      <c r="AD132" s="1004">
        <v>2.970234984510495</v>
      </c>
      <c r="AE132" s="1004">
        <v>9.804445068537728</v>
      </c>
      <c r="AF132" s="1004">
        <v>36.94234015276365</v>
      </c>
      <c r="AG132" s="1004">
        <v>7.1784257235179965</v>
      </c>
      <c r="AH132" s="1004">
        <v>27.174865563501655</v>
      </c>
      <c r="AI132" s="1004">
        <v>18.99882525218175</v>
      </c>
      <c r="AJ132" s="1004">
        <v>8.049636676664878</v>
      </c>
      <c r="AK132" s="1005"/>
    </row>
    <row r="133">
      <c r="A133" s="101"/>
      <c r="B133" s="102"/>
      <c r="C133" s="109"/>
      <c r="D133" s="102"/>
      <c r="E133" s="956"/>
      <c r="F133" s="132"/>
      <c r="G133" s="132"/>
      <c r="H133" s="105"/>
      <c r="I133" s="1003"/>
      <c r="J133" s="1003"/>
      <c r="K133" s="1003"/>
      <c r="L133" s="1003"/>
      <c r="M133" s="1003"/>
      <c r="N133" s="1003"/>
      <c r="O133" s="1003"/>
      <c r="P133" s="1003"/>
      <c r="Q133" s="1003"/>
      <c r="R133" s="1003"/>
      <c r="S133" s="1003"/>
      <c r="T133" s="1003"/>
      <c r="U133" s="1003"/>
      <c r="V133" s="1003"/>
      <c r="W133" s="1003"/>
      <c r="X133" s="1003"/>
      <c r="Y133" s="1003"/>
      <c r="Z133" s="1003"/>
      <c r="AA133" s="1003"/>
      <c r="AB133" s="1003"/>
      <c r="AC133" s="1003"/>
      <c r="AD133" s="1003"/>
      <c r="AE133" s="1003"/>
      <c r="AF133" s="1003"/>
      <c r="AG133" s="1003"/>
      <c r="AH133" s="1003"/>
      <c r="AI133" s="1003"/>
      <c r="AJ133" s="1003"/>
      <c r="AK133" s="958"/>
    </row>
    <row r="134">
      <c r="A134" s="101"/>
      <c r="B134" s="102"/>
      <c r="C134" s="801" t="s">
        <v>579</v>
      </c>
      <c r="F134" s="61"/>
      <c r="G134" s="61"/>
      <c r="H134" s="105"/>
      <c r="I134" s="1003"/>
      <c r="J134" s="1003"/>
      <c r="K134" s="1003"/>
      <c r="L134" s="1003"/>
      <c r="M134" s="1003"/>
      <c r="N134" s="1003"/>
      <c r="O134" s="1003"/>
      <c r="P134" s="1003"/>
      <c r="Q134" s="1003"/>
      <c r="R134" s="1003"/>
      <c r="S134" s="1003"/>
      <c r="T134" s="1003"/>
      <c r="U134" s="1003"/>
      <c r="V134" s="1003"/>
      <c r="W134" s="1003"/>
      <c r="X134" s="1003"/>
      <c r="Y134" s="1003"/>
      <c r="Z134" s="1003"/>
      <c r="AA134" s="1003"/>
      <c r="AB134" s="1003"/>
      <c r="AC134" s="1003"/>
      <c r="AD134" s="1003"/>
      <c r="AE134" s="1003"/>
      <c r="AF134" s="1003"/>
      <c r="AG134" s="1003"/>
      <c r="AH134" s="1003"/>
      <c r="AI134" s="1003"/>
      <c r="AJ134" s="1003"/>
      <c r="AK134" s="958"/>
    </row>
    <row r="135">
      <c r="A135" s="101"/>
      <c r="B135" s="102"/>
      <c r="C135" s="801"/>
      <c r="D135" s="198"/>
      <c r="E135" s="892" t="s">
        <v>580</v>
      </c>
      <c r="F135" s="585" t="s">
        <v>112</v>
      </c>
      <c r="G135" s="925" t="s">
        <v>213</v>
      </c>
      <c r="H135" s="256" t="s">
        <v>165</v>
      </c>
      <c r="I135" s="997">
        <v>24.79752561676881</v>
      </c>
      <c r="J135" s="997">
        <v>17.641251646500603</v>
      </c>
      <c r="K135" s="997">
        <v>9.41867042545785</v>
      </c>
      <c r="L135" s="997">
        <v>18.6566620743276</v>
      </c>
      <c r="M135" s="997">
        <v>11.993001377472085</v>
      </c>
      <c r="N135" s="997">
        <v>5.262964568731026</v>
      </c>
      <c r="O135" s="997">
        <v>17.551876294126078</v>
      </c>
      <c r="P135" s="997">
        <v>36.01648615254547</v>
      </c>
      <c r="Q135" s="997">
        <v>65.45546653581806</v>
      </c>
      <c r="R135" s="997">
        <v>23.691214181151786</v>
      </c>
      <c r="S135" s="997">
        <v>4.868381929613219</v>
      </c>
      <c r="T135" s="997">
        <v>2.543798986526488</v>
      </c>
      <c r="U135" s="997">
        <v>10.453318971713044</v>
      </c>
      <c r="V135" s="997">
        <v>5.733433925259833</v>
      </c>
      <c r="W135" s="997">
        <v>14.831186355857726</v>
      </c>
      <c r="X135" s="997">
        <v>4.182570297681995</v>
      </c>
      <c r="Y135" s="997">
        <v>6.467069553246671</v>
      </c>
      <c r="Z135" s="997">
        <v>3.4622100779243477</v>
      </c>
      <c r="AA135" s="997">
        <v>4.594544418537083</v>
      </c>
      <c r="AB135" s="997">
        <v>13.852520184796742</v>
      </c>
      <c r="AC135" s="997">
        <v>5.555890066596206</v>
      </c>
      <c r="AD135" s="997">
        <v>2.679443716948417</v>
      </c>
      <c r="AE135" s="997">
        <v>8.844572525088873</v>
      </c>
      <c r="AF135" s="997">
        <v>33.32561959841263</v>
      </c>
      <c r="AG135" s="997">
        <v>6.475645126653524</v>
      </c>
      <c r="AH135" s="997">
        <v>24.64141568379262</v>
      </c>
      <c r="AI135" s="997">
        <v>17.227608705138394</v>
      </c>
      <c r="AJ135" s="997">
        <v>6.922940875842819</v>
      </c>
      <c r="AK135" s="998"/>
    </row>
    <row r="136">
      <c r="A136" s="101"/>
      <c r="B136" s="102"/>
      <c r="C136" s="109"/>
      <c r="D136" s="102"/>
      <c r="E136" s="598" t="s">
        <v>582</v>
      </c>
      <c r="F136" s="595" t="s">
        <v>112</v>
      </c>
      <c r="G136" s="1006" t="s">
        <v>213</v>
      </c>
      <c r="H136" s="223" t="s">
        <v>165</v>
      </c>
      <c r="I136" s="999">
        <v>25.891229192257573</v>
      </c>
      <c r="J136" s="999">
        <v>18.221267984754032</v>
      </c>
      <c r="K136" s="999">
        <v>9.780926980283153</v>
      </c>
      <c r="L136" s="999">
        <v>19.374226000263278</v>
      </c>
      <c r="M136" s="999">
        <v>12.521956914814607</v>
      </c>
      <c r="N136" s="999">
        <v>5.49508946923317</v>
      </c>
      <c r="O136" s="999">
        <v>18.226948459284774</v>
      </c>
      <c r="P136" s="999">
        <v>37.60500592223342</v>
      </c>
      <c r="Q136" s="999">
        <v>67.97298447950337</v>
      </c>
      <c r="R136" s="999">
        <v>24.602414726580697</v>
      </c>
      <c r="S136" s="999">
        <v>5.055627388444496</v>
      </c>
      <c r="T136" s="999">
        <v>2.641637409085199</v>
      </c>
      <c r="U136" s="999">
        <v>10.914366275858415</v>
      </c>
      <c r="V136" s="999">
        <v>5.953950614692905</v>
      </c>
      <c r="W136" s="999">
        <v>15.485321038358975</v>
      </c>
      <c r="X136" s="999">
        <v>4.367044029456848</v>
      </c>
      <c r="Y136" s="999">
        <v>6.752301926937107</v>
      </c>
      <c r="Z136" s="999">
        <v>3.6149120692374828</v>
      </c>
      <c r="AA136" s="999">
        <v>4.797188413585438</v>
      </c>
      <c r="AB136" s="999">
        <v>13.717949707188685</v>
      </c>
      <c r="AC136" s="999">
        <v>5.530424647797537</v>
      </c>
      <c r="AD136" s="999">
        <v>2.667162488273683</v>
      </c>
      <c r="AE136" s="999">
        <v>8.804033432207836</v>
      </c>
      <c r="AF136" s="999">
        <v>33.172871640906955</v>
      </c>
      <c r="AG136" s="999">
        <v>6.542088035813691</v>
      </c>
      <c r="AH136" s="999">
        <v>24.76592636396371</v>
      </c>
      <c r="AI136" s="999">
        <v>17.314658138706818</v>
      </c>
      <c r="AJ136" s="999">
        <v>7.336069748904236</v>
      </c>
      <c r="AK136" s="1000"/>
    </row>
    <row r="137">
      <c r="A137" s="101"/>
      <c r="B137" s="102"/>
      <c r="C137" s="109"/>
      <c r="D137" s="102"/>
      <c r="E137" s="610" t="s">
        <v>589</v>
      </c>
      <c r="F137" s="176" t="s">
        <v>112</v>
      </c>
      <c r="G137" s="176" t="s">
        <v>213</v>
      </c>
      <c r="H137" s="235" t="s">
        <v>165</v>
      </c>
      <c r="I137" s="1001">
        <v>29.15591059911753</v>
      </c>
      <c r="J137" s="1001">
        <v>21.782995620617843</v>
      </c>
      <c r="K137" s="1001">
        <v>11.975984769630996</v>
      </c>
      <c r="L137" s="1001">
        <v>19.88493140361669</v>
      </c>
      <c r="M137" s="1001">
        <v>15.696971162478508</v>
      </c>
      <c r="N137" s="1001">
        <v>6.323403065113913</v>
      </c>
      <c r="O137" s="1001">
        <v>19.373562822550763</v>
      </c>
      <c r="P137" s="1001">
        <v>45.079124493407555</v>
      </c>
      <c r="Q137" s="1001">
        <v>78.67967406308625</v>
      </c>
      <c r="R137" s="1001">
        <v>26.678321273667297</v>
      </c>
      <c r="S137" s="1001">
        <v>5.3444584854449175</v>
      </c>
      <c r="T137" s="1001">
        <v>2.707019927589466</v>
      </c>
      <c r="U137" s="1001">
        <v>11.781669835283632</v>
      </c>
      <c r="V137" s="1001">
        <v>6.351379008377577</v>
      </c>
      <c r="W137" s="1001">
        <v>16.852382318484256</v>
      </c>
      <c r="X137" s="1001">
        <v>4.572633049281874</v>
      </c>
      <c r="Y137" s="1001">
        <v>7.24624212370197</v>
      </c>
      <c r="Z137" s="1001">
        <v>3.775011415448723</v>
      </c>
      <c r="AA137" s="1001">
        <v>5.054777110069564</v>
      </c>
      <c r="AB137" s="1001">
        <v>14.891778388439345</v>
      </c>
      <c r="AC137" s="1001">
        <v>5.876653457928639</v>
      </c>
      <c r="AD137" s="1001">
        <v>2.7362206181810915</v>
      </c>
      <c r="AE137" s="1001">
        <v>9.440607267393924</v>
      </c>
      <c r="AF137" s="1001">
        <v>36.08677841961656</v>
      </c>
      <c r="AG137" s="1001">
        <v>6.066419880685112</v>
      </c>
      <c r="AH137" s="1001">
        <v>32.2356182811174</v>
      </c>
      <c r="AI137" s="1001">
        <v>18.638453004510946</v>
      </c>
      <c r="AJ137" s="1001">
        <v>9.307644906251184</v>
      </c>
      <c r="AK137" s="1002"/>
    </row>
    <row r="138">
      <c r="A138" s="845"/>
      <c r="B138" s="846"/>
      <c r="C138" s="952"/>
      <c r="D138" s="846"/>
      <c r="E138" s="953"/>
      <c r="F138" s="121"/>
      <c r="G138" s="121"/>
      <c r="H138" s="288"/>
      <c r="I138" s="954"/>
      <c r="J138" s="954"/>
      <c r="K138" s="954"/>
      <c r="L138" s="954"/>
      <c r="M138" s="954"/>
      <c r="N138" s="954"/>
      <c r="O138" s="954"/>
      <c r="P138" s="954"/>
      <c r="Q138" s="954"/>
      <c r="R138" s="954"/>
      <c r="S138" s="954"/>
      <c r="T138" s="954"/>
      <c r="U138" s="954"/>
      <c r="V138" s="954"/>
      <c r="W138" s="954"/>
      <c r="X138" s="954"/>
      <c r="Y138" s="954"/>
      <c r="Z138" s="954"/>
      <c r="AA138" s="954"/>
      <c r="AB138" s="954"/>
      <c r="AC138" s="954"/>
      <c r="AD138" s="954"/>
      <c r="AE138" s="954"/>
      <c r="AF138" s="954"/>
      <c r="AG138" s="954"/>
      <c r="AH138" s="954"/>
      <c r="AI138" s="954"/>
      <c r="AJ138" s="954"/>
      <c r="AK138" s="1009"/>
    </row>
  </sheetData>
  <mergeCells count="37">
    <mergeCell ref="I1:P1"/>
    <mergeCell ref="Q1:X1"/>
    <mergeCell ref="Y1:AF1"/>
    <mergeCell ref="AG1:AJ1"/>
    <mergeCell ref="A3:E3"/>
    <mergeCell ref="A4:G4"/>
    <mergeCell ref="C6:E6"/>
    <mergeCell ref="C9:E9"/>
    <mergeCell ref="C18:E18"/>
    <mergeCell ref="C23:E23"/>
    <mergeCell ref="C26:E26"/>
    <mergeCell ref="C30:E30"/>
    <mergeCell ref="C36:E36"/>
    <mergeCell ref="A40:G40"/>
    <mergeCell ref="C42:E42"/>
    <mergeCell ref="C48:E48"/>
    <mergeCell ref="C51:E51"/>
    <mergeCell ref="A56:G56"/>
    <mergeCell ref="C58:E58"/>
    <mergeCell ref="C64:E64"/>
    <mergeCell ref="C67:E67"/>
    <mergeCell ref="A72:G72"/>
    <mergeCell ref="C74:E74"/>
    <mergeCell ref="C77:E77"/>
    <mergeCell ref="C86:E86"/>
    <mergeCell ref="C91:E91"/>
    <mergeCell ref="C94:E94"/>
    <mergeCell ref="C98:E98"/>
    <mergeCell ref="C131:E131"/>
    <mergeCell ref="C134:E134"/>
    <mergeCell ref="C104:E104"/>
    <mergeCell ref="A107:G107"/>
    <mergeCell ref="C109:E109"/>
    <mergeCell ref="C115:E115"/>
    <mergeCell ref="C118:E118"/>
    <mergeCell ref="A123:G123"/>
    <mergeCell ref="C125:E1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89" width="7.63"/>
    <col customWidth="1" min="90" max="90" width="3.63"/>
  </cols>
  <sheetData>
    <row r="1">
      <c r="A1" s="868"/>
      <c r="B1" s="869"/>
      <c r="C1" s="869"/>
      <c r="D1" s="869"/>
      <c r="E1" s="869"/>
      <c r="F1" s="870" t="s">
        <v>1</v>
      </c>
      <c r="G1" s="3"/>
      <c r="H1" s="3"/>
      <c r="I1" s="3"/>
      <c r="J1" s="3"/>
      <c r="K1" s="3"/>
      <c r="L1" s="3"/>
      <c r="M1" s="3"/>
      <c r="N1" s="3"/>
      <c r="O1" s="3"/>
      <c r="P1" s="3"/>
      <c r="Q1" s="3"/>
      <c r="R1" s="3"/>
      <c r="S1" s="3"/>
      <c r="T1" s="3"/>
      <c r="U1" s="3"/>
      <c r="V1" s="3"/>
      <c r="W1" s="3"/>
      <c r="X1" s="3"/>
      <c r="Y1" s="3"/>
      <c r="Z1" s="3"/>
      <c r="AA1" s="3"/>
      <c r="AB1" s="3"/>
      <c r="AC1" s="3"/>
      <c r="AD1" s="870" t="s">
        <v>1</v>
      </c>
      <c r="AE1" s="3"/>
      <c r="AF1" s="3"/>
      <c r="AG1" s="3"/>
      <c r="AH1" s="3"/>
      <c r="AI1" s="3"/>
      <c r="AJ1" s="3"/>
      <c r="AK1" s="3"/>
      <c r="AL1" s="3"/>
      <c r="AM1" s="3"/>
      <c r="AN1" s="3"/>
      <c r="AO1" s="3"/>
      <c r="AP1" s="3"/>
      <c r="AQ1" s="3"/>
      <c r="AR1" s="3"/>
      <c r="AS1" s="3"/>
      <c r="AT1" s="3"/>
      <c r="AU1" s="3"/>
      <c r="AV1" s="3"/>
      <c r="AW1" s="3"/>
      <c r="AX1" s="3"/>
      <c r="AY1" s="3"/>
      <c r="AZ1" s="3"/>
      <c r="BA1" s="3"/>
      <c r="BB1" s="870" t="s">
        <v>1</v>
      </c>
      <c r="BC1" s="3"/>
      <c r="BD1" s="3"/>
      <c r="BE1" s="3"/>
      <c r="BF1" s="3"/>
      <c r="BG1" s="3"/>
      <c r="BH1" s="3"/>
      <c r="BI1" s="3"/>
      <c r="BJ1" s="3"/>
      <c r="BK1" s="3"/>
      <c r="BL1" s="3"/>
      <c r="BM1" s="3"/>
      <c r="BN1" s="3"/>
      <c r="BO1" s="3"/>
      <c r="BP1" s="3"/>
      <c r="BQ1" s="3"/>
      <c r="BR1" s="3"/>
      <c r="BS1" s="3"/>
      <c r="BT1" s="3"/>
      <c r="BU1" s="3"/>
      <c r="BV1" s="3"/>
      <c r="BW1" s="3"/>
      <c r="BX1" s="3"/>
      <c r="BY1" s="3"/>
      <c r="BZ1" s="870" t="s">
        <v>3</v>
      </c>
      <c r="CA1" s="3"/>
      <c r="CB1" s="3"/>
      <c r="CC1" s="3"/>
      <c r="CD1" s="3"/>
      <c r="CE1" s="3"/>
      <c r="CF1" s="3"/>
      <c r="CG1" s="3"/>
      <c r="CH1" s="3"/>
      <c r="CI1" s="3"/>
      <c r="CJ1" s="3"/>
      <c r="CK1" s="17"/>
      <c r="CL1" s="871"/>
    </row>
    <row r="2">
      <c r="A2" s="872"/>
      <c r="B2" s="873"/>
      <c r="C2" s="873"/>
      <c r="D2" s="873"/>
      <c r="E2" s="873"/>
      <c r="F2" s="870" t="s">
        <v>5</v>
      </c>
      <c r="G2" s="3"/>
      <c r="H2" s="17"/>
      <c r="I2" s="870" t="s">
        <v>6</v>
      </c>
      <c r="J2" s="3"/>
      <c r="K2" s="17"/>
      <c r="L2" s="870" t="s">
        <v>7</v>
      </c>
      <c r="M2" s="3"/>
      <c r="N2" s="17"/>
      <c r="O2" s="870" t="s">
        <v>8</v>
      </c>
      <c r="P2" s="3"/>
      <c r="Q2" s="17"/>
      <c r="R2" s="870" t="s">
        <v>9</v>
      </c>
      <c r="S2" s="3"/>
      <c r="T2" s="17"/>
      <c r="U2" s="870" t="s">
        <v>10</v>
      </c>
      <c r="V2" s="3"/>
      <c r="W2" s="17"/>
      <c r="X2" s="870" t="s">
        <v>11</v>
      </c>
      <c r="Y2" s="3"/>
      <c r="Z2" s="17"/>
      <c r="AA2" s="870" t="s">
        <v>12</v>
      </c>
      <c r="AB2" s="3"/>
      <c r="AC2" s="17"/>
      <c r="AD2" s="870" t="s">
        <v>13</v>
      </c>
      <c r="AE2" s="3"/>
      <c r="AF2" s="17"/>
      <c r="AG2" s="870" t="s">
        <v>14</v>
      </c>
      <c r="AH2" s="3"/>
      <c r="AI2" s="17"/>
      <c r="AJ2" s="870" t="s">
        <v>14</v>
      </c>
      <c r="AK2" s="3"/>
      <c r="AL2" s="17"/>
      <c r="AM2" s="870" t="s">
        <v>14</v>
      </c>
      <c r="AN2" s="3"/>
      <c r="AO2" s="17"/>
      <c r="AP2" s="870" t="s">
        <v>14</v>
      </c>
      <c r="AQ2" s="3"/>
      <c r="AR2" s="17"/>
      <c r="AS2" s="870" t="s">
        <v>14</v>
      </c>
      <c r="AT2" s="3"/>
      <c r="AU2" s="17"/>
      <c r="AV2" s="870" t="s">
        <v>14</v>
      </c>
      <c r="AW2" s="3"/>
      <c r="AX2" s="17"/>
      <c r="AY2" s="870" t="s">
        <v>14</v>
      </c>
      <c r="AZ2" s="3"/>
      <c r="BA2" s="17"/>
      <c r="BB2" s="870" t="s">
        <v>14</v>
      </c>
      <c r="BC2" s="3"/>
      <c r="BD2" s="17"/>
      <c r="BE2" s="870" t="s">
        <v>14</v>
      </c>
      <c r="BF2" s="3"/>
      <c r="BG2" s="17"/>
      <c r="BH2" s="870" t="s">
        <v>14</v>
      </c>
      <c r="BI2" s="3"/>
      <c r="BJ2" s="17"/>
      <c r="BK2" s="874" t="s">
        <v>14</v>
      </c>
      <c r="BL2" s="3"/>
      <c r="BM2" s="17"/>
      <c r="BN2" s="874" t="s">
        <v>14</v>
      </c>
      <c r="BO2" s="3"/>
      <c r="BP2" s="17"/>
      <c r="BQ2" s="870" t="s">
        <v>14</v>
      </c>
      <c r="BR2" s="3"/>
      <c r="BS2" s="17"/>
      <c r="BT2" s="870" t="s">
        <v>14</v>
      </c>
      <c r="BU2" s="3"/>
      <c r="BV2" s="17"/>
      <c r="BW2" s="870" t="s">
        <v>14</v>
      </c>
      <c r="BX2" s="3"/>
      <c r="BY2" s="17"/>
      <c r="BZ2" s="874" t="s">
        <v>17</v>
      </c>
      <c r="CA2" s="3"/>
      <c r="CB2" s="17"/>
      <c r="CC2" s="870" t="s">
        <v>19</v>
      </c>
      <c r="CD2" s="3"/>
      <c r="CE2" s="17"/>
      <c r="CF2" s="870" t="s">
        <v>20</v>
      </c>
      <c r="CG2" s="3"/>
      <c r="CH2" s="17"/>
      <c r="CI2" s="870" t="s">
        <v>21</v>
      </c>
      <c r="CJ2" s="3"/>
      <c r="CK2" s="17"/>
      <c r="CL2" s="875"/>
    </row>
    <row r="3">
      <c r="A3" s="876" t="s">
        <v>49</v>
      </c>
      <c r="F3" s="872"/>
      <c r="G3" s="877"/>
      <c r="H3" s="878"/>
      <c r="I3" s="872"/>
      <c r="K3" s="879"/>
      <c r="L3" s="872"/>
      <c r="N3" s="879"/>
      <c r="O3" s="872"/>
      <c r="Q3" s="879"/>
      <c r="R3" s="872"/>
      <c r="T3" s="879"/>
      <c r="U3" s="872"/>
      <c r="W3" s="879"/>
      <c r="X3" s="872"/>
      <c r="Z3" s="879"/>
      <c r="AA3" s="872"/>
      <c r="AC3" s="879"/>
      <c r="AD3" s="872"/>
      <c r="AF3" s="879"/>
      <c r="AG3" s="880" t="s">
        <v>27</v>
      </c>
      <c r="AI3" s="879"/>
      <c r="AJ3" s="880" t="s">
        <v>28</v>
      </c>
      <c r="AL3" s="879"/>
      <c r="AM3" s="880" t="s">
        <v>30</v>
      </c>
      <c r="AO3" s="879"/>
      <c r="AP3" s="880" t="s">
        <v>31</v>
      </c>
      <c r="AR3" s="879"/>
      <c r="AS3" s="880" t="s">
        <v>32</v>
      </c>
      <c r="AU3" s="879"/>
      <c r="AV3" s="880" t="s">
        <v>33</v>
      </c>
      <c r="AX3" s="879"/>
      <c r="AY3" s="880" t="s">
        <v>34</v>
      </c>
      <c r="BA3" s="879"/>
      <c r="BB3" s="880" t="s">
        <v>35</v>
      </c>
      <c r="BD3" s="879"/>
      <c r="BE3" s="880" t="s">
        <v>36</v>
      </c>
      <c r="BG3" s="879"/>
      <c r="BH3" s="880" t="s">
        <v>37</v>
      </c>
      <c r="BJ3" s="879"/>
      <c r="BK3" s="880" t="s">
        <v>38</v>
      </c>
      <c r="BM3" s="879"/>
      <c r="BN3" s="880" t="s">
        <v>40</v>
      </c>
      <c r="BP3" s="879"/>
      <c r="BQ3" s="880" t="s">
        <v>41</v>
      </c>
      <c r="BS3" s="879"/>
      <c r="BT3" s="880" t="s">
        <v>42</v>
      </c>
      <c r="BV3" s="879"/>
      <c r="BW3" s="880" t="s">
        <v>43</v>
      </c>
      <c r="BY3" s="879"/>
      <c r="BZ3" s="872"/>
      <c r="CB3" s="879"/>
      <c r="CC3" s="872"/>
      <c r="CE3" s="879"/>
      <c r="CF3" s="872"/>
      <c r="CH3" s="879"/>
      <c r="CI3" s="872"/>
      <c r="CK3" s="879"/>
      <c r="CL3" s="875"/>
    </row>
    <row r="4">
      <c r="A4" s="872"/>
      <c r="B4" s="877"/>
      <c r="C4" s="877"/>
      <c r="D4" s="877"/>
      <c r="E4" s="877"/>
      <c r="F4" s="881" t="s">
        <v>551</v>
      </c>
      <c r="G4" s="882" t="s">
        <v>552</v>
      </c>
      <c r="H4" s="883" t="s">
        <v>553</v>
      </c>
      <c r="I4" s="881" t="s">
        <v>551</v>
      </c>
      <c r="J4" s="882" t="s">
        <v>552</v>
      </c>
      <c r="K4" s="883" t="s">
        <v>553</v>
      </c>
      <c r="L4" s="881" t="s">
        <v>551</v>
      </c>
      <c r="M4" s="882" t="s">
        <v>552</v>
      </c>
      <c r="N4" s="883" t="s">
        <v>553</v>
      </c>
      <c r="O4" s="881" t="s">
        <v>551</v>
      </c>
      <c r="P4" s="882" t="s">
        <v>552</v>
      </c>
      <c r="Q4" s="883" t="s">
        <v>553</v>
      </c>
      <c r="R4" s="881" t="s">
        <v>551</v>
      </c>
      <c r="S4" s="882" t="s">
        <v>552</v>
      </c>
      <c r="T4" s="883" t="s">
        <v>553</v>
      </c>
      <c r="U4" s="881" t="s">
        <v>551</v>
      </c>
      <c r="V4" s="882" t="s">
        <v>552</v>
      </c>
      <c r="W4" s="883" t="s">
        <v>553</v>
      </c>
      <c r="X4" s="881" t="s">
        <v>551</v>
      </c>
      <c r="Y4" s="882" t="s">
        <v>552</v>
      </c>
      <c r="Z4" s="883" t="s">
        <v>553</v>
      </c>
      <c r="AA4" s="881" t="s">
        <v>551</v>
      </c>
      <c r="AB4" s="882" t="s">
        <v>552</v>
      </c>
      <c r="AC4" s="883" t="s">
        <v>553</v>
      </c>
      <c r="AD4" s="881" t="s">
        <v>551</v>
      </c>
      <c r="AE4" s="882" t="s">
        <v>552</v>
      </c>
      <c r="AF4" s="883" t="s">
        <v>553</v>
      </c>
      <c r="AG4" s="881" t="s">
        <v>551</v>
      </c>
      <c r="AH4" s="882" t="s">
        <v>552</v>
      </c>
      <c r="AI4" s="883" t="s">
        <v>553</v>
      </c>
      <c r="AJ4" s="881" t="s">
        <v>551</v>
      </c>
      <c r="AK4" s="882" t="s">
        <v>552</v>
      </c>
      <c r="AL4" s="883" t="s">
        <v>553</v>
      </c>
      <c r="AM4" s="881" t="s">
        <v>551</v>
      </c>
      <c r="AN4" s="882" t="s">
        <v>552</v>
      </c>
      <c r="AO4" s="883" t="s">
        <v>553</v>
      </c>
      <c r="AP4" s="881" t="s">
        <v>551</v>
      </c>
      <c r="AQ4" s="882" t="s">
        <v>552</v>
      </c>
      <c r="AR4" s="883" t="s">
        <v>553</v>
      </c>
      <c r="AS4" s="881" t="s">
        <v>551</v>
      </c>
      <c r="AT4" s="882" t="s">
        <v>552</v>
      </c>
      <c r="AU4" s="883" t="s">
        <v>553</v>
      </c>
      <c r="AV4" s="881" t="s">
        <v>551</v>
      </c>
      <c r="AW4" s="882" t="s">
        <v>552</v>
      </c>
      <c r="AX4" s="883" t="s">
        <v>553</v>
      </c>
      <c r="AY4" s="881" t="s">
        <v>551</v>
      </c>
      <c r="AZ4" s="882" t="s">
        <v>552</v>
      </c>
      <c r="BA4" s="883" t="s">
        <v>553</v>
      </c>
      <c r="BB4" s="881" t="s">
        <v>551</v>
      </c>
      <c r="BC4" s="882" t="s">
        <v>552</v>
      </c>
      <c r="BD4" s="883" t="s">
        <v>553</v>
      </c>
      <c r="BE4" s="881" t="s">
        <v>551</v>
      </c>
      <c r="BF4" s="882" t="s">
        <v>552</v>
      </c>
      <c r="BG4" s="883" t="s">
        <v>553</v>
      </c>
      <c r="BH4" s="881" t="s">
        <v>551</v>
      </c>
      <c r="BI4" s="882" t="s">
        <v>552</v>
      </c>
      <c r="BJ4" s="883" t="s">
        <v>553</v>
      </c>
      <c r="BK4" s="881" t="s">
        <v>551</v>
      </c>
      <c r="BL4" s="882" t="s">
        <v>552</v>
      </c>
      <c r="BM4" s="883" t="s">
        <v>553</v>
      </c>
      <c r="BN4" s="881" t="s">
        <v>551</v>
      </c>
      <c r="BO4" s="882" t="s">
        <v>552</v>
      </c>
      <c r="BP4" s="883" t="s">
        <v>553</v>
      </c>
      <c r="BQ4" s="881" t="s">
        <v>551</v>
      </c>
      <c r="BR4" s="882" t="s">
        <v>552</v>
      </c>
      <c r="BS4" s="883" t="s">
        <v>553</v>
      </c>
      <c r="BT4" s="881" t="s">
        <v>551</v>
      </c>
      <c r="BU4" s="882" t="s">
        <v>552</v>
      </c>
      <c r="BV4" s="883" t="s">
        <v>553</v>
      </c>
      <c r="BW4" s="881" t="s">
        <v>551</v>
      </c>
      <c r="BX4" s="882" t="s">
        <v>552</v>
      </c>
      <c r="BY4" s="883" t="s">
        <v>553</v>
      </c>
      <c r="BZ4" s="881" t="s">
        <v>551</v>
      </c>
      <c r="CA4" s="882" t="s">
        <v>552</v>
      </c>
      <c r="CB4" s="883" t="s">
        <v>553</v>
      </c>
      <c r="CC4" s="881" t="s">
        <v>551</v>
      </c>
      <c r="CD4" s="882" t="s">
        <v>552</v>
      </c>
      <c r="CE4" s="883" t="s">
        <v>553</v>
      </c>
      <c r="CF4" s="881" t="s">
        <v>551</v>
      </c>
      <c r="CG4" s="882" t="s">
        <v>552</v>
      </c>
      <c r="CH4" s="883" t="s">
        <v>553</v>
      </c>
      <c r="CI4" s="881" t="s">
        <v>551</v>
      </c>
      <c r="CJ4" s="882" t="s">
        <v>552</v>
      </c>
      <c r="CK4" s="883" t="s">
        <v>553</v>
      </c>
      <c r="CL4" s="884"/>
    </row>
    <row r="5">
      <c r="A5" s="885" t="s">
        <v>555</v>
      </c>
      <c r="B5" s="12"/>
      <c r="C5" s="12"/>
      <c r="D5" s="12"/>
      <c r="E5" s="12"/>
      <c r="F5" s="886"/>
      <c r="G5" s="887"/>
      <c r="H5" s="888"/>
      <c r="I5" s="886"/>
      <c r="J5" s="887"/>
      <c r="K5" s="888"/>
      <c r="L5" s="886"/>
      <c r="M5" s="887"/>
      <c r="N5" s="888"/>
      <c r="O5" s="886"/>
      <c r="P5" s="887"/>
      <c r="Q5" s="888"/>
      <c r="R5" s="886"/>
      <c r="S5" s="887"/>
      <c r="T5" s="888"/>
      <c r="U5" s="886"/>
      <c r="V5" s="887"/>
      <c r="W5" s="888"/>
      <c r="X5" s="886"/>
      <c r="Y5" s="887"/>
      <c r="Z5" s="888"/>
      <c r="AA5" s="886"/>
      <c r="AB5" s="887"/>
      <c r="AC5" s="888"/>
      <c r="AD5" s="886"/>
      <c r="AE5" s="887"/>
      <c r="AF5" s="888"/>
      <c r="AG5" s="886"/>
      <c r="AH5" s="887"/>
      <c r="AI5" s="888"/>
      <c r="AJ5" s="886"/>
      <c r="AK5" s="887"/>
      <c r="AL5" s="888"/>
      <c r="AM5" s="886"/>
      <c r="AN5" s="887"/>
      <c r="AO5" s="888"/>
      <c r="AP5" s="886"/>
      <c r="AQ5" s="887"/>
      <c r="AR5" s="888"/>
      <c r="AS5" s="886"/>
      <c r="AT5" s="887"/>
      <c r="AU5" s="888"/>
      <c r="AV5" s="886"/>
      <c r="AW5" s="887"/>
      <c r="AX5" s="888"/>
      <c r="AY5" s="886"/>
      <c r="AZ5" s="887"/>
      <c r="BA5" s="888"/>
      <c r="BB5" s="886"/>
      <c r="BC5" s="887"/>
      <c r="BD5" s="888"/>
      <c r="BE5" s="886"/>
      <c r="BF5" s="887"/>
      <c r="BG5" s="888"/>
      <c r="BH5" s="886"/>
      <c r="BI5" s="887"/>
      <c r="BJ5" s="888"/>
      <c r="BK5" s="886"/>
      <c r="BL5" s="887"/>
      <c r="BM5" s="888"/>
      <c r="BN5" s="886"/>
      <c r="BO5" s="887"/>
      <c r="BP5" s="888"/>
      <c r="BQ5" s="886"/>
      <c r="BR5" s="887"/>
      <c r="BS5" s="888"/>
      <c r="BT5" s="886"/>
      <c r="BU5" s="887"/>
      <c r="BV5" s="888"/>
      <c r="BW5" s="886"/>
      <c r="BX5" s="887"/>
      <c r="BY5" s="888"/>
      <c r="BZ5" s="886"/>
      <c r="CA5" s="887"/>
      <c r="CB5" s="888"/>
      <c r="CC5" s="886"/>
      <c r="CD5" s="887"/>
      <c r="CE5" s="888"/>
      <c r="CF5" s="886"/>
      <c r="CG5" s="887"/>
      <c r="CH5" s="888"/>
      <c r="CI5" s="886"/>
      <c r="CJ5" s="887"/>
      <c r="CK5" s="888"/>
      <c r="CL5" s="888"/>
    </row>
    <row r="6">
      <c r="A6" s="197"/>
      <c r="B6" s="198"/>
      <c r="C6" s="198"/>
      <c r="D6" s="198"/>
      <c r="E6" s="198"/>
      <c r="F6" s="197"/>
      <c r="G6" s="198"/>
      <c r="H6" s="202"/>
      <c r="I6" s="197"/>
      <c r="J6" s="198"/>
      <c r="K6" s="202"/>
      <c r="L6" s="197"/>
      <c r="M6" s="198"/>
      <c r="N6" s="202"/>
      <c r="O6" s="197"/>
      <c r="P6" s="198"/>
      <c r="Q6" s="202"/>
      <c r="R6" s="197"/>
      <c r="S6" s="198"/>
      <c r="T6" s="202"/>
      <c r="U6" s="197"/>
      <c r="V6" s="198"/>
      <c r="W6" s="202"/>
      <c r="X6" s="197"/>
      <c r="Y6" s="198"/>
      <c r="Z6" s="202"/>
      <c r="AA6" s="197"/>
      <c r="AB6" s="198"/>
      <c r="AC6" s="202"/>
      <c r="AD6" s="197"/>
      <c r="AE6" s="198"/>
      <c r="AF6" s="202"/>
      <c r="AG6" s="197"/>
      <c r="AH6" s="198"/>
      <c r="AI6" s="202"/>
      <c r="AJ6" s="197"/>
      <c r="AK6" s="198"/>
      <c r="AL6" s="202"/>
      <c r="AM6" s="197"/>
      <c r="AN6" s="198"/>
      <c r="AO6" s="202"/>
      <c r="AP6" s="197"/>
      <c r="AQ6" s="198"/>
      <c r="AR6" s="202"/>
      <c r="AS6" s="197"/>
      <c r="AT6" s="198"/>
      <c r="AU6" s="202"/>
      <c r="AV6" s="197"/>
      <c r="AW6" s="198"/>
      <c r="AX6" s="202"/>
      <c r="AY6" s="197"/>
      <c r="AZ6" s="198"/>
      <c r="BA6" s="202"/>
      <c r="BB6" s="197"/>
      <c r="BC6" s="198"/>
      <c r="BD6" s="202"/>
      <c r="BE6" s="197"/>
      <c r="BF6" s="198"/>
      <c r="BG6" s="202"/>
      <c r="BH6" s="197"/>
      <c r="BI6" s="198"/>
      <c r="BJ6" s="202"/>
      <c r="BK6" s="197"/>
      <c r="BL6" s="198"/>
      <c r="BM6" s="202"/>
      <c r="BN6" s="197"/>
      <c r="BO6" s="198"/>
      <c r="BP6" s="202"/>
      <c r="BQ6" s="197"/>
      <c r="BR6" s="198"/>
      <c r="BS6" s="202"/>
      <c r="BT6" s="197"/>
      <c r="BU6" s="198"/>
      <c r="BV6" s="202"/>
      <c r="BW6" s="197"/>
      <c r="BX6" s="198"/>
      <c r="BY6" s="202"/>
      <c r="BZ6" s="197"/>
      <c r="CA6" s="198"/>
      <c r="CB6" s="202"/>
      <c r="CC6" s="197"/>
      <c r="CD6" s="198"/>
      <c r="CE6" s="202"/>
      <c r="CF6" s="197"/>
      <c r="CG6" s="198"/>
      <c r="CH6" s="202"/>
      <c r="CI6" s="197"/>
      <c r="CJ6" s="198"/>
      <c r="CK6" s="202"/>
      <c r="CL6" s="202"/>
    </row>
    <row r="7">
      <c r="A7" s="197"/>
      <c r="B7" s="198"/>
      <c r="C7" s="801" t="s">
        <v>544</v>
      </c>
      <c r="F7" s="889"/>
      <c r="G7" s="890"/>
      <c r="H7" s="891"/>
      <c r="I7" s="889"/>
      <c r="J7" s="890"/>
      <c r="K7" s="891"/>
      <c r="L7" s="889"/>
      <c r="M7" s="890"/>
      <c r="N7" s="891"/>
      <c r="O7" s="889"/>
      <c r="P7" s="890"/>
      <c r="Q7" s="891"/>
      <c r="R7" s="889"/>
      <c r="S7" s="890"/>
      <c r="T7" s="891"/>
      <c r="U7" s="889"/>
      <c r="V7" s="890"/>
      <c r="W7" s="891"/>
      <c r="X7" s="889"/>
      <c r="Y7" s="890"/>
      <c r="Z7" s="891"/>
      <c r="AA7" s="889"/>
      <c r="AB7" s="890"/>
      <c r="AC7" s="891"/>
      <c r="AD7" s="889"/>
      <c r="AE7" s="890"/>
      <c r="AF7" s="891"/>
      <c r="AG7" s="889"/>
      <c r="AH7" s="890"/>
      <c r="AI7" s="891"/>
      <c r="AJ7" s="889"/>
      <c r="AK7" s="890"/>
      <c r="AL7" s="891"/>
      <c r="AM7" s="889"/>
      <c r="AN7" s="890"/>
      <c r="AO7" s="891"/>
      <c r="AP7" s="889"/>
      <c r="AQ7" s="890"/>
      <c r="AR7" s="891"/>
      <c r="AS7" s="889"/>
      <c r="AT7" s="890"/>
      <c r="AU7" s="891"/>
      <c r="AV7" s="889"/>
      <c r="AW7" s="890"/>
      <c r="AX7" s="891"/>
      <c r="AY7" s="889"/>
      <c r="AZ7" s="890"/>
      <c r="BA7" s="891"/>
      <c r="BB7" s="889"/>
      <c r="BC7" s="890"/>
      <c r="BD7" s="891"/>
      <c r="BE7" s="889"/>
      <c r="BF7" s="890"/>
      <c r="BG7" s="891"/>
      <c r="BH7" s="889"/>
      <c r="BI7" s="890"/>
      <c r="BJ7" s="891"/>
      <c r="BK7" s="889"/>
      <c r="BL7" s="890"/>
      <c r="BM7" s="891"/>
      <c r="BN7" s="889"/>
      <c r="BO7" s="890"/>
      <c r="BP7" s="891"/>
      <c r="BQ7" s="889"/>
      <c r="BR7" s="890"/>
      <c r="BS7" s="891"/>
      <c r="BT7" s="889"/>
      <c r="BU7" s="890"/>
      <c r="BV7" s="891"/>
      <c r="BW7" s="889"/>
      <c r="BX7" s="890"/>
      <c r="BY7" s="891"/>
      <c r="BZ7" s="889"/>
      <c r="CA7" s="890"/>
      <c r="CB7" s="891"/>
      <c r="CC7" s="889"/>
      <c r="CD7" s="890"/>
      <c r="CE7" s="891"/>
      <c r="CF7" s="889"/>
      <c r="CG7" s="890"/>
      <c r="CH7" s="891"/>
      <c r="CI7" s="889"/>
      <c r="CJ7" s="890"/>
      <c r="CK7" s="891"/>
      <c r="CL7" s="202"/>
    </row>
    <row r="8">
      <c r="A8" s="197"/>
      <c r="B8" s="198"/>
      <c r="C8" s="61"/>
      <c r="D8" s="198"/>
      <c r="E8" s="892" t="s">
        <v>545</v>
      </c>
      <c r="F8" s="893">
        <v>0.77</v>
      </c>
      <c r="G8" s="894">
        <f>'Simple CEA'!$I10</f>
        <v>1.342811377</v>
      </c>
      <c r="H8" s="895">
        <v>2.68</v>
      </c>
      <c r="I8" s="893">
        <v>0.85</v>
      </c>
      <c r="J8" s="894">
        <f>'Simple CEA'!$J10</f>
        <v>1.455595956</v>
      </c>
      <c r="K8" s="895">
        <v>2.89</v>
      </c>
      <c r="L8" s="893">
        <v>0.73</v>
      </c>
      <c r="M8" s="894">
        <f>'Simple CEA'!$K10</f>
        <v>1.282417722</v>
      </c>
      <c r="N8" s="895">
        <v>2.57</v>
      </c>
      <c r="O8" s="893">
        <v>0.73</v>
      </c>
      <c r="P8" s="894">
        <f>'Simple CEA'!$L10</f>
        <v>1.282417722</v>
      </c>
      <c r="Q8" s="895">
        <v>2.57</v>
      </c>
      <c r="R8" s="893">
        <v>1.1</v>
      </c>
      <c r="S8" s="894">
        <f>'Simple CEA'!$M10</f>
        <v>1.815199452</v>
      </c>
      <c r="T8" s="895">
        <v>3.5</v>
      </c>
      <c r="U8" s="893">
        <v>0.73</v>
      </c>
      <c r="V8" s="894">
        <f>'Simple CEA'!$N10</f>
        <v>1.282417722</v>
      </c>
      <c r="W8" s="895">
        <v>2.57</v>
      </c>
      <c r="X8" s="893">
        <v>0.73</v>
      </c>
      <c r="Y8" s="894">
        <f>'Simple CEA'!$O10</f>
        <v>1.282417722</v>
      </c>
      <c r="Z8" s="895">
        <v>2.57</v>
      </c>
      <c r="AA8" s="893">
        <v>0.54</v>
      </c>
      <c r="AB8" s="894">
        <f>'Simple CEA'!$P10</f>
        <v>0.9867351615</v>
      </c>
      <c r="AC8" s="895">
        <v>2.04</v>
      </c>
      <c r="AD8" s="893">
        <v>0.59</v>
      </c>
      <c r="AE8" s="894">
        <f>'Simple CEA'!$Q10</f>
        <v>1.06786488</v>
      </c>
      <c r="AF8" s="895">
        <v>2.19</v>
      </c>
      <c r="AG8" s="893">
        <v>0.73</v>
      </c>
      <c r="AH8" s="894">
        <f>'Simple CEA'!$R10</f>
        <v>1.282417722</v>
      </c>
      <c r="AI8" s="895">
        <v>2.57</v>
      </c>
      <c r="AJ8" s="893">
        <v>0.73</v>
      </c>
      <c r="AK8" s="894">
        <f>'Simple CEA'!$S10</f>
        <v>1.282417722</v>
      </c>
      <c r="AL8" s="895">
        <v>2.57</v>
      </c>
      <c r="AM8" s="893">
        <v>0.73</v>
      </c>
      <c r="AN8" s="894">
        <f>'Simple CEA'!$T10</f>
        <v>1.282417722</v>
      </c>
      <c r="AO8" s="895">
        <v>2.57</v>
      </c>
      <c r="AP8" s="893">
        <v>0.73</v>
      </c>
      <c r="AQ8" s="894">
        <f>'Simple CEA'!$U10</f>
        <v>1.282417722</v>
      </c>
      <c r="AR8" s="895">
        <v>2.57</v>
      </c>
      <c r="AS8" s="893">
        <v>0.73</v>
      </c>
      <c r="AT8" s="894">
        <f>'Simple CEA'!$V10</f>
        <v>1.282417722</v>
      </c>
      <c r="AU8" s="895">
        <v>2.57</v>
      </c>
      <c r="AV8" s="893">
        <v>0.73</v>
      </c>
      <c r="AW8" s="894">
        <f>'Simple CEA'!$W10</f>
        <v>1.282417722</v>
      </c>
      <c r="AX8" s="895">
        <v>2.57</v>
      </c>
      <c r="AY8" s="893">
        <v>0.73</v>
      </c>
      <c r="AZ8" s="894">
        <f>'Simple CEA'!$X10</f>
        <v>1.282417722</v>
      </c>
      <c r="BA8" s="895">
        <v>2.57</v>
      </c>
      <c r="BB8" s="893">
        <v>0.73</v>
      </c>
      <c r="BC8" s="894">
        <f>'Simple CEA'!$Y10</f>
        <v>1.282417722</v>
      </c>
      <c r="BD8" s="895">
        <v>2.57</v>
      </c>
      <c r="BE8" s="893">
        <v>0.73</v>
      </c>
      <c r="BF8" s="894">
        <f>'Simple CEA'!$Z10</f>
        <v>1.282417722</v>
      </c>
      <c r="BG8" s="895">
        <v>2.57</v>
      </c>
      <c r="BH8" s="893">
        <v>0.73</v>
      </c>
      <c r="BI8" s="894">
        <f>'Simple CEA'!$AA10</f>
        <v>1.282417722</v>
      </c>
      <c r="BJ8" s="895">
        <v>2.57</v>
      </c>
      <c r="BK8" s="893">
        <v>0.73</v>
      </c>
      <c r="BL8" s="894">
        <f>'Simple CEA'!$AB10</f>
        <v>1.282417722</v>
      </c>
      <c r="BM8" s="895">
        <v>2.57</v>
      </c>
      <c r="BN8" s="893">
        <v>0.73</v>
      </c>
      <c r="BO8" s="894">
        <f>'Simple CEA'!$AC10</f>
        <v>1.282417722</v>
      </c>
      <c r="BP8" s="895">
        <v>2.57</v>
      </c>
      <c r="BQ8" s="893">
        <v>0.73</v>
      </c>
      <c r="BR8" s="894">
        <f>'Simple CEA'!$AD10</f>
        <v>1.282417722</v>
      </c>
      <c r="BS8" s="895">
        <v>2.57</v>
      </c>
      <c r="BT8" s="893">
        <v>0.73</v>
      </c>
      <c r="BU8" s="894">
        <f>'Simple CEA'!$AE10</f>
        <v>1.282417722</v>
      </c>
      <c r="BV8" s="895">
        <v>2.57</v>
      </c>
      <c r="BW8" s="893">
        <v>0.73</v>
      </c>
      <c r="BX8" s="894">
        <f>'Simple CEA'!$AF10</f>
        <v>1.282417722</v>
      </c>
      <c r="BY8" s="895">
        <v>2.57</v>
      </c>
      <c r="BZ8" s="893">
        <v>1.33</v>
      </c>
      <c r="CA8" s="894">
        <f>'Simple CEA'!$AG10</f>
        <v>2.136372</v>
      </c>
      <c r="CB8" s="895">
        <v>4.02</v>
      </c>
      <c r="CC8" s="893">
        <v>1.33</v>
      </c>
      <c r="CD8" s="894">
        <f>'Simple CEA'!$AH10</f>
        <v>2.136372</v>
      </c>
      <c r="CE8" s="895">
        <v>4.02</v>
      </c>
      <c r="CF8" s="893">
        <v>0.9</v>
      </c>
      <c r="CG8" s="894">
        <f>'Simple CEA'!$AI10</f>
        <v>1.5253</v>
      </c>
      <c r="CH8" s="895">
        <v>3.01</v>
      </c>
      <c r="CI8" s="893">
        <v>0.82</v>
      </c>
      <c r="CJ8" s="894">
        <f>'Simple CEA'!$AJ10</f>
        <v>1.424248</v>
      </c>
      <c r="CK8" s="895">
        <v>2.82</v>
      </c>
      <c r="CL8" s="69"/>
    </row>
    <row r="9">
      <c r="A9" s="197"/>
      <c r="B9" s="198"/>
      <c r="C9" s="61"/>
      <c r="D9" s="198"/>
      <c r="E9" s="896" t="s">
        <v>549</v>
      </c>
      <c r="F9" s="897">
        <v>0.15</v>
      </c>
      <c r="G9" s="898">
        <f>'Simple CEA'!$I12</f>
        <v>0.25</v>
      </c>
      <c r="H9" s="899">
        <v>0.45</v>
      </c>
      <c r="I9" s="897">
        <v>0.15</v>
      </c>
      <c r="J9" s="898">
        <f>'Simple CEA'!$J12</f>
        <v>0.25</v>
      </c>
      <c r="K9" s="899">
        <v>0.45</v>
      </c>
      <c r="L9" s="897">
        <v>0.15</v>
      </c>
      <c r="M9" s="898">
        <f>'Simple CEA'!$K12</f>
        <v>0.25</v>
      </c>
      <c r="N9" s="899">
        <v>0.45</v>
      </c>
      <c r="O9" s="897">
        <v>0.15</v>
      </c>
      <c r="P9" s="898">
        <f>'Simple CEA'!$L12</f>
        <v>0.25</v>
      </c>
      <c r="Q9" s="899">
        <v>0.45</v>
      </c>
      <c r="R9" s="897">
        <v>0.15</v>
      </c>
      <c r="S9" s="898">
        <f>'Simple CEA'!$M12</f>
        <v>0.25</v>
      </c>
      <c r="T9" s="899">
        <v>0.45</v>
      </c>
      <c r="U9" s="897">
        <v>0.15</v>
      </c>
      <c r="V9" s="898">
        <f>'Simple CEA'!$N12</f>
        <v>0.25</v>
      </c>
      <c r="W9" s="899">
        <v>0.45</v>
      </c>
      <c r="X9" s="897">
        <v>0.3</v>
      </c>
      <c r="Y9" s="898">
        <f>'Simple CEA'!$O12</f>
        <v>0.44</v>
      </c>
      <c r="Z9" s="899">
        <v>0.55</v>
      </c>
      <c r="AA9" s="897">
        <v>0.15</v>
      </c>
      <c r="AB9" s="898">
        <f>'Simple CEA'!$P12</f>
        <v>0.25</v>
      </c>
      <c r="AC9" s="899">
        <v>0.45</v>
      </c>
      <c r="AD9" s="897">
        <v>0.15</v>
      </c>
      <c r="AE9" s="898">
        <f>'Simple CEA'!$Q12</f>
        <v>0.25</v>
      </c>
      <c r="AF9" s="899">
        <v>0.45</v>
      </c>
      <c r="AG9" s="897">
        <v>0.15</v>
      </c>
      <c r="AH9" s="898">
        <f>'Simple CEA'!$R12</f>
        <v>0.25</v>
      </c>
      <c r="AI9" s="899">
        <v>0.45</v>
      </c>
      <c r="AJ9" s="897">
        <v>0.15</v>
      </c>
      <c r="AK9" s="898">
        <f>'Simple CEA'!$S12</f>
        <v>0.25</v>
      </c>
      <c r="AL9" s="899">
        <v>0.45</v>
      </c>
      <c r="AM9" s="897">
        <v>0.15</v>
      </c>
      <c r="AN9" s="898">
        <f>'Simple CEA'!$T12</f>
        <v>0.25</v>
      </c>
      <c r="AO9" s="899">
        <v>0.45</v>
      </c>
      <c r="AP9" s="897">
        <v>0.15</v>
      </c>
      <c r="AQ9" s="898">
        <f>'Simple CEA'!$U12</f>
        <v>0.25</v>
      </c>
      <c r="AR9" s="899">
        <v>0.45</v>
      </c>
      <c r="AS9" s="897">
        <v>0.15</v>
      </c>
      <c r="AT9" s="898">
        <f>'Simple CEA'!$V12</f>
        <v>0.25</v>
      </c>
      <c r="AU9" s="899">
        <v>0.45</v>
      </c>
      <c r="AV9" s="897">
        <v>0.15</v>
      </c>
      <c r="AW9" s="898">
        <f>'Simple CEA'!$W12</f>
        <v>0.25</v>
      </c>
      <c r="AX9" s="899">
        <v>0.45</v>
      </c>
      <c r="AY9" s="897">
        <v>0.15</v>
      </c>
      <c r="AZ9" s="898">
        <f>'Simple CEA'!$X12</f>
        <v>0.25</v>
      </c>
      <c r="BA9" s="899">
        <v>0.45</v>
      </c>
      <c r="BB9" s="897">
        <v>0.15</v>
      </c>
      <c r="BC9" s="898">
        <f>'Simple CEA'!$Y12</f>
        <v>0.25</v>
      </c>
      <c r="BD9" s="899">
        <v>0.45</v>
      </c>
      <c r="BE9" s="897">
        <v>0.15</v>
      </c>
      <c r="BF9" s="898">
        <f>'Simple CEA'!$Z12</f>
        <v>0.25</v>
      </c>
      <c r="BG9" s="899">
        <v>0.45</v>
      </c>
      <c r="BH9" s="897">
        <v>0.15</v>
      </c>
      <c r="BI9" s="898">
        <f>'Simple CEA'!$AA12</f>
        <v>0.25</v>
      </c>
      <c r="BJ9" s="899">
        <v>0.45</v>
      </c>
      <c r="BK9" s="897">
        <v>0.15</v>
      </c>
      <c r="BL9" s="898">
        <f>'Simple CEA'!$AB12</f>
        <v>0.25</v>
      </c>
      <c r="BM9" s="899">
        <v>0.45</v>
      </c>
      <c r="BN9" s="897">
        <v>0.15</v>
      </c>
      <c r="BO9" s="898">
        <f>'Simple CEA'!$AC12</f>
        <v>0.25</v>
      </c>
      <c r="BP9" s="899">
        <v>0.45</v>
      </c>
      <c r="BQ9" s="897">
        <v>0.15</v>
      </c>
      <c r="BR9" s="898">
        <f>'Simple CEA'!$AD12</f>
        <v>0.25</v>
      </c>
      <c r="BS9" s="899">
        <v>0.45</v>
      </c>
      <c r="BT9" s="897">
        <v>0.15</v>
      </c>
      <c r="BU9" s="898">
        <f>'Simple CEA'!$AE12</f>
        <v>0.25</v>
      </c>
      <c r="BV9" s="899">
        <v>0.45</v>
      </c>
      <c r="BW9" s="897">
        <v>0.15</v>
      </c>
      <c r="BX9" s="898">
        <f>'Simple CEA'!$AF12</f>
        <v>0.25</v>
      </c>
      <c r="BY9" s="899">
        <v>0.45</v>
      </c>
      <c r="BZ9" s="897">
        <v>0.15</v>
      </c>
      <c r="CA9" s="898">
        <f>'Simple CEA'!$AG12</f>
        <v>0.25</v>
      </c>
      <c r="CB9" s="899">
        <v>0.45</v>
      </c>
      <c r="CC9" s="897">
        <v>0.15</v>
      </c>
      <c r="CD9" s="898">
        <f>'Simple CEA'!$AH12</f>
        <v>0.25</v>
      </c>
      <c r="CE9" s="899">
        <v>0.45</v>
      </c>
      <c r="CF9" s="897">
        <v>0.15</v>
      </c>
      <c r="CG9" s="898">
        <f>'Simple CEA'!$AI12</f>
        <v>0.25</v>
      </c>
      <c r="CH9" s="899">
        <v>0.45</v>
      </c>
      <c r="CI9" s="897">
        <v>0.15</v>
      </c>
      <c r="CJ9" s="898">
        <f>'Simple CEA'!$AJ12</f>
        <v>0.25</v>
      </c>
      <c r="CK9" s="899">
        <v>0.45</v>
      </c>
      <c r="CL9" s="900"/>
    </row>
    <row r="10">
      <c r="A10" s="197"/>
      <c r="B10" s="198"/>
      <c r="C10" s="61"/>
      <c r="D10" s="198"/>
      <c r="E10" s="896" t="s">
        <v>558</v>
      </c>
      <c r="F10" s="901">
        <v>0.0122</v>
      </c>
      <c r="G10" s="902">
        <f>'Simple CEA'!$I14</f>
        <v>0.01543581269</v>
      </c>
      <c r="H10" s="903">
        <v>0.019</v>
      </c>
      <c r="I10" s="901">
        <v>0.0057</v>
      </c>
      <c r="J10" s="902">
        <f>'Simple CEA'!$J14</f>
        <v>0.007588106664</v>
      </c>
      <c r="K10" s="903">
        <v>0.0097</v>
      </c>
      <c r="L10" s="901">
        <v>0.0059</v>
      </c>
      <c r="M10" s="902">
        <f>'Simple CEA'!$K14</f>
        <v>0.007795854829</v>
      </c>
      <c r="N10" s="903">
        <v>0.01</v>
      </c>
      <c r="O10" s="901">
        <v>0.0048</v>
      </c>
      <c r="P10" s="902">
        <f>'Simple CEA'!$L14</f>
        <v>0.006520100368</v>
      </c>
      <c r="Q10" s="903">
        <v>0.0084</v>
      </c>
      <c r="R10" s="901">
        <v>0.01</v>
      </c>
      <c r="S10" s="902">
        <f>'Simple CEA'!$M14</f>
        <v>0.01278698548</v>
      </c>
      <c r="T10" s="903">
        <v>0.016</v>
      </c>
      <c r="U10" s="901">
        <v>0.0025</v>
      </c>
      <c r="V10" s="902">
        <f>'Simple CEA'!$N14</f>
        <v>0.003466406111</v>
      </c>
      <c r="W10" s="903">
        <v>0.0046</v>
      </c>
      <c r="X10" s="901">
        <v>0.0052</v>
      </c>
      <c r="Y10" s="902">
        <f>'Simple CEA'!$O14</f>
        <v>0.006879944324</v>
      </c>
      <c r="Z10" s="903">
        <v>0.0089</v>
      </c>
      <c r="AA10" s="901">
        <v>0.0126</v>
      </c>
      <c r="AB10" s="902">
        <f>'Simple CEA'!$P14</f>
        <v>0.01588123004</v>
      </c>
      <c r="AC10" s="903">
        <v>0.0196</v>
      </c>
      <c r="AD10" s="901">
        <v>0.0141</v>
      </c>
      <c r="AE10" s="902">
        <f>'Simple CEA'!$Q14</f>
        <v>0.01761109049</v>
      </c>
      <c r="AF10" s="903">
        <v>0.0216</v>
      </c>
      <c r="AG10" s="901">
        <v>0.0111</v>
      </c>
      <c r="AH10" s="902">
        <f>'Simple CEA'!$R14</f>
        <v>0.01411382925</v>
      </c>
      <c r="AI10" s="903">
        <v>0.0175</v>
      </c>
      <c r="AJ10" s="901">
        <v>0.0041</v>
      </c>
      <c r="AK10" s="902">
        <f>'Simple CEA'!$S14</f>
        <v>0.00559969822</v>
      </c>
      <c r="AL10" s="903">
        <v>0.0073</v>
      </c>
      <c r="AM10" s="901">
        <v>0.0029</v>
      </c>
      <c r="AN10" s="902">
        <f>'Simple CEA'!$T14</f>
        <v>0.003966311828</v>
      </c>
      <c r="AO10" s="903">
        <v>0.0053</v>
      </c>
      <c r="AP10" s="901">
        <v>0.0067</v>
      </c>
      <c r="AQ10" s="902">
        <f>'Simple CEA'!$U14</f>
        <v>0.008786834442</v>
      </c>
      <c r="AR10" s="903">
        <v>0.0112</v>
      </c>
      <c r="AS10" s="901">
        <v>0.0056</v>
      </c>
      <c r="AT10" s="902">
        <f>'Simple CEA'!$V14</f>
        <v>0.007377865941</v>
      </c>
      <c r="AU10" s="903">
        <v>0.0095</v>
      </c>
      <c r="AV10" s="901">
        <v>0.007</v>
      </c>
      <c r="AW10" s="902">
        <f>'Simple CEA'!$W14</f>
        <v>0.009159672463</v>
      </c>
      <c r="AX10" s="903">
        <v>0.0117</v>
      </c>
      <c r="AY10" s="901">
        <v>0.0041</v>
      </c>
      <c r="AZ10" s="902">
        <f>'Simple CEA'!$X14</f>
        <v>0.005616928291</v>
      </c>
      <c r="BA10" s="903">
        <v>0.0073</v>
      </c>
      <c r="BB10" s="901">
        <v>0.0049</v>
      </c>
      <c r="BC10" s="902">
        <f>'Simple CEA'!$Y14</f>
        <v>0.006577533704</v>
      </c>
      <c r="BD10" s="903">
        <v>0.0085</v>
      </c>
      <c r="BE10" s="901">
        <v>0.0028</v>
      </c>
      <c r="BF10" s="902">
        <f>'Simple CEA'!$Z14</f>
        <v>0.003893455107</v>
      </c>
      <c r="BG10" s="903">
        <v>0.0051</v>
      </c>
      <c r="BH10" s="901">
        <v>0.0035</v>
      </c>
      <c r="BI10" s="902">
        <f>'Simple CEA'!$AA14</f>
        <v>0.004793341674</v>
      </c>
      <c r="BJ10" s="903">
        <v>0.0063</v>
      </c>
      <c r="BK10" s="901">
        <v>0.0067</v>
      </c>
      <c r="BL10" s="902">
        <f>'Simple CEA'!$AB14</f>
        <v>0.008795466362</v>
      </c>
      <c r="BM10" s="903">
        <v>0.0112</v>
      </c>
      <c r="BN10" s="901">
        <v>0.0043</v>
      </c>
      <c r="BO10" s="902">
        <f>'Simple CEA'!$AC14</f>
        <v>0.005790887862</v>
      </c>
      <c r="BP10" s="903">
        <v>0.0075</v>
      </c>
      <c r="BQ10" s="901">
        <v>0.0026</v>
      </c>
      <c r="BR10" s="902">
        <f>'Simple CEA'!$AD14</f>
        <v>0.0035747515</v>
      </c>
      <c r="BS10" s="903">
        <v>0.0047</v>
      </c>
      <c r="BT10" s="901">
        <v>0.0058</v>
      </c>
      <c r="BU10" s="902">
        <f>'Simple CEA'!$AE14</f>
        <v>0.007691314662</v>
      </c>
      <c r="BV10" s="903">
        <v>0.0099</v>
      </c>
      <c r="BW10" s="901">
        <v>0.0122</v>
      </c>
      <c r="BX10" s="902">
        <f>'Simple CEA'!$AF14</f>
        <v>0.01541046111</v>
      </c>
      <c r="BY10" s="903">
        <v>0.019</v>
      </c>
      <c r="BZ10" s="901">
        <v>0.0041</v>
      </c>
      <c r="CA10" s="902">
        <f>'Simple CEA'!$AG14</f>
        <v>0.005588155257</v>
      </c>
      <c r="CB10" s="903">
        <v>0.0073</v>
      </c>
      <c r="CC10" s="901">
        <v>0.0126</v>
      </c>
      <c r="CD10" s="902">
        <f>'Simple CEA'!$AH14</f>
        <v>0.01587165981</v>
      </c>
      <c r="CE10" s="903">
        <v>0.0196</v>
      </c>
      <c r="CF10" s="901">
        <v>0.0056</v>
      </c>
      <c r="CG10" s="902">
        <f>'Simple CEA'!$AI14</f>
        <v>0.007467940526</v>
      </c>
      <c r="CH10" s="903">
        <v>0.0096</v>
      </c>
      <c r="CI10" s="901">
        <v>0.0045</v>
      </c>
      <c r="CJ10" s="902">
        <f>'Simple CEA'!$AJ14</f>
        <v>0.005978099296</v>
      </c>
      <c r="CK10" s="903">
        <v>0.0078</v>
      </c>
      <c r="CL10" s="900"/>
    </row>
    <row r="11">
      <c r="A11" s="197"/>
      <c r="B11" s="198"/>
      <c r="C11" s="61"/>
      <c r="D11" s="198"/>
      <c r="E11" s="904" t="s">
        <v>563</v>
      </c>
      <c r="F11" s="905">
        <v>0.012</v>
      </c>
      <c r="G11" s="906">
        <f>'Simple CEA'!$I15</f>
        <v>0.06418487839</v>
      </c>
      <c r="H11" s="907">
        <v>0.097</v>
      </c>
      <c r="I11" s="908">
        <v>0.033</v>
      </c>
      <c r="J11" s="906">
        <f>'Simple CEA'!$J15</f>
        <v>0.1084006136</v>
      </c>
      <c r="K11" s="910">
        <v>0.15</v>
      </c>
      <c r="L11" s="908">
        <v>0.008</v>
      </c>
      <c r="M11" s="906">
        <f>'Simple CEA'!$K15</f>
        <v>0.05252285309</v>
      </c>
      <c r="N11" s="910">
        <v>0.082</v>
      </c>
      <c r="O11" s="908">
        <v>0.027</v>
      </c>
      <c r="P11" s="906">
        <f>'Simple CEA'!$L15</f>
        <v>0.09733968501</v>
      </c>
      <c r="Q11" s="910">
        <v>0.15</v>
      </c>
      <c r="R11" s="908">
        <v>0.01</v>
      </c>
      <c r="S11" s="906">
        <f>'Simple CEA'!$M15</f>
        <v>0.05933184692</v>
      </c>
      <c r="T11" s="910">
        <v>0.09</v>
      </c>
      <c r="U11" s="908">
        <v>0.012</v>
      </c>
      <c r="V11" s="906">
        <f>'Simple CEA'!$N15</f>
        <v>0.06335750418</v>
      </c>
      <c r="W11" s="910">
        <v>0.095</v>
      </c>
      <c r="X11" s="908">
        <v>0.04</v>
      </c>
      <c r="Y11" s="906">
        <f>'Simple CEA'!$O15</f>
        <v>0.1214627135</v>
      </c>
      <c r="Z11" s="910">
        <v>0.15</v>
      </c>
      <c r="AA11" s="908">
        <v>0.016</v>
      </c>
      <c r="AB11" s="906">
        <f>'Simple CEA'!$P15</f>
        <v>0.07269667889</v>
      </c>
      <c r="AC11" s="910">
        <v>0.109</v>
      </c>
      <c r="AD11" s="908">
        <v>0.038</v>
      </c>
      <c r="AE11" s="906">
        <f>'Simple CEA'!$Q15</f>
        <v>0.1192188434</v>
      </c>
      <c r="AF11" s="910">
        <v>0.15</v>
      </c>
      <c r="AG11" s="908">
        <v>0.011</v>
      </c>
      <c r="AH11" s="906">
        <f>'Simple CEA'!$R15</f>
        <v>0.06094937633</v>
      </c>
      <c r="AI11" s="910">
        <v>0.093</v>
      </c>
      <c r="AJ11" s="908">
        <v>0.002</v>
      </c>
      <c r="AK11" s="906">
        <f>'Simple CEA'!$S15</f>
        <v>0.0331203195</v>
      </c>
      <c r="AL11" s="910">
        <v>0.053</v>
      </c>
      <c r="AM11" s="908">
        <v>0.0</v>
      </c>
      <c r="AN11" s="906">
        <f>'Simple CEA'!$T15</f>
        <v>0.02574976582</v>
      </c>
      <c r="AO11" s="910">
        <v>0.042</v>
      </c>
      <c r="AP11" s="908">
        <v>0.005</v>
      </c>
      <c r="AQ11" s="906">
        <f>'Simple CEA'!$U15</f>
        <v>0.04412402664</v>
      </c>
      <c r="AR11" s="910">
        <v>0.069</v>
      </c>
      <c r="AS11" s="908">
        <v>0.001</v>
      </c>
      <c r="AT11" s="906">
        <f>'Simple CEA'!$V15</f>
        <v>0.02934105639</v>
      </c>
      <c r="AU11" s="910">
        <v>0.047</v>
      </c>
      <c r="AV11" s="908">
        <v>0.01</v>
      </c>
      <c r="AW11" s="906">
        <f>'Simple CEA'!$W15</f>
        <v>0.05955477798</v>
      </c>
      <c r="AX11" s="910">
        <v>0.091</v>
      </c>
      <c r="AY11" s="908">
        <v>0.001</v>
      </c>
      <c r="AZ11" s="906">
        <f>'Simple CEA'!$X15</f>
        <v>0.028786826</v>
      </c>
      <c r="BA11" s="910">
        <v>0.047</v>
      </c>
      <c r="BB11" s="908">
        <v>0.003</v>
      </c>
      <c r="BC11" s="906">
        <f>'Simple CEA'!$Y15</f>
        <v>0.0371011226</v>
      </c>
      <c r="BD11" s="910">
        <v>0.059</v>
      </c>
      <c r="BE11" s="908">
        <v>0.002</v>
      </c>
      <c r="BF11" s="906">
        <f>'Simple CEA'!$Z15</f>
        <v>0.03486095153</v>
      </c>
      <c r="BG11" s="910">
        <v>0.056</v>
      </c>
      <c r="BH11" s="908">
        <v>0.003</v>
      </c>
      <c r="BI11" s="906">
        <f>'Simple CEA'!$AA15</f>
        <v>0.03683074522</v>
      </c>
      <c r="BJ11" s="910">
        <v>0.059</v>
      </c>
      <c r="BK11" s="908">
        <v>0.008</v>
      </c>
      <c r="BL11" s="906">
        <f>'Simple CEA'!$AB15</f>
        <v>0.05508425133</v>
      </c>
      <c r="BM11" s="910">
        <v>0.084</v>
      </c>
      <c r="BN11" s="908">
        <v>0.002</v>
      </c>
      <c r="BO11" s="906">
        <f>'Simple CEA'!$AC15</f>
        <v>0.03485718392</v>
      </c>
      <c r="BP11" s="910">
        <v>0.056</v>
      </c>
      <c r="BQ11" s="908">
        <v>0.001</v>
      </c>
      <c r="BR11" s="906">
        <f>'Simple CEA'!$AD15</f>
        <v>0.02881675545</v>
      </c>
      <c r="BS11" s="910">
        <v>0.047</v>
      </c>
      <c r="BT11" s="908">
        <v>0.004</v>
      </c>
      <c r="BU11" s="906">
        <f>'Simple CEA'!$AE15</f>
        <v>0.04093717916</v>
      </c>
      <c r="BV11" s="910">
        <v>0.065</v>
      </c>
      <c r="BW11" s="908">
        <v>0.017</v>
      </c>
      <c r="BX11" s="906">
        <f>'Simple CEA'!$AF15</f>
        <v>0.07501954197</v>
      </c>
      <c r="BY11" s="910">
        <v>0.112</v>
      </c>
      <c r="BZ11" s="908">
        <v>0.016</v>
      </c>
      <c r="CA11" s="906">
        <f>'Simple CEA'!$AG15</f>
        <v>0.07193930445</v>
      </c>
      <c r="CB11" s="910">
        <v>0.108</v>
      </c>
      <c r="CC11" s="908">
        <v>0.043</v>
      </c>
      <c r="CD11" s="906">
        <f>'Simple CEA'!$AH15</f>
        <v>0.1202372686</v>
      </c>
      <c r="CE11" s="910">
        <v>0.15</v>
      </c>
      <c r="CF11" s="908">
        <v>0.035</v>
      </c>
      <c r="CG11" s="906">
        <f>'Simple CEA'!$AI15</f>
        <v>0.1132996133</v>
      </c>
      <c r="CH11" s="910">
        <v>0.15</v>
      </c>
      <c r="CI11" s="908">
        <v>0.009</v>
      </c>
      <c r="CJ11" s="906">
        <f>'Simple CEA'!$AJ15</f>
        <v>0.05693112903</v>
      </c>
      <c r="CK11" s="910">
        <v>0.087</v>
      </c>
      <c r="CL11" s="77"/>
    </row>
    <row r="12">
      <c r="A12" s="197"/>
      <c r="B12" s="198"/>
      <c r="C12" s="61"/>
      <c r="D12" s="198"/>
      <c r="E12" s="61"/>
      <c r="F12" s="197"/>
      <c r="G12" s="198"/>
      <c r="H12" s="202"/>
      <c r="I12" s="197"/>
      <c r="J12" s="198"/>
      <c r="K12" s="202"/>
      <c r="L12" s="197"/>
      <c r="M12" s="198"/>
      <c r="N12" s="202"/>
      <c r="O12" s="197"/>
      <c r="P12" s="198"/>
      <c r="Q12" s="202"/>
      <c r="R12" s="197"/>
      <c r="S12" s="198"/>
      <c r="T12" s="202"/>
      <c r="U12" s="197"/>
      <c r="V12" s="198"/>
      <c r="W12" s="202"/>
      <c r="X12" s="197"/>
      <c r="Y12" s="198"/>
      <c r="Z12" s="202"/>
      <c r="AA12" s="197"/>
      <c r="AB12" s="198"/>
      <c r="AC12" s="202"/>
      <c r="AD12" s="197"/>
      <c r="AE12" s="198"/>
      <c r="AF12" s="202"/>
      <c r="AG12" s="197"/>
      <c r="AH12" s="198"/>
      <c r="AI12" s="202"/>
      <c r="AJ12" s="197"/>
      <c r="AK12" s="198"/>
      <c r="AL12" s="202"/>
      <c r="AM12" s="197"/>
      <c r="AN12" s="198"/>
      <c r="AO12" s="202"/>
      <c r="AP12" s="197"/>
      <c r="AQ12" s="198"/>
      <c r="AR12" s="202"/>
      <c r="AS12" s="197"/>
      <c r="AT12" s="198"/>
      <c r="AU12" s="202"/>
      <c r="AV12" s="197"/>
      <c r="AW12" s="198"/>
      <c r="AX12" s="202"/>
      <c r="AY12" s="197"/>
      <c r="AZ12" s="198"/>
      <c r="BA12" s="202"/>
      <c r="BB12" s="197"/>
      <c r="BC12" s="198"/>
      <c r="BD12" s="202"/>
      <c r="BE12" s="197"/>
      <c r="BF12" s="198"/>
      <c r="BG12" s="202"/>
      <c r="BH12" s="197"/>
      <c r="BI12" s="198"/>
      <c r="BJ12" s="202"/>
      <c r="BK12" s="197"/>
      <c r="BL12" s="198"/>
      <c r="BM12" s="202"/>
      <c r="BN12" s="197"/>
      <c r="BO12" s="198"/>
      <c r="BP12" s="202"/>
      <c r="BQ12" s="197"/>
      <c r="BR12" s="198"/>
      <c r="BS12" s="202"/>
      <c r="BT12" s="197"/>
      <c r="BU12" s="198"/>
      <c r="BV12" s="202"/>
      <c r="BW12" s="197"/>
      <c r="BX12" s="198"/>
      <c r="BY12" s="202"/>
      <c r="BZ12" s="197"/>
      <c r="CA12" s="198"/>
      <c r="CB12" s="202"/>
      <c r="CC12" s="197"/>
      <c r="CD12" s="198"/>
      <c r="CE12" s="202"/>
      <c r="CF12" s="197"/>
      <c r="CG12" s="198"/>
      <c r="CH12" s="202"/>
      <c r="CI12" s="197"/>
      <c r="CJ12" s="198"/>
      <c r="CK12" s="202"/>
      <c r="CL12" s="202"/>
    </row>
    <row r="13">
      <c r="A13" s="197"/>
      <c r="B13" s="198"/>
      <c r="C13" s="801" t="s">
        <v>577</v>
      </c>
      <c r="F13" s="197"/>
      <c r="G13" s="198"/>
      <c r="H13" s="202"/>
      <c r="I13" s="197"/>
      <c r="J13" s="198"/>
      <c r="K13" s="202"/>
      <c r="L13" s="197"/>
      <c r="M13" s="198"/>
      <c r="N13" s="202"/>
      <c r="O13" s="197"/>
      <c r="P13" s="198"/>
      <c r="Q13" s="202"/>
      <c r="R13" s="197"/>
      <c r="S13" s="198"/>
      <c r="T13" s="202"/>
      <c r="U13" s="197"/>
      <c r="V13" s="198"/>
      <c r="W13" s="202"/>
      <c r="X13" s="197"/>
      <c r="Y13" s="198"/>
      <c r="Z13" s="202"/>
      <c r="AA13" s="197"/>
      <c r="AB13" s="198"/>
      <c r="AC13" s="202"/>
      <c r="AD13" s="197"/>
      <c r="AE13" s="198"/>
      <c r="AF13" s="202"/>
      <c r="AG13" s="197"/>
      <c r="AH13" s="198"/>
      <c r="AI13" s="202"/>
      <c r="AJ13" s="197"/>
      <c r="AK13" s="198"/>
      <c r="AL13" s="202"/>
      <c r="AM13" s="197"/>
      <c r="AN13" s="198"/>
      <c r="AO13" s="202"/>
      <c r="AP13" s="197"/>
      <c r="AQ13" s="198"/>
      <c r="AR13" s="202"/>
      <c r="AS13" s="197"/>
      <c r="AT13" s="198"/>
      <c r="AU13" s="202"/>
      <c r="AV13" s="197"/>
      <c r="AW13" s="198"/>
      <c r="AX13" s="202"/>
      <c r="AY13" s="197"/>
      <c r="AZ13" s="198"/>
      <c r="BA13" s="202"/>
      <c r="BB13" s="197"/>
      <c r="BC13" s="198"/>
      <c r="BD13" s="202"/>
      <c r="BE13" s="197"/>
      <c r="BF13" s="198"/>
      <c r="BG13" s="202"/>
      <c r="BH13" s="197"/>
      <c r="BI13" s="198"/>
      <c r="BJ13" s="202"/>
      <c r="BK13" s="197"/>
      <c r="BL13" s="198"/>
      <c r="BM13" s="202"/>
      <c r="BN13" s="197"/>
      <c r="BO13" s="198"/>
      <c r="BP13" s="202"/>
      <c r="BQ13" s="197"/>
      <c r="BR13" s="198"/>
      <c r="BS13" s="202"/>
      <c r="BT13" s="197"/>
      <c r="BU13" s="198"/>
      <c r="BV13" s="202"/>
      <c r="BW13" s="197"/>
      <c r="BX13" s="198"/>
      <c r="BY13" s="202"/>
      <c r="BZ13" s="197"/>
      <c r="CA13" s="198"/>
      <c r="CB13" s="202"/>
      <c r="CC13" s="197"/>
      <c r="CD13" s="198"/>
      <c r="CE13" s="202"/>
      <c r="CF13" s="197"/>
      <c r="CG13" s="198"/>
      <c r="CH13" s="202"/>
      <c r="CI13" s="197"/>
      <c r="CJ13" s="198"/>
      <c r="CK13" s="202"/>
      <c r="CL13" s="202"/>
    </row>
    <row r="14">
      <c r="A14" s="197"/>
      <c r="B14" s="198"/>
      <c r="C14" s="61"/>
      <c r="D14" s="198"/>
      <c r="E14" s="802" t="s">
        <v>578</v>
      </c>
      <c r="F14" s="912">
        <v>0.05</v>
      </c>
      <c r="G14" s="913">
        <f>'Simple CEA'!$I24</f>
        <v>0.245176</v>
      </c>
      <c r="H14" s="914">
        <v>0.6</v>
      </c>
      <c r="I14" s="912">
        <v>0.05</v>
      </c>
      <c r="J14" s="913">
        <f>'Simple CEA'!$J24</f>
        <v>0.245176</v>
      </c>
      <c r="K14" s="914">
        <v>0.6</v>
      </c>
      <c r="L14" s="912">
        <v>0.05</v>
      </c>
      <c r="M14" s="913">
        <f>'Simple CEA'!$K24</f>
        <v>0.245176</v>
      </c>
      <c r="N14" s="914">
        <v>0.6</v>
      </c>
      <c r="O14" s="912">
        <v>0.05</v>
      </c>
      <c r="P14" s="913">
        <f>'Simple CEA'!$L24</f>
        <v>0.245176</v>
      </c>
      <c r="Q14" s="914">
        <v>0.6</v>
      </c>
      <c r="R14" s="912">
        <v>0.05</v>
      </c>
      <c r="S14" s="913">
        <f>'Simple CEA'!$M24</f>
        <v>0.245176</v>
      </c>
      <c r="T14" s="914">
        <v>0.6</v>
      </c>
      <c r="U14" s="912">
        <v>0.05</v>
      </c>
      <c r="V14" s="913">
        <f>'Simple CEA'!$N24</f>
        <v>0.245176</v>
      </c>
      <c r="W14" s="914">
        <v>0.6</v>
      </c>
      <c r="X14" s="912">
        <v>0.05</v>
      </c>
      <c r="Y14" s="913">
        <f>'Simple CEA'!$O24</f>
        <v>0.245176</v>
      </c>
      <c r="Z14" s="914">
        <v>0.6</v>
      </c>
      <c r="AA14" s="912">
        <v>0.05</v>
      </c>
      <c r="AB14" s="913">
        <f>'Simple CEA'!$P24</f>
        <v>0.245176</v>
      </c>
      <c r="AC14" s="914">
        <v>0.6</v>
      </c>
      <c r="AD14" s="912">
        <v>0.05</v>
      </c>
      <c r="AE14" s="913">
        <f>'Simple CEA'!$Q24</f>
        <v>0.245176</v>
      </c>
      <c r="AF14" s="914">
        <v>0.6</v>
      </c>
      <c r="AG14" s="912">
        <v>0.05</v>
      </c>
      <c r="AH14" s="913">
        <f>'Simple CEA'!$R24</f>
        <v>0.245176</v>
      </c>
      <c r="AI14" s="914">
        <v>0.6</v>
      </c>
      <c r="AJ14" s="912">
        <v>0.05</v>
      </c>
      <c r="AK14" s="913">
        <f>'Simple CEA'!$S24</f>
        <v>0.245176</v>
      </c>
      <c r="AL14" s="914">
        <v>0.6</v>
      </c>
      <c r="AM14" s="912">
        <v>0.05</v>
      </c>
      <c r="AN14" s="913">
        <f>'Simple CEA'!$T24</f>
        <v>0.245176</v>
      </c>
      <c r="AO14" s="914">
        <v>0.6</v>
      </c>
      <c r="AP14" s="912">
        <v>0.05</v>
      </c>
      <c r="AQ14" s="913">
        <f>'Simple CEA'!$U24</f>
        <v>0.245176</v>
      </c>
      <c r="AR14" s="914">
        <v>0.6</v>
      </c>
      <c r="AS14" s="912">
        <v>0.05</v>
      </c>
      <c r="AT14" s="913">
        <f>'Simple CEA'!$V24</f>
        <v>0.245176</v>
      </c>
      <c r="AU14" s="914">
        <v>0.6</v>
      </c>
      <c r="AV14" s="912">
        <v>0.05</v>
      </c>
      <c r="AW14" s="913">
        <f>'Simple CEA'!$W24</f>
        <v>0.245176</v>
      </c>
      <c r="AX14" s="914">
        <v>0.6</v>
      </c>
      <c r="AY14" s="912">
        <v>0.05</v>
      </c>
      <c r="AZ14" s="913">
        <f>'Simple CEA'!$X24</f>
        <v>0.245176</v>
      </c>
      <c r="BA14" s="914">
        <v>0.6</v>
      </c>
      <c r="BB14" s="912">
        <v>0.05</v>
      </c>
      <c r="BC14" s="913">
        <f>'Simple CEA'!$Y24</f>
        <v>0.245176</v>
      </c>
      <c r="BD14" s="914">
        <v>0.6</v>
      </c>
      <c r="BE14" s="912">
        <v>0.05</v>
      </c>
      <c r="BF14" s="913">
        <f>'Simple CEA'!$Z24</f>
        <v>0.245176</v>
      </c>
      <c r="BG14" s="914">
        <v>0.6</v>
      </c>
      <c r="BH14" s="912">
        <v>0.05</v>
      </c>
      <c r="BI14" s="913">
        <f>'Simple CEA'!$AA24</f>
        <v>0.245176</v>
      </c>
      <c r="BJ14" s="914">
        <v>0.6</v>
      </c>
      <c r="BK14" s="912">
        <v>0.05</v>
      </c>
      <c r="BL14" s="913">
        <f>'Simple CEA'!$AB24</f>
        <v>0.245176</v>
      </c>
      <c r="BM14" s="914">
        <v>0.6</v>
      </c>
      <c r="BN14" s="912">
        <v>0.05</v>
      </c>
      <c r="BO14" s="913">
        <f>'Simple CEA'!$AC24</f>
        <v>0.245176</v>
      </c>
      <c r="BP14" s="914">
        <v>0.6</v>
      </c>
      <c r="BQ14" s="912">
        <v>0.05</v>
      </c>
      <c r="BR14" s="913">
        <f>'Simple CEA'!$AD24</f>
        <v>0.245176</v>
      </c>
      <c r="BS14" s="914">
        <v>0.6</v>
      </c>
      <c r="BT14" s="912">
        <v>0.05</v>
      </c>
      <c r="BU14" s="913">
        <f>'Simple CEA'!$AE24</f>
        <v>0.245176</v>
      </c>
      <c r="BV14" s="914">
        <v>0.6</v>
      </c>
      <c r="BW14" s="912">
        <v>0.05</v>
      </c>
      <c r="BX14" s="913">
        <f>'Simple CEA'!$AF24</f>
        <v>0.245176</v>
      </c>
      <c r="BY14" s="914">
        <v>0.6</v>
      </c>
      <c r="BZ14" s="912">
        <v>0.05</v>
      </c>
      <c r="CA14" s="913">
        <f>'Simple CEA'!$AG24</f>
        <v>0.245176</v>
      </c>
      <c r="CB14" s="914">
        <v>0.6</v>
      </c>
      <c r="CC14" s="912">
        <v>0.05</v>
      </c>
      <c r="CD14" s="913">
        <f>'Simple CEA'!$AH24</f>
        <v>0.245176</v>
      </c>
      <c r="CE14" s="914">
        <v>0.6</v>
      </c>
      <c r="CF14" s="912">
        <v>0.05</v>
      </c>
      <c r="CG14" s="913">
        <f>'Simple CEA'!$AI24</f>
        <v>0.245176</v>
      </c>
      <c r="CH14" s="914">
        <v>0.6</v>
      </c>
      <c r="CI14" s="912">
        <v>0.05</v>
      </c>
      <c r="CJ14" s="913">
        <f>'Simple CEA'!$AJ24</f>
        <v>0.245176</v>
      </c>
      <c r="CK14" s="914">
        <v>0.6</v>
      </c>
      <c r="CL14" s="915"/>
    </row>
    <row r="15">
      <c r="A15" s="197"/>
      <c r="B15" s="198"/>
      <c r="C15" s="61"/>
      <c r="D15" s="198"/>
      <c r="E15" s="61"/>
      <c r="F15" s="197"/>
      <c r="G15" s="198"/>
      <c r="H15" s="202"/>
      <c r="I15" s="197"/>
      <c r="J15" s="198"/>
      <c r="K15" s="202"/>
      <c r="L15" s="197"/>
      <c r="M15" s="198"/>
      <c r="N15" s="202"/>
      <c r="O15" s="197"/>
      <c r="P15" s="198"/>
      <c r="Q15" s="202"/>
      <c r="R15" s="197"/>
      <c r="S15" s="198"/>
      <c r="T15" s="202"/>
      <c r="U15" s="197"/>
      <c r="V15" s="198"/>
      <c r="W15" s="202"/>
      <c r="X15" s="197"/>
      <c r="Y15" s="198"/>
      <c r="Z15" s="202"/>
      <c r="AA15" s="197"/>
      <c r="AB15" s="198"/>
      <c r="AC15" s="202"/>
      <c r="AD15" s="197"/>
      <c r="AE15" s="198"/>
      <c r="AF15" s="202"/>
      <c r="AG15" s="197"/>
      <c r="AH15" s="198"/>
      <c r="AI15" s="202"/>
      <c r="AJ15" s="197"/>
      <c r="AK15" s="198"/>
      <c r="AL15" s="202"/>
      <c r="AM15" s="197"/>
      <c r="AN15" s="198"/>
      <c r="AO15" s="202"/>
      <c r="AP15" s="197"/>
      <c r="AQ15" s="198"/>
      <c r="AR15" s="202"/>
      <c r="AS15" s="197"/>
      <c r="AT15" s="198"/>
      <c r="AU15" s="202"/>
      <c r="AV15" s="197"/>
      <c r="AW15" s="198"/>
      <c r="AX15" s="202"/>
      <c r="AY15" s="197"/>
      <c r="AZ15" s="198"/>
      <c r="BA15" s="202"/>
      <c r="BB15" s="197"/>
      <c r="BC15" s="198"/>
      <c r="BD15" s="202"/>
      <c r="BE15" s="197"/>
      <c r="BF15" s="198"/>
      <c r="BG15" s="202"/>
      <c r="BH15" s="197"/>
      <c r="BI15" s="198"/>
      <c r="BJ15" s="202"/>
      <c r="BK15" s="197"/>
      <c r="BL15" s="198"/>
      <c r="BM15" s="202"/>
      <c r="BN15" s="197"/>
      <c r="BO15" s="198"/>
      <c r="BP15" s="202"/>
      <c r="BQ15" s="197"/>
      <c r="BR15" s="198"/>
      <c r="BS15" s="202"/>
      <c r="BT15" s="197"/>
      <c r="BU15" s="198"/>
      <c r="BV15" s="202"/>
      <c r="BW15" s="197"/>
      <c r="BX15" s="198"/>
      <c r="BY15" s="202"/>
      <c r="BZ15" s="197"/>
      <c r="CA15" s="198"/>
      <c r="CB15" s="202"/>
      <c r="CC15" s="197"/>
      <c r="CD15" s="198"/>
      <c r="CE15" s="202"/>
      <c r="CF15" s="197"/>
      <c r="CG15" s="198"/>
      <c r="CH15" s="202"/>
      <c r="CI15" s="197"/>
      <c r="CJ15" s="198"/>
      <c r="CK15" s="202"/>
      <c r="CL15" s="202"/>
    </row>
    <row r="16">
      <c r="A16" s="197"/>
      <c r="B16" s="198"/>
      <c r="C16" s="801" t="s">
        <v>579</v>
      </c>
      <c r="F16" s="197"/>
      <c r="G16" s="198"/>
      <c r="H16" s="202"/>
      <c r="I16" s="197"/>
      <c r="J16" s="198"/>
      <c r="K16" s="202"/>
      <c r="L16" s="197"/>
      <c r="M16" s="198"/>
      <c r="N16" s="202"/>
      <c r="O16" s="197"/>
      <c r="P16" s="198"/>
      <c r="Q16" s="202"/>
      <c r="R16" s="197"/>
      <c r="S16" s="198"/>
      <c r="T16" s="202"/>
      <c r="U16" s="197"/>
      <c r="V16" s="198"/>
      <c r="W16" s="202"/>
      <c r="X16" s="197"/>
      <c r="Y16" s="198"/>
      <c r="Z16" s="202"/>
      <c r="AA16" s="197"/>
      <c r="AB16" s="198"/>
      <c r="AC16" s="202"/>
      <c r="AD16" s="197"/>
      <c r="AE16" s="198"/>
      <c r="AF16" s="202"/>
      <c r="AG16" s="197"/>
      <c r="AH16" s="198"/>
      <c r="AI16" s="202"/>
      <c r="AJ16" s="197"/>
      <c r="AK16" s="198"/>
      <c r="AL16" s="202"/>
      <c r="AM16" s="197"/>
      <c r="AN16" s="198"/>
      <c r="AO16" s="202"/>
      <c r="AP16" s="197"/>
      <c r="AQ16" s="198"/>
      <c r="AR16" s="202"/>
      <c r="AS16" s="197"/>
      <c r="AT16" s="198"/>
      <c r="AU16" s="202"/>
      <c r="AV16" s="197"/>
      <c r="AW16" s="198"/>
      <c r="AX16" s="202"/>
      <c r="AY16" s="197"/>
      <c r="AZ16" s="198"/>
      <c r="BA16" s="202"/>
      <c r="BB16" s="197"/>
      <c r="BC16" s="198"/>
      <c r="BD16" s="202"/>
      <c r="BE16" s="197"/>
      <c r="BF16" s="198"/>
      <c r="BG16" s="202"/>
      <c r="BH16" s="197"/>
      <c r="BI16" s="198"/>
      <c r="BJ16" s="202"/>
      <c r="BK16" s="197"/>
      <c r="BL16" s="198"/>
      <c r="BM16" s="202"/>
      <c r="BN16" s="197"/>
      <c r="BO16" s="198"/>
      <c r="BP16" s="202"/>
      <c r="BQ16" s="197"/>
      <c r="BR16" s="198"/>
      <c r="BS16" s="202"/>
      <c r="BT16" s="197"/>
      <c r="BU16" s="198"/>
      <c r="BV16" s="202"/>
      <c r="BW16" s="197"/>
      <c r="BX16" s="198"/>
      <c r="BY16" s="202"/>
      <c r="BZ16" s="197"/>
      <c r="CA16" s="198"/>
      <c r="CB16" s="202"/>
      <c r="CC16" s="197"/>
      <c r="CD16" s="198"/>
      <c r="CE16" s="202"/>
      <c r="CF16" s="197"/>
      <c r="CG16" s="198"/>
      <c r="CH16" s="202"/>
      <c r="CI16" s="197"/>
      <c r="CJ16" s="198"/>
      <c r="CK16" s="202"/>
      <c r="CL16" s="202"/>
    </row>
    <row r="17">
      <c r="A17" s="197"/>
      <c r="B17" s="198"/>
      <c r="C17" s="61"/>
      <c r="D17" s="198"/>
      <c r="E17" s="892" t="s">
        <v>580</v>
      </c>
      <c r="F17" s="916">
        <v>0.51</v>
      </c>
      <c r="G17" s="917">
        <f>'Simple CEA'!$I31</f>
        <v>0.665</v>
      </c>
      <c r="H17" s="918">
        <v>0.84</v>
      </c>
      <c r="I17" s="916">
        <v>0.49</v>
      </c>
      <c r="J17" s="917">
        <f>'Simple CEA'!$J31</f>
        <v>0.665</v>
      </c>
      <c r="K17" s="918">
        <v>0.86</v>
      </c>
      <c r="L17" s="916">
        <v>0.49</v>
      </c>
      <c r="M17" s="917">
        <f>'Simple CEA'!$K31</f>
        <v>0.665</v>
      </c>
      <c r="N17" s="918">
        <v>0.85</v>
      </c>
      <c r="O17" s="916">
        <v>0.49</v>
      </c>
      <c r="P17" s="917">
        <f>'Simple CEA'!$L31</f>
        <v>0.665</v>
      </c>
      <c r="Q17" s="918">
        <v>0.85</v>
      </c>
      <c r="R17" s="916">
        <v>0.48</v>
      </c>
      <c r="S17" s="917">
        <f>'Simple CEA'!$M31</f>
        <v>0.665</v>
      </c>
      <c r="T17" s="918">
        <v>0.84</v>
      </c>
      <c r="U17" s="916">
        <v>0.49</v>
      </c>
      <c r="V17" s="917">
        <f>'Simple CEA'!$N31</f>
        <v>0.665</v>
      </c>
      <c r="W17" s="918">
        <v>0.84</v>
      </c>
      <c r="X17" s="916">
        <v>0.49</v>
      </c>
      <c r="Y17" s="917">
        <f>'Simple CEA'!$O31</f>
        <v>0.665</v>
      </c>
      <c r="Z17" s="918">
        <v>0.85</v>
      </c>
      <c r="AA17" s="916">
        <v>0.5</v>
      </c>
      <c r="AB17" s="917">
        <f>'Simple CEA'!$P31</f>
        <v>0.665</v>
      </c>
      <c r="AC17" s="918">
        <v>0.84</v>
      </c>
      <c r="AD17" s="916">
        <v>0.48</v>
      </c>
      <c r="AE17" s="917">
        <f>'Simple CEA'!$Q31</f>
        <v>0.665</v>
      </c>
      <c r="AF17" s="918">
        <v>0.85</v>
      </c>
      <c r="AG17" s="916">
        <v>0.5</v>
      </c>
      <c r="AH17" s="917">
        <f>'Simple CEA'!$R31</f>
        <v>0.665</v>
      </c>
      <c r="AI17" s="918">
        <v>0.85</v>
      </c>
      <c r="AJ17" s="916">
        <v>0.47</v>
      </c>
      <c r="AK17" s="917">
        <f>'Simple CEA'!$S31</f>
        <v>0.665</v>
      </c>
      <c r="AL17" s="918">
        <v>0.85</v>
      </c>
      <c r="AM17" s="916">
        <v>0.49</v>
      </c>
      <c r="AN17" s="917">
        <f>'Simple CEA'!$T31</f>
        <v>0.665</v>
      </c>
      <c r="AO17" s="918">
        <v>0.85</v>
      </c>
      <c r="AP17" s="916">
        <v>0.51</v>
      </c>
      <c r="AQ17" s="917">
        <f>'Simple CEA'!$U31</f>
        <v>0.665</v>
      </c>
      <c r="AR17" s="918">
        <v>0.84</v>
      </c>
      <c r="AS17" s="916">
        <v>0.5</v>
      </c>
      <c r="AT17" s="917">
        <f>'Simple CEA'!$V31</f>
        <v>0.665</v>
      </c>
      <c r="AU17" s="918">
        <v>0.85</v>
      </c>
      <c r="AV17" s="916">
        <v>0.49</v>
      </c>
      <c r="AW17" s="917">
        <f>'Simple CEA'!$W31</f>
        <v>0.665</v>
      </c>
      <c r="AX17" s="918">
        <v>0.84</v>
      </c>
      <c r="AY17" s="916">
        <v>0.48</v>
      </c>
      <c r="AZ17" s="917">
        <f>'Simple CEA'!$X31</f>
        <v>0.665</v>
      </c>
      <c r="BA17" s="918">
        <v>0.84</v>
      </c>
      <c r="BB17" s="916">
        <v>0.48</v>
      </c>
      <c r="BC17" s="917">
        <f>'Simple CEA'!$Y31</f>
        <v>0.665</v>
      </c>
      <c r="BD17" s="918">
        <v>0.84</v>
      </c>
      <c r="BE17" s="916">
        <v>0.48</v>
      </c>
      <c r="BF17" s="917">
        <f>'Simple CEA'!$Z31</f>
        <v>0.665</v>
      </c>
      <c r="BG17" s="918">
        <v>0.84</v>
      </c>
      <c r="BH17" s="916">
        <v>0.49</v>
      </c>
      <c r="BI17" s="917">
        <f>'Simple CEA'!$AA31</f>
        <v>0.665</v>
      </c>
      <c r="BJ17" s="918">
        <v>0.84</v>
      </c>
      <c r="BK17" s="916">
        <v>0.62</v>
      </c>
      <c r="BL17" s="917">
        <f>'Simple CEA'!$AB31</f>
        <v>0.665</v>
      </c>
      <c r="BM17" s="918">
        <v>0.94</v>
      </c>
      <c r="BN17" s="916">
        <v>0.62</v>
      </c>
      <c r="BO17" s="917">
        <f>'Simple CEA'!$AC31</f>
        <v>0.665</v>
      </c>
      <c r="BP17" s="918">
        <v>0.93</v>
      </c>
      <c r="BQ17" s="916">
        <v>0.63</v>
      </c>
      <c r="BR17" s="917">
        <f>'Simple CEA'!$AD31</f>
        <v>0.665</v>
      </c>
      <c r="BS17" s="918">
        <v>0.93</v>
      </c>
      <c r="BT17" s="916">
        <v>0.61</v>
      </c>
      <c r="BU17" s="917">
        <f>'Simple CEA'!$AE31</f>
        <v>0.665</v>
      </c>
      <c r="BV17" s="918">
        <v>0.93</v>
      </c>
      <c r="BW17" s="916">
        <v>0.61</v>
      </c>
      <c r="BX17" s="917">
        <f>'Simple CEA'!$AF31</f>
        <v>0.665</v>
      </c>
      <c r="BY17" s="918">
        <v>0.93</v>
      </c>
      <c r="BZ17" s="916">
        <v>0.61</v>
      </c>
      <c r="CA17" s="917">
        <f>'Simple CEA'!$AG31</f>
        <v>0.665</v>
      </c>
      <c r="CB17" s="918">
        <v>0.93</v>
      </c>
      <c r="CC17" s="916">
        <v>0.62</v>
      </c>
      <c r="CD17" s="917">
        <f>'Simple CEA'!$AH31</f>
        <v>0.665</v>
      </c>
      <c r="CE17" s="918">
        <v>0.94</v>
      </c>
      <c r="CF17" s="916">
        <v>0.63</v>
      </c>
      <c r="CG17" s="917">
        <f>'Simple CEA'!$AI31</f>
        <v>0.665</v>
      </c>
      <c r="CH17" s="918">
        <v>0.94</v>
      </c>
      <c r="CI17" s="916">
        <v>0.49</v>
      </c>
      <c r="CJ17" s="917">
        <f>'Simple CEA'!$AJ31</f>
        <v>0.665</v>
      </c>
      <c r="CK17" s="918">
        <v>0.84</v>
      </c>
      <c r="CL17" s="69"/>
    </row>
    <row r="18">
      <c r="A18" s="197"/>
      <c r="B18" s="198"/>
      <c r="C18" s="61"/>
      <c r="D18" s="198"/>
      <c r="E18" s="896" t="s">
        <v>582</v>
      </c>
      <c r="F18" s="897">
        <v>-0.4</v>
      </c>
      <c r="G18" s="898">
        <f>'Simple CEA'!$I32</f>
        <v>-0.22</v>
      </c>
      <c r="H18" s="899">
        <v>-0.1</v>
      </c>
      <c r="I18" s="897">
        <v>-0.4</v>
      </c>
      <c r="J18" s="898">
        <f>'Simple CEA'!$J32</f>
        <v>-0.22</v>
      </c>
      <c r="K18" s="899">
        <v>-0.1</v>
      </c>
      <c r="L18" s="897">
        <v>-0.4</v>
      </c>
      <c r="M18" s="898">
        <f>'Simple CEA'!$K32</f>
        <v>-0.22</v>
      </c>
      <c r="N18" s="899">
        <v>-0.1</v>
      </c>
      <c r="O18" s="897">
        <v>-0.4</v>
      </c>
      <c r="P18" s="898">
        <f>'Simple CEA'!$L32</f>
        <v>-0.22</v>
      </c>
      <c r="Q18" s="899">
        <v>-0.1</v>
      </c>
      <c r="R18" s="897">
        <v>-0.4</v>
      </c>
      <c r="S18" s="898">
        <f>'Simple CEA'!$M32</f>
        <v>-0.22</v>
      </c>
      <c r="T18" s="899">
        <v>-0.1</v>
      </c>
      <c r="U18" s="897">
        <v>-0.4</v>
      </c>
      <c r="V18" s="898">
        <f>'Simple CEA'!$N32</f>
        <v>-0.22</v>
      </c>
      <c r="W18" s="899">
        <v>-0.1</v>
      </c>
      <c r="X18" s="897">
        <v>-0.4</v>
      </c>
      <c r="Y18" s="898">
        <f>'Simple CEA'!$O32</f>
        <v>-0.22</v>
      </c>
      <c r="Z18" s="899">
        <v>-0.1</v>
      </c>
      <c r="AA18" s="897">
        <v>-0.4</v>
      </c>
      <c r="AB18" s="898">
        <f>'Simple CEA'!$P32</f>
        <v>-0.22</v>
      </c>
      <c r="AC18" s="899">
        <v>-0.1</v>
      </c>
      <c r="AD18" s="897">
        <v>-0.4</v>
      </c>
      <c r="AE18" s="898">
        <f>'Simple CEA'!$Q32</f>
        <v>-0.22</v>
      </c>
      <c r="AF18" s="899">
        <v>-0.1</v>
      </c>
      <c r="AG18" s="897">
        <v>-0.4</v>
      </c>
      <c r="AH18" s="898">
        <f>'Simple CEA'!$R32</f>
        <v>-0.22</v>
      </c>
      <c r="AI18" s="899">
        <v>-0.1</v>
      </c>
      <c r="AJ18" s="897">
        <v>-0.4</v>
      </c>
      <c r="AK18" s="898">
        <f>'Simple CEA'!$S32</f>
        <v>-0.22</v>
      </c>
      <c r="AL18" s="899">
        <v>-0.1</v>
      </c>
      <c r="AM18" s="897">
        <v>-0.4</v>
      </c>
      <c r="AN18" s="898">
        <f>'Simple CEA'!$T32</f>
        <v>-0.22</v>
      </c>
      <c r="AO18" s="899">
        <v>-0.1</v>
      </c>
      <c r="AP18" s="897">
        <v>-0.4</v>
      </c>
      <c r="AQ18" s="898">
        <f>'Simple CEA'!$U32</f>
        <v>-0.22</v>
      </c>
      <c r="AR18" s="899">
        <v>-0.1</v>
      </c>
      <c r="AS18" s="897">
        <v>-0.4</v>
      </c>
      <c r="AT18" s="898">
        <f>'Simple CEA'!$V32</f>
        <v>-0.22</v>
      </c>
      <c r="AU18" s="899">
        <v>-0.1</v>
      </c>
      <c r="AV18" s="897">
        <v>-0.4</v>
      </c>
      <c r="AW18" s="898">
        <f>'Simple CEA'!$W32</f>
        <v>-0.22</v>
      </c>
      <c r="AX18" s="899">
        <v>-0.1</v>
      </c>
      <c r="AY18" s="897">
        <v>-0.4</v>
      </c>
      <c r="AZ18" s="898">
        <f>'Simple CEA'!$X32</f>
        <v>-0.22</v>
      </c>
      <c r="BA18" s="899">
        <v>-0.1</v>
      </c>
      <c r="BB18" s="897">
        <v>-0.4</v>
      </c>
      <c r="BC18" s="898">
        <f>'Simple CEA'!$Y32</f>
        <v>-0.22</v>
      </c>
      <c r="BD18" s="899">
        <v>-0.1</v>
      </c>
      <c r="BE18" s="897">
        <v>-0.4</v>
      </c>
      <c r="BF18" s="898">
        <f>'Simple CEA'!$Z32</f>
        <v>-0.22</v>
      </c>
      <c r="BG18" s="899">
        <v>-0.1</v>
      </c>
      <c r="BH18" s="897">
        <v>-0.4</v>
      </c>
      <c r="BI18" s="898">
        <f>'Simple CEA'!$AA32</f>
        <v>-0.22</v>
      </c>
      <c r="BJ18" s="899">
        <v>-0.1</v>
      </c>
      <c r="BK18" s="897">
        <v>-0.4</v>
      </c>
      <c r="BL18" s="898">
        <f>'Simple CEA'!$AB32</f>
        <v>-0.22</v>
      </c>
      <c r="BM18" s="899">
        <v>-0.1</v>
      </c>
      <c r="BN18" s="897">
        <v>-0.4</v>
      </c>
      <c r="BO18" s="898">
        <f>'Simple CEA'!$AC32</f>
        <v>-0.22</v>
      </c>
      <c r="BP18" s="899">
        <v>-0.1</v>
      </c>
      <c r="BQ18" s="897">
        <v>-0.4</v>
      </c>
      <c r="BR18" s="898">
        <f>'Simple CEA'!$AD32</f>
        <v>-0.22</v>
      </c>
      <c r="BS18" s="899">
        <v>-0.1</v>
      </c>
      <c r="BT18" s="897">
        <v>-0.4</v>
      </c>
      <c r="BU18" s="898">
        <f>'Simple CEA'!$AE32</f>
        <v>-0.22</v>
      </c>
      <c r="BV18" s="899">
        <v>-0.1</v>
      </c>
      <c r="BW18" s="897">
        <v>-0.4</v>
      </c>
      <c r="BX18" s="898">
        <f>'Simple CEA'!$AF32</f>
        <v>-0.22</v>
      </c>
      <c r="BY18" s="899">
        <v>-0.1</v>
      </c>
      <c r="BZ18" s="897">
        <v>-0.43</v>
      </c>
      <c r="CA18" s="898">
        <f>'Simple CEA'!$AG32</f>
        <v>-0.24</v>
      </c>
      <c r="CB18" s="899">
        <v>-0.11</v>
      </c>
      <c r="CC18" s="897">
        <v>-0.43</v>
      </c>
      <c r="CD18" s="898">
        <f>'Simple CEA'!$AH32</f>
        <v>-0.24</v>
      </c>
      <c r="CE18" s="899">
        <v>-0.11</v>
      </c>
      <c r="CF18" s="897">
        <v>-0.43</v>
      </c>
      <c r="CG18" s="898">
        <f>'Simple CEA'!$AI32</f>
        <v>-0.24</v>
      </c>
      <c r="CH18" s="899">
        <v>-0.11</v>
      </c>
      <c r="CI18" s="897">
        <v>-0.43</v>
      </c>
      <c r="CJ18" s="898">
        <f>'Simple CEA'!$AJ32</f>
        <v>-0.24</v>
      </c>
      <c r="CK18" s="899">
        <v>-0.11</v>
      </c>
      <c r="CL18" s="900"/>
    </row>
    <row r="19">
      <c r="A19" s="197"/>
      <c r="B19" s="198"/>
      <c r="C19" s="61"/>
      <c r="D19" s="198"/>
      <c r="E19" s="919" t="s">
        <v>587</v>
      </c>
      <c r="F19" s="920" t="s">
        <v>165</v>
      </c>
      <c r="G19" s="921">
        <f>'Simple CEA'!I33</f>
        <v>-0.01947325914</v>
      </c>
      <c r="H19" s="922" t="s">
        <v>165</v>
      </c>
      <c r="I19" s="920" t="s">
        <v>165</v>
      </c>
      <c r="J19" s="921">
        <f>'Simple CEA'!J33</f>
        <v>-0.02205386241</v>
      </c>
      <c r="K19" s="922" t="s">
        <v>165</v>
      </c>
      <c r="L19" s="920" t="s">
        <v>165</v>
      </c>
      <c r="M19" s="921">
        <f>'Simple CEA'!K33</f>
        <v>-0.03625298958</v>
      </c>
      <c r="N19" s="922" t="s">
        <v>165</v>
      </c>
      <c r="O19" s="920" t="s">
        <v>165</v>
      </c>
      <c r="P19" s="921">
        <f>'Simple CEA'!L33</f>
        <v>-0.0340203642</v>
      </c>
      <c r="Q19" s="922" t="s">
        <v>165</v>
      </c>
      <c r="R19" s="920" t="s">
        <v>165</v>
      </c>
      <c r="S19" s="921">
        <f>'Simple CEA'!M33</f>
        <v>-0.02513471842</v>
      </c>
      <c r="T19" s="922" t="s">
        <v>165</v>
      </c>
      <c r="U19" s="920" t="s">
        <v>165</v>
      </c>
      <c r="V19" s="921">
        <f>'Simple CEA'!N33</f>
        <v>-0.07987834229</v>
      </c>
      <c r="W19" s="922" t="s">
        <v>165</v>
      </c>
      <c r="X19" s="920" t="s">
        <v>165</v>
      </c>
      <c r="Y19" s="921">
        <f>'Simple CEA'!O33</f>
        <v>-0.03244141483</v>
      </c>
      <c r="Z19" s="922" t="s">
        <v>165</v>
      </c>
      <c r="AA19" s="920" t="s">
        <v>165</v>
      </c>
      <c r="AB19" s="921">
        <f>'Simple CEA'!P33</f>
        <v>-0.01250016135</v>
      </c>
      <c r="AC19" s="922" t="s">
        <v>165</v>
      </c>
      <c r="AD19" s="920" t="s">
        <v>165</v>
      </c>
      <c r="AE19" s="921">
        <f>'Simple CEA'!Q33</f>
        <v>-0.007809414554</v>
      </c>
      <c r="AF19" s="922" t="s">
        <v>165</v>
      </c>
      <c r="AG19" s="920" t="s">
        <v>165</v>
      </c>
      <c r="AH19" s="921">
        <f>'Simple CEA'!R33</f>
        <v>-0.02353099696</v>
      </c>
      <c r="AI19" s="922" t="s">
        <v>165</v>
      </c>
      <c r="AJ19" s="920" t="s">
        <v>165</v>
      </c>
      <c r="AK19" s="921">
        <f>'Simple CEA'!S33</f>
        <v>-0.1091428556</v>
      </c>
      <c r="AL19" s="922" t="s">
        <v>165</v>
      </c>
      <c r="AM19" s="920" t="s">
        <v>165</v>
      </c>
      <c r="AN19" s="921">
        <f>'Simple CEA'!T33</f>
        <v>-0.1981957392</v>
      </c>
      <c r="AO19" s="922" t="s">
        <v>165</v>
      </c>
      <c r="AP19" s="920" t="s">
        <v>165</v>
      </c>
      <c r="AQ19" s="921">
        <f>'Simple CEA'!U33</f>
        <v>-0.05220917985</v>
      </c>
      <c r="AR19" s="922" t="s">
        <v>165</v>
      </c>
      <c r="AS19" s="920" t="s">
        <v>165</v>
      </c>
      <c r="AT19" s="921">
        <f>'Simple CEA'!V33</f>
        <v>-0.09350782321</v>
      </c>
      <c r="AU19" s="922" t="s">
        <v>165</v>
      </c>
      <c r="AV19" s="920" t="s">
        <v>165</v>
      </c>
      <c r="AW19" s="921">
        <f>'Simple CEA'!W33</f>
        <v>-0.03710717552</v>
      </c>
      <c r="AX19" s="922" t="s">
        <v>165</v>
      </c>
      <c r="AY19" s="920" t="s">
        <v>165</v>
      </c>
      <c r="AZ19" s="921">
        <f>'Simple CEA'!X33</f>
        <v>-0.1251877375</v>
      </c>
      <c r="BA19" s="922" t="s">
        <v>165</v>
      </c>
      <c r="BB19" s="920" t="s">
        <v>165</v>
      </c>
      <c r="BC19" s="921">
        <f>'Simple CEA'!Y33</f>
        <v>-0.08294769458</v>
      </c>
      <c r="BD19" s="922" t="s">
        <v>165</v>
      </c>
      <c r="BE19" s="920" t="s">
        <v>165</v>
      </c>
      <c r="BF19" s="921">
        <f>'Simple CEA'!Z33</f>
        <v>-0.1491351599</v>
      </c>
      <c r="BG19" s="922" t="s">
        <v>165</v>
      </c>
      <c r="BH19" s="920" t="s">
        <v>165</v>
      </c>
      <c r="BI19" s="921">
        <f>'Simple CEA'!AA33</f>
        <v>-0.1146583161</v>
      </c>
      <c r="BJ19" s="922" t="s">
        <v>165</v>
      </c>
      <c r="BK19" s="920" t="s">
        <v>165</v>
      </c>
      <c r="BL19" s="921">
        <f>'Simple CEA'!AB33</f>
        <v>-0.04177997056</v>
      </c>
      <c r="BM19" s="922" t="s">
        <v>165</v>
      </c>
      <c r="BN19" s="920" t="s">
        <v>165</v>
      </c>
      <c r="BO19" s="921">
        <f>'Simple CEA'!AC33</f>
        <v>-0.1002806175</v>
      </c>
      <c r="BP19" s="922" t="s">
        <v>165</v>
      </c>
      <c r="BQ19" s="920" t="s">
        <v>165</v>
      </c>
      <c r="BR19" s="921">
        <f>'Simple CEA'!AD33</f>
        <v>-0.1965004343</v>
      </c>
      <c r="BS19" s="922" t="s">
        <v>165</v>
      </c>
      <c r="BT19" s="920" t="s">
        <v>165</v>
      </c>
      <c r="BU19" s="921">
        <f>'Simple CEA'!AE33</f>
        <v>-0.0642888948</v>
      </c>
      <c r="BV19" s="922" t="s">
        <v>165</v>
      </c>
      <c r="BW19" s="920" t="s">
        <v>165</v>
      </c>
      <c r="BX19" s="921">
        <f>'Simple CEA'!AF33</f>
        <v>-0.01750912369</v>
      </c>
      <c r="BY19" s="922" t="s">
        <v>165</v>
      </c>
      <c r="BZ19" s="920" t="s">
        <v>165</v>
      </c>
      <c r="CA19" s="921">
        <f>'Simple CEA'!AG33</f>
        <v>-0.04925154078</v>
      </c>
      <c r="CB19" s="922" t="s">
        <v>165</v>
      </c>
      <c r="CC19" s="920" t="s">
        <v>165</v>
      </c>
      <c r="CD19" s="921">
        <f>'Simple CEA'!AH33</f>
        <v>-0.008645932197</v>
      </c>
      <c r="CE19" s="922" t="s">
        <v>165</v>
      </c>
      <c r="CF19" s="920" t="s">
        <v>165</v>
      </c>
      <c r="CG19" s="921">
        <f>'Simple CEA'!AI33</f>
        <v>-0.01670719858</v>
      </c>
      <c r="CH19" s="922" t="s">
        <v>165</v>
      </c>
      <c r="CI19" s="920" t="s">
        <v>165</v>
      </c>
      <c r="CJ19" s="921">
        <f>'Simple CEA'!AJ33</f>
        <v>-0.03878379831</v>
      </c>
      <c r="CK19" s="922" t="s">
        <v>165</v>
      </c>
      <c r="CL19" s="926"/>
    </row>
    <row r="20">
      <c r="A20" s="197"/>
      <c r="B20" s="198"/>
      <c r="C20" s="61"/>
      <c r="D20" s="198"/>
      <c r="E20" s="904" t="s">
        <v>589</v>
      </c>
      <c r="F20" s="927">
        <v>-0.36</v>
      </c>
      <c r="G20" s="928">
        <f>'Simple CEA'!$I34</f>
        <v>-0.2720680022</v>
      </c>
      <c r="H20" s="929">
        <v>-0.06</v>
      </c>
      <c r="I20" s="927">
        <v>-0.43</v>
      </c>
      <c r="J20" s="928">
        <f>'Simple CEA'!$J34</f>
        <v>-0.3269725451</v>
      </c>
      <c r="K20" s="929">
        <v>-0.08</v>
      </c>
      <c r="L20" s="927">
        <v>-0.46</v>
      </c>
      <c r="M20" s="928">
        <f>'Simple CEA'!$K34</f>
        <v>-0.3452941854</v>
      </c>
      <c r="N20" s="929">
        <v>-0.09</v>
      </c>
      <c r="O20" s="927">
        <v>-0.24</v>
      </c>
      <c r="P20" s="928">
        <f>'Simple CEA'!$L34</f>
        <v>-0.1756309101</v>
      </c>
      <c r="Q20" s="929">
        <v>-0.03</v>
      </c>
      <c r="R20" s="927">
        <v>-0.48</v>
      </c>
      <c r="S20" s="928">
        <f>'Simple CEA'!$M34</f>
        <v>-0.3700125864</v>
      </c>
      <c r="T20" s="929">
        <v>-0.1</v>
      </c>
      <c r="U20" s="927">
        <v>-0.36</v>
      </c>
      <c r="V20" s="928">
        <f>'Simple CEA'!$N34</f>
        <v>-0.2723292123</v>
      </c>
      <c r="W20" s="929">
        <v>-0.06</v>
      </c>
      <c r="X20" s="927">
        <v>-0.28</v>
      </c>
      <c r="Y20" s="928">
        <f>'Simple CEA'!$O34</f>
        <v>-0.2112519459</v>
      </c>
      <c r="Z20" s="929">
        <v>-0.04</v>
      </c>
      <c r="AA20" s="927">
        <v>-0.44</v>
      </c>
      <c r="AB20" s="928">
        <f>'Simple CEA'!$P34</f>
        <v>-0.338631384</v>
      </c>
      <c r="AC20" s="929">
        <v>-0.09</v>
      </c>
      <c r="AD20" s="927">
        <v>-0.38</v>
      </c>
      <c r="AE20" s="928">
        <f>'Simple CEA'!$Q34</f>
        <v>-0.2942304915</v>
      </c>
      <c r="AF20" s="929">
        <v>-0.06</v>
      </c>
      <c r="AG20" s="927">
        <v>-0.32</v>
      </c>
      <c r="AH20" s="928">
        <f>'Simple CEA'!$R34</f>
        <v>-0.236007944</v>
      </c>
      <c r="AI20" s="929">
        <v>-0.05</v>
      </c>
      <c r="AJ20" s="927">
        <v>-0.26</v>
      </c>
      <c r="AK20" s="928">
        <f>'Simple CEA'!$S34</f>
        <v>-0.1851012218</v>
      </c>
      <c r="AL20" s="929">
        <v>-0.03</v>
      </c>
      <c r="AM20" s="927">
        <v>-0.18</v>
      </c>
      <c r="AN20" s="928">
        <f>'Simple CEA'!$T34</f>
        <v>-0.1321483894</v>
      </c>
      <c r="AO20" s="929">
        <v>-0.01</v>
      </c>
      <c r="AP20" s="927">
        <v>-0.29</v>
      </c>
      <c r="AQ20" s="928">
        <f>'Simple CEA'!$U34</f>
        <v>-0.2189552563</v>
      </c>
      <c r="AR20" s="929">
        <v>-0.04</v>
      </c>
      <c r="AS20" s="927">
        <v>-0.26</v>
      </c>
      <c r="AT20" s="928">
        <f>'Simple CEA'!$V34</f>
        <v>-0.1943981611</v>
      </c>
      <c r="AU20" s="929">
        <v>-0.03</v>
      </c>
      <c r="AV20" s="927">
        <v>-0.31</v>
      </c>
      <c r="AW20" s="928">
        <f>'Simple CEA'!$W34</f>
        <v>-0.2279352451</v>
      </c>
      <c r="AX20" s="929">
        <v>-0.04</v>
      </c>
      <c r="AY20" s="927">
        <v>-0.24</v>
      </c>
      <c r="AZ20" s="928">
        <f>'Simple CEA'!$X34</f>
        <v>-0.1755605769</v>
      </c>
      <c r="BA20" s="929">
        <v>-0.03</v>
      </c>
      <c r="BB20" s="927">
        <v>-0.27</v>
      </c>
      <c r="BC20" s="928">
        <f>'Simple CEA'!$Y34</f>
        <v>-0.2006774493</v>
      </c>
      <c r="BD20" s="929">
        <v>-0.03</v>
      </c>
      <c r="BE20" s="927">
        <v>-0.22</v>
      </c>
      <c r="BF20" s="928">
        <f>'Simple CEA'!$Z34</f>
        <v>-0.161320905</v>
      </c>
      <c r="BG20" s="929">
        <v>-0.02</v>
      </c>
      <c r="BH20" s="927">
        <v>-0.24</v>
      </c>
      <c r="BI20" s="928">
        <f>'Simple CEA'!$AA34</f>
        <v>-0.1818216059</v>
      </c>
      <c r="BJ20" s="929">
        <v>-0.03</v>
      </c>
      <c r="BK20" s="927">
        <v>-0.31</v>
      </c>
      <c r="BL20" s="928">
        <f>'Simple CEA'!$AB34</f>
        <v>-0.2251566969</v>
      </c>
      <c r="BM20" s="929">
        <v>-0.04</v>
      </c>
      <c r="BN20" s="927">
        <v>-0.26</v>
      </c>
      <c r="BO20" s="928">
        <f>'Simple CEA'!$AC34</f>
        <v>-0.1903709064</v>
      </c>
      <c r="BP20" s="929">
        <v>-0.03</v>
      </c>
      <c r="BQ20" s="927">
        <v>-0.18</v>
      </c>
      <c r="BR20" s="928">
        <f>'Simple CEA'!$AD34</f>
        <v>-0.1331564555</v>
      </c>
      <c r="BS20" s="929">
        <v>-0.01</v>
      </c>
      <c r="BT20" s="927">
        <v>-0.28</v>
      </c>
      <c r="BU20" s="928">
        <f>'Simple CEA'!$AE34</f>
        <v>-0.2117723881</v>
      </c>
      <c r="BV20" s="929">
        <v>-0.04</v>
      </c>
      <c r="BW20" s="927">
        <v>-0.32</v>
      </c>
      <c r="BX20" s="928">
        <f>'Simple CEA'!$AF34</f>
        <v>-0.2395886842</v>
      </c>
      <c r="BY20" s="929">
        <v>-0.05</v>
      </c>
      <c r="BZ20" s="927">
        <v>-0.67</v>
      </c>
      <c r="CA20" s="928">
        <f>'Simple CEA'!$AG34</f>
        <v>-0.2409743249</v>
      </c>
      <c r="CB20" s="929">
        <v>-0.18</v>
      </c>
      <c r="CC20" s="927">
        <v>-0.67</v>
      </c>
      <c r="CD20" s="928">
        <f>'Simple CEA'!$AH34</f>
        <v>-0.4566786993</v>
      </c>
      <c r="CE20" s="929">
        <v>-0.18</v>
      </c>
      <c r="CF20" s="927">
        <v>-0.67</v>
      </c>
      <c r="CG20" s="928">
        <f>'Simple CEA'!$AI34</f>
        <v>-0.3460550169</v>
      </c>
      <c r="CH20" s="929">
        <v>-0.18</v>
      </c>
      <c r="CI20" s="927">
        <v>-0.44</v>
      </c>
      <c r="CJ20" s="928">
        <f>'Simple CEA'!$AJ34</f>
        <v>-0.3344612777</v>
      </c>
      <c r="CK20" s="929">
        <v>-0.03</v>
      </c>
      <c r="CL20" s="77"/>
    </row>
    <row r="21">
      <c r="A21" s="930"/>
      <c r="B21" s="931"/>
      <c r="C21" s="931"/>
      <c r="D21" s="931"/>
      <c r="E21" s="931"/>
      <c r="F21" s="930"/>
      <c r="G21" s="931"/>
      <c r="H21" s="932"/>
      <c r="I21" s="930"/>
      <c r="J21" s="931"/>
      <c r="K21" s="932"/>
      <c r="L21" s="930"/>
      <c r="M21" s="931"/>
      <c r="N21" s="932"/>
      <c r="O21" s="930"/>
      <c r="P21" s="931"/>
      <c r="Q21" s="932"/>
      <c r="R21" s="930"/>
      <c r="S21" s="931"/>
      <c r="T21" s="932"/>
      <c r="U21" s="930"/>
      <c r="V21" s="931"/>
      <c r="W21" s="932"/>
      <c r="X21" s="930"/>
      <c r="Y21" s="931"/>
      <c r="Z21" s="932"/>
      <c r="AA21" s="930"/>
      <c r="AB21" s="931"/>
      <c r="AC21" s="932"/>
      <c r="AD21" s="930"/>
      <c r="AE21" s="931"/>
      <c r="AF21" s="932"/>
      <c r="AG21" s="930"/>
      <c r="AH21" s="931"/>
      <c r="AI21" s="932"/>
      <c r="AJ21" s="930"/>
      <c r="AK21" s="931"/>
      <c r="AL21" s="932"/>
      <c r="AM21" s="930"/>
      <c r="AN21" s="931"/>
      <c r="AO21" s="932"/>
      <c r="AP21" s="930"/>
      <c r="AQ21" s="931"/>
      <c r="AR21" s="932"/>
      <c r="AS21" s="930"/>
      <c r="AT21" s="931"/>
      <c r="AU21" s="932"/>
      <c r="AV21" s="930"/>
      <c r="AW21" s="931"/>
      <c r="AX21" s="932"/>
      <c r="AY21" s="930"/>
      <c r="AZ21" s="931"/>
      <c r="BA21" s="932"/>
      <c r="BB21" s="930"/>
      <c r="BC21" s="931"/>
      <c r="BD21" s="932"/>
      <c r="BE21" s="930"/>
      <c r="BF21" s="931"/>
      <c r="BG21" s="932"/>
      <c r="BH21" s="930"/>
      <c r="BI21" s="931"/>
      <c r="BJ21" s="932"/>
      <c r="BK21" s="930"/>
      <c r="BL21" s="931"/>
      <c r="BM21" s="932"/>
      <c r="BN21" s="930"/>
      <c r="BO21" s="931"/>
      <c r="BP21" s="932"/>
      <c r="BQ21" s="930"/>
      <c r="BR21" s="931"/>
      <c r="BS21" s="932"/>
      <c r="BT21" s="930"/>
      <c r="BU21" s="931"/>
      <c r="BV21" s="932"/>
      <c r="BW21" s="930"/>
      <c r="BX21" s="931"/>
      <c r="BY21" s="932"/>
      <c r="BZ21" s="930"/>
      <c r="CA21" s="931"/>
      <c r="CB21" s="932"/>
      <c r="CC21" s="930"/>
      <c r="CD21" s="931"/>
      <c r="CE21" s="932"/>
      <c r="CF21" s="930"/>
      <c r="CG21" s="931"/>
      <c r="CH21" s="932"/>
      <c r="CI21" s="930"/>
      <c r="CJ21" s="931"/>
      <c r="CK21" s="932"/>
      <c r="CL21" s="932"/>
    </row>
  </sheetData>
  <mergeCells count="64">
    <mergeCell ref="BE2:BG2"/>
    <mergeCell ref="BH2:BJ2"/>
    <mergeCell ref="BK2:BM2"/>
    <mergeCell ref="BN2:BP2"/>
    <mergeCell ref="BQ2:BS2"/>
    <mergeCell ref="BT2:BV2"/>
    <mergeCell ref="BW2:BY2"/>
    <mergeCell ref="BZ2:CB2"/>
    <mergeCell ref="CC2:CE2"/>
    <mergeCell ref="CF2:CH2"/>
    <mergeCell ref="F1:AC1"/>
    <mergeCell ref="AD1:BA1"/>
    <mergeCell ref="BB1:BY1"/>
    <mergeCell ref="BZ1:CK1"/>
    <mergeCell ref="F2:H2"/>
    <mergeCell ref="I2:K2"/>
    <mergeCell ref="L2:N2"/>
    <mergeCell ref="CI2:CK2"/>
    <mergeCell ref="U2:W2"/>
    <mergeCell ref="X2:Z2"/>
    <mergeCell ref="U3:W3"/>
    <mergeCell ref="X3:Z3"/>
    <mergeCell ref="C13:E13"/>
    <mergeCell ref="C16:E16"/>
    <mergeCell ref="O2:Q2"/>
    <mergeCell ref="R2:T2"/>
    <mergeCell ref="A3:E3"/>
    <mergeCell ref="I3:K3"/>
    <mergeCell ref="L3:N3"/>
    <mergeCell ref="O3:Q3"/>
    <mergeCell ref="R3:T3"/>
    <mergeCell ref="AA2:AC2"/>
    <mergeCell ref="AD2:AF2"/>
    <mergeCell ref="AA3:AC3"/>
    <mergeCell ref="AD3:AF3"/>
    <mergeCell ref="AG2:AI2"/>
    <mergeCell ref="AJ2:AL2"/>
    <mergeCell ref="AG3:AI3"/>
    <mergeCell ref="AJ3:AL3"/>
    <mergeCell ref="AM2:AO2"/>
    <mergeCell ref="AP2:AR2"/>
    <mergeCell ref="AM3:AO3"/>
    <mergeCell ref="AP3:AR3"/>
    <mergeCell ref="AS2:AU2"/>
    <mergeCell ref="AV2:AX2"/>
    <mergeCell ref="AS3:AU3"/>
    <mergeCell ref="AV3:AX3"/>
    <mergeCell ref="BN3:BP3"/>
    <mergeCell ref="BQ3:BS3"/>
    <mergeCell ref="BT3:BV3"/>
    <mergeCell ref="BW3:BY3"/>
    <mergeCell ref="BZ3:CB3"/>
    <mergeCell ref="CC3:CE3"/>
    <mergeCell ref="CF3:CH3"/>
    <mergeCell ref="CI3:CK3"/>
    <mergeCell ref="AY2:BA2"/>
    <mergeCell ref="BB2:BD2"/>
    <mergeCell ref="AY3:BA3"/>
    <mergeCell ref="BB3:BD3"/>
    <mergeCell ref="BE3:BG3"/>
    <mergeCell ref="BH3:BJ3"/>
    <mergeCell ref="BK3:BM3"/>
    <mergeCell ref="A5:E5"/>
    <mergeCell ref="C7:E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15" width="7.63"/>
    <col customWidth="1" min="16" max="16" width="9.38"/>
    <col customWidth="1" min="17" max="18" width="7.63"/>
    <col customWidth="1" min="19" max="19" width="9.38"/>
    <col customWidth="1" min="20" max="21" width="7.63"/>
    <col customWidth="1" min="22" max="22" width="9.38"/>
    <col customWidth="1" min="23" max="24" width="7.63"/>
    <col customWidth="1" min="25" max="25" width="9.38"/>
    <col customWidth="1" min="26"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4" width="7.63"/>
    <col customWidth="1" min="55" max="55" width="9.38"/>
    <col customWidth="1" min="56" max="57" width="7.63"/>
    <col customWidth="1" min="58" max="58" width="9.38"/>
    <col customWidth="1" min="59" max="60" width="7.63"/>
    <col customWidth="1" min="61" max="61" width="9.38"/>
    <col customWidth="1" min="62" max="63" width="7.63"/>
    <col customWidth="1" min="64" max="64" width="9.38"/>
    <col customWidth="1" min="65" max="66" width="7.63"/>
    <col customWidth="1" min="67" max="67" width="9.38"/>
    <col customWidth="1" min="68" max="68" width="7.63"/>
    <col customWidth="1" min="69" max="69" width="6.38"/>
    <col customWidth="1" min="70" max="70" width="9.38"/>
    <col customWidth="1" min="71" max="72" width="6.38"/>
    <col customWidth="1" min="73" max="73" width="9.38"/>
    <col customWidth="1" min="74" max="75" width="6.38"/>
    <col customWidth="1" min="76" max="76" width="9.38"/>
    <col customWidth="1" min="77" max="78" width="6.38"/>
    <col customWidth="1" min="79" max="79" width="9.38"/>
    <col customWidth="1" min="80" max="81" width="6.38"/>
    <col customWidth="1" min="82" max="82" width="9.38"/>
    <col customWidth="1" min="83" max="84" width="6.38"/>
    <col customWidth="1" min="85" max="85" width="9.38"/>
    <col customWidth="1" min="86" max="87" width="6.38"/>
    <col customWidth="1" min="88" max="88" width="9.38"/>
    <col customWidth="1" min="89" max="89" width="6.38"/>
    <col customWidth="1" min="90" max="90" width="3.63"/>
  </cols>
  <sheetData>
    <row r="1">
      <c r="A1" s="1"/>
      <c r="B1" s="4"/>
      <c r="C1" s="4"/>
      <c r="D1" s="4"/>
      <c r="E1" s="296"/>
      <c r="F1" s="933" t="s">
        <v>1</v>
      </c>
      <c r="G1" s="3"/>
      <c r="H1" s="3"/>
      <c r="I1" s="3"/>
      <c r="J1" s="3"/>
      <c r="K1" s="3"/>
      <c r="L1" s="3"/>
      <c r="M1" s="3"/>
      <c r="N1" s="3"/>
      <c r="O1" s="3"/>
      <c r="P1" s="3"/>
      <c r="Q1" s="3"/>
      <c r="R1" s="3"/>
      <c r="S1" s="3"/>
      <c r="T1" s="3"/>
      <c r="U1" s="3"/>
      <c r="V1" s="3"/>
      <c r="W1" s="3"/>
      <c r="X1" s="3"/>
      <c r="Y1" s="3"/>
      <c r="Z1" s="3"/>
      <c r="AA1" s="3"/>
      <c r="AB1" s="3"/>
      <c r="AC1" s="3"/>
      <c r="AD1" s="933" t="s">
        <v>1</v>
      </c>
      <c r="AE1" s="3"/>
      <c r="AF1" s="3"/>
      <c r="AG1" s="3"/>
      <c r="AH1" s="3"/>
      <c r="AI1" s="3"/>
      <c r="AJ1" s="3"/>
      <c r="AK1" s="3"/>
      <c r="AL1" s="3"/>
      <c r="AM1" s="3"/>
      <c r="AN1" s="3"/>
      <c r="AO1" s="3"/>
      <c r="AP1" s="3"/>
      <c r="AQ1" s="3"/>
      <c r="AR1" s="3"/>
      <c r="AS1" s="3"/>
      <c r="AT1" s="3"/>
      <c r="AU1" s="3"/>
      <c r="AV1" s="3"/>
      <c r="AW1" s="3"/>
      <c r="AX1" s="3"/>
      <c r="AY1" s="3"/>
      <c r="AZ1" s="3"/>
      <c r="BA1" s="3"/>
      <c r="BB1" s="933" t="s">
        <v>1</v>
      </c>
      <c r="BC1" s="3"/>
      <c r="BD1" s="3"/>
      <c r="BE1" s="3"/>
      <c r="BF1" s="3"/>
      <c r="BG1" s="3"/>
      <c r="BH1" s="3"/>
      <c r="BI1" s="3"/>
      <c r="BJ1" s="3"/>
      <c r="BK1" s="3"/>
      <c r="BL1" s="3"/>
      <c r="BM1" s="3"/>
      <c r="BN1" s="3"/>
      <c r="BO1" s="3"/>
      <c r="BP1" s="3"/>
      <c r="BQ1" s="3"/>
      <c r="BR1" s="3"/>
      <c r="BS1" s="3"/>
      <c r="BT1" s="3"/>
      <c r="BU1" s="3"/>
      <c r="BV1" s="3"/>
      <c r="BW1" s="3"/>
      <c r="BX1" s="3"/>
      <c r="BY1" s="3"/>
      <c r="BZ1" s="13" t="s">
        <v>3</v>
      </c>
      <c r="CA1" s="3"/>
      <c r="CB1" s="3"/>
      <c r="CC1" s="3"/>
      <c r="CD1" s="3"/>
      <c r="CE1" s="3"/>
      <c r="CF1" s="3"/>
      <c r="CG1" s="3"/>
      <c r="CH1" s="3"/>
      <c r="CI1" s="3"/>
      <c r="CJ1" s="3"/>
      <c r="CK1" s="3"/>
      <c r="CL1" s="934"/>
    </row>
    <row r="2">
      <c r="A2" s="23"/>
      <c r="B2" s="24"/>
      <c r="C2" s="24"/>
      <c r="D2" s="24"/>
      <c r="E2" s="304"/>
      <c r="F2" s="933" t="s">
        <v>5</v>
      </c>
      <c r="G2" s="3"/>
      <c r="H2" s="17"/>
      <c r="I2" s="933" t="s">
        <v>6</v>
      </c>
      <c r="J2" s="3"/>
      <c r="K2" s="17"/>
      <c r="L2" s="933" t="s">
        <v>7</v>
      </c>
      <c r="M2" s="3"/>
      <c r="N2" s="17"/>
      <c r="O2" s="933" t="s">
        <v>8</v>
      </c>
      <c r="P2" s="3"/>
      <c r="Q2" s="17"/>
      <c r="R2" s="933" t="s">
        <v>9</v>
      </c>
      <c r="S2" s="3"/>
      <c r="T2" s="17"/>
      <c r="U2" s="933" t="s">
        <v>10</v>
      </c>
      <c r="V2" s="3"/>
      <c r="W2" s="17"/>
      <c r="X2" s="933" t="s">
        <v>11</v>
      </c>
      <c r="Y2" s="3"/>
      <c r="Z2" s="17"/>
      <c r="AA2" s="933" t="s">
        <v>12</v>
      </c>
      <c r="AB2" s="3"/>
      <c r="AC2" s="17"/>
      <c r="AD2" s="933" t="s">
        <v>13</v>
      </c>
      <c r="AE2" s="3"/>
      <c r="AF2" s="17"/>
      <c r="AG2" s="933" t="s">
        <v>14</v>
      </c>
      <c r="AH2" s="3"/>
      <c r="AI2" s="17"/>
      <c r="AJ2" s="933" t="s">
        <v>14</v>
      </c>
      <c r="AK2" s="3"/>
      <c r="AL2" s="17"/>
      <c r="AM2" s="933" t="s">
        <v>14</v>
      </c>
      <c r="AN2" s="3"/>
      <c r="AO2" s="17"/>
      <c r="AP2" s="933" t="s">
        <v>14</v>
      </c>
      <c r="AQ2" s="3"/>
      <c r="AR2" s="17"/>
      <c r="AS2" s="933" t="s">
        <v>14</v>
      </c>
      <c r="AT2" s="3"/>
      <c r="AU2" s="17"/>
      <c r="AV2" s="933" t="s">
        <v>14</v>
      </c>
      <c r="AW2" s="3"/>
      <c r="AX2" s="17"/>
      <c r="AY2" s="933" t="s">
        <v>14</v>
      </c>
      <c r="AZ2" s="3"/>
      <c r="BA2" s="17"/>
      <c r="BB2" s="933" t="s">
        <v>14</v>
      </c>
      <c r="BC2" s="3"/>
      <c r="BD2" s="17"/>
      <c r="BE2" s="933" t="s">
        <v>14</v>
      </c>
      <c r="BF2" s="3"/>
      <c r="BG2" s="17"/>
      <c r="BH2" s="933" t="s">
        <v>14</v>
      </c>
      <c r="BI2" s="3"/>
      <c r="BJ2" s="17"/>
      <c r="BK2" s="942" t="s">
        <v>14</v>
      </c>
      <c r="BL2" s="3"/>
      <c r="BM2" s="17"/>
      <c r="BN2" s="942" t="s">
        <v>14</v>
      </c>
      <c r="BO2" s="3"/>
      <c r="BP2" s="17"/>
      <c r="BQ2" s="942" t="s">
        <v>14</v>
      </c>
      <c r="BR2" s="3"/>
      <c r="BS2" s="17"/>
      <c r="BT2" s="942" t="s">
        <v>14</v>
      </c>
      <c r="BU2" s="3"/>
      <c r="BV2" s="17"/>
      <c r="BW2" s="942" t="s">
        <v>14</v>
      </c>
      <c r="BX2" s="3"/>
      <c r="BY2" s="17"/>
      <c r="BZ2" s="942" t="s">
        <v>17</v>
      </c>
      <c r="CA2" s="3"/>
      <c r="CB2" s="17"/>
      <c r="CC2" s="942" t="s">
        <v>19</v>
      </c>
      <c r="CD2" s="3"/>
      <c r="CE2" s="17"/>
      <c r="CF2" s="942" t="s">
        <v>20</v>
      </c>
      <c r="CG2" s="3"/>
      <c r="CH2" s="17"/>
      <c r="CI2" s="942" t="s">
        <v>21</v>
      </c>
      <c r="CJ2" s="3"/>
      <c r="CK2" s="17"/>
      <c r="CL2" s="943"/>
    </row>
    <row r="3">
      <c r="A3" s="23" t="s">
        <v>49</v>
      </c>
      <c r="F3" s="862"/>
      <c r="G3" s="10"/>
      <c r="H3" s="944"/>
      <c r="I3" s="862"/>
      <c r="K3" s="879"/>
      <c r="L3" s="862"/>
      <c r="N3" s="879"/>
      <c r="O3" s="862"/>
      <c r="Q3" s="879"/>
      <c r="R3" s="862"/>
      <c r="T3" s="879"/>
      <c r="U3" s="862"/>
      <c r="W3" s="879"/>
      <c r="X3" s="862"/>
      <c r="Z3" s="879"/>
      <c r="AA3" s="862"/>
      <c r="AC3" s="879"/>
      <c r="AD3" s="862"/>
      <c r="AF3" s="879"/>
      <c r="AG3" s="862" t="s">
        <v>27</v>
      </c>
      <c r="AI3" s="879"/>
      <c r="AJ3" s="862" t="s">
        <v>28</v>
      </c>
      <c r="AL3" s="879"/>
      <c r="AM3" s="862" t="s">
        <v>30</v>
      </c>
      <c r="AO3" s="879"/>
      <c r="AP3" s="862" t="s">
        <v>31</v>
      </c>
      <c r="AR3" s="879"/>
      <c r="AS3" s="862" t="s">
        <v>32</v>
      </c>
      <c r="AU3" s="879"/>
      <c r="AV3" s="862" t="s">
        <v>33</v>
      </c>
      <c r="AX3" s="879"/>
      <c r="AY3" s="862" t="s">
        <v>34</v>
      </c>
      <c r="BA3" s="879"/>
      <c r="BB3" s="862" t="s">
        <v>35</v>
      </c>
      <c r="BD3" s="879"/>
      <c r="BE3" s="862" t="s">
        <v>36</v>
      </c>
      <c r="BG3" s="879"/>
      <c r="BH3" s="862" t="s">
        <v>37</v>
      </c>
      <c r="BJ3" s="879"/>
      <c r="BK3" s="862" t="s">
        <v>38</v>
      </c>
      <c r="BM3" s="879"/>
      <c r="BN3" s="862" t="s">
        <v>40</v>
      </c>
      <c r="BP3" s="879"/>
      <c r="BQ3" s="862" t="s">
        <v>41</v>
      </c>
      <c r="BS3" s="879"/>
      <c r="BT3" s="862" t="s">
        <v>42</v>
      </c>
      <c r="BV3" s="879"/>
      <c r="BW3" s="862" t="s">
        <v>43</v>
      </c>
      <c r="BY3" s="879"/>
      <c r="BZ3" s="862"/>
      <c r="CB3" s="879"/>
      <c r="CC3" s="862"/>
      <c r="CE3" s="879"/>
      <c r="CF3" s="862"/>
      <c r="CH3" s="879"/>
      <c r="CI3" s="862"/>
      <c r="CK3" s="879"/>
      <c r="CL3" s="943"/>
    </row>
    <row r="4">
      <c r="A4" s="946"/>
      <c r="B4" s="947"/>
      <c r="C4" s="947"/>
      <c r="D4" s="947"/>
      <c r="E4" s="947"/>
      <c r="F4" s="53" t="s">
        <v>551</v>
      </c>
      <c r="G4" s="50" t="s">
        <v>552</v>
      </c>
      <c r="H4" s="70" t="s">
        <v>553</v>
      </c>
      <c r="I4" s="53" t="s">
        <v>551</v>
      </c>
      <c r="J4" s="50" t="s">
        <v>552</v>
      </c>
      <c r="K4" s="70" t="s">
        <v>553</v>
      </c>
      <c r="L4" s="53" t="s">
        <v>551</v>
      </c>
      <c r="M4" s="50" t="s">
        <v>552</v>
      </c>
      <c r="N4" s="70" t="s">
        <v>553</v>
      </c>
      <c r="O4" s="53" t="s">
        <v>551</v>
      </c>
      <c r="P4" s="50" t="s">
        <v>552</v>
      </c>
      <c r="Q4" s="70" t="s">
        <v>553</v>
      </c>
      <c r="R4" s="53" t="s">
        <v>551</v>
      </c>
      <c r="S4" s="50" t="s">
        <v>552</v>
      </c>
      <c r="T4" s="70" t="s">
        <v>553</v>
      </c>
      <c r="U4" s="53" t="s">
        <v>551</v>
      </c>
      <c r="V4" s="50" t="s">
        <v>552</v>
      </c>
      <c r="W4" s="70" t="s">
        <v>553</v>
      </c>
      <c r="X4" s="53" t="s">
        <v>551</v>
      </c>
      <c r="Y4" s="50" t="s">
        <v>552</v>
      </c>
      <c r="Z4" s="70" t="s">
        <v>553</v>
      </c>
      <c r="AA4" s="53" t="s">
        <v>551</v>
      </c>
      <c r="AB4" s="50" t="s">
        <v>552</v>
      </c>
      <c r="AC4" s="70" t="s">
        <v>553</v>
      </c>
      <c r="AD4" s="53" t="s">
        <v>551</v>
      </c>
      <c r="AE4" s="50" t="s">
        <v>552</v>
      </c>
      <c r="AF4" s="70" t="s">
        <v>553</v>
      </c>
      <c r="AG4" s="53" t="s">
        <v>551</v>
      </c>
      <c r="AH4" s="50" t="s">
        <v>552</v>
      </c>
      <c r="AI4" s="70" t="s">
        <v>553</v>
      </c>
      <c r="AJ4" s="53" t="s">
        <v>551</v>
      </c>
      <c r="AK4" s="50" t="s">
        <v>552</v>
      </c>
      <c r="AL4" s="70" t="s">
        <v>553</v>
      </c>
      <c r="AM4" s="53" t="s">
        <v>551</v>
      </c>
      <c r="AN4" s="50" t="s">
        <v>552</v>
      </c>
      <c r="AO4" s="70" t="s">
        <v>553</v>
      </c>
      <c r="AP4" s="53" t="s">
        <v>551</v>
      </c>
      <c r="AQ4" s="50" t="s">
        <v>552</v>
      </c>
      <c r="AR4" s="70" t="s">
        <v>553</v>
      </c>
      <c r="AS4" s="53" t="s">
        <v>551</v>
      </c>
      <c r="AT4" s="50" t="s">
        <v>552</v>
      </c>
      <c r="AU4" s="70" t="s">
        <v>553</v>
      </c>
      <c r="AV4" s="53" t="s">
        <v>551</v>
      </c>
      <c r="AW4" s="50" t="s">
        <v>552</v>
      </c>
      <c r="AX4" s="70" t="s">
        <v>553</v>
      </c>
      <c r="AY4" s="53" t="s">
        <v>551</v>
      </c>
      <c r="AZ4" s="50" t="s">
        <v>552</v>
      </c>
      <c r="BA4" s="70" t="s">
        <v>553</v>
      </c>
      <c r="BB4" s="53" t="s">
        <v>551</v>
      </c>
      <c r="BC4" s="50" t="s">
        <v>552</v>
      </c>
      <c r="BD4" s="70" t="s">
        <v>553</v>
      </c>
      <c r="BE4" s="53" t="s">
        <v>551</v>
      </c>
      <c r="BF4" s="50" t="s">
        <v>552</v>
      </c>
      <c r="BG4" s="70" t="s">
        <v>553</v>
      </c>
      <c r="BH4" s="53" t="s">
        <v>551</v>
      </c>
      <c r="BI4" s="50" t="s">
        <v>552</v>
      </c>
      <c r="BJ4" s="70" t="s">
        <v>553</v>
      </c>
      <c r="BK4" s="53" t="s">
        <v>551</v>
      </c>
      <c r="BL4" s="50" t="s">
        <v>552</v>
      </c>
      <c r="BM4" s="70" t="s">
        <v>553</v>
      </c>
      <c r="BN4" s="53" t="s">
        <v>551</v>
      </c>
      <c r="BO4" s="50" t="s">
        <v>552</v>
      </c>
      <c r="BP4" s="70" t="s">
        <v>553</v>
      </c>
      <c r="BQ4" s="53" t="s">
        <v>551</v>
      </c>
      <c r="BR4" s="50" t="s">
        <v>552</v>
      </c>
      <c r="BS4" s="70" t="s">
        <v>553</v>
      </c>
      <c r="BT4" s="53" t="s">
        <v>551</v>
      </c>
      <c r="BU4" s="50" t="s">
        <v>552</v>
      </c>
      <c r="BV4" s="70" t="s">
        <v>553</v>
      </c>
      <c r="BW4" s="53" t="s">
        <v>551</v>
      </c>
      <c r="BX4" s="50" t="s">
        <v>552</v>
      </c>
      <c r="BY4" s="70" t="s">
        <v>553</v>
      </c>
      <c r="BZ4" s="53" t="s">
        <v>551</v>
      </c>
      <c r="CA4" s="50" t="s">
        <v>552</v>
      </c>
      <c r="CB4" s="70" t="s">
        <v>553</v>
      </c>
      <c r="CC4" s="53" t="s">
        <v>551</v>
      </c>
      <c r="CD4" s="50" t="s">
        <v>552</v>
      </c>
      <c r="CE4" s="70" t="s">
        <v>553</v>
      </c>
      <c r="CF4" s="53" t="s">
        <v>551</v>
      </c>
      <c r="CG4" s="50" t="s">
        <v>552</v>
      </c>
      <c r="CH4" s="70" t="s">
        <v>553</v>
      </c>
      <c r="CI4" s="53" t="s">
        <v>551</v>
      </c>
      <c r="CJ4" s="50" t="s">
        <v>552</v>
      </c>
      <c r="CK4" s="70" t="s">
        <v>553</v>
      </c>
      <c r="CL4" s="948"/>
    </row>
    <row r="5">
      <c r="A5" s="949" t="s">
        <v>599</v>
      </c>
      <c r="B5" s="3"/>
      <c r="C5" s="3"/>
      <c r="D5" s="3"/>
      <c r="E5" s="3"/>
      <c r="F5" s="950">
        <f>'Main CEA'!I4</f>
        <v>22.60415752</v>
      </c>
      <c r="G5" s="47"/>
      <c r="H5" s="951"/>
      <c r="I5" s="950">
        <f>'Main CEA'!J4</f>
        <v>15.90795125</v>
      </c>
      <c r="J5" s="47"/>
      <c r="K5" s="951"/>
      <c r="L5" s="950">
        <f>'Main CEA'!K4</f>
        <v>8.539170255</v>
      </c>
      <c r="M5" s="47"/>
      <c r="N5" s="951"/>
      <c r="O5" s="950">
        <f>'Main CEA'!L4</f>
        <v>16.91453322</v>
      </c>
      <c r="P5" s="47"/>
      <c r="Q5" s="951"/>
      <c r="R5" s="950">
        <f>'Main CEA'!M4</f>
        <v>10.93220737</v>
      </c>
      <c r="S5" s="47"/>
      <c r="T5" s="951"/>
      <c r="U5" s="950">
        <f>'Main CEA'!N4</f>
        <v>4.797449632</v>
      </c>
      <c r="V5" s="47"/>
      <c r="W5" s="951"/>
      <c r="X5" s="950">
        <f>'Main CEA'!O4</f>
        <v>15.91291055</v>
      </c>
      <c r="Y5" s="47"/>
      <c r="Z5" s="951"/>
      <c r="AA5" s="950">
        <f>'Main CEA'!P4</f>
        <v>32.8307888</v>
      </c>
      <c r="AB5" s="47"/>
      <c r="AC5" s="951"/>
      <c r="AD5" s="950">
        <f>'Main CEA'!Q4</f>
        <v>59.34334121</v>
      </c>
      <c r="AE5" s="47"/>
      <c r="AF5" s="951"/>
      <c r="AG5" s="950">
        <f>'Main CEA'!R4</f>
        <v>21.47896702</v>
      </c>
      <c r="AH5" s="47"/>
      <c r="AI5" s="951"/>
      <c r="AJ5" s="950">
        <f>'Main CEA'!S4</f>
        <v>4.41378032</v>
      </c>
      <c r="AK5" s="47"/>
      <c r="AL5" s="951"/>
      <c r="AM5" s="950">
        <f>'Main CEA'!T4</f>
        <v>2.306263162</v>
      </c>
      <c r="AN5" s="47"/>
      <c r="AO5" s="951"/>
      <c r="AP5" s="950">
        <f>'Main CEA'!U4</f>
        <v>9.528711546</v>
      </c>
      <c r="AQ5" s="47"/>
      <c r="AR5" s="951"/>
      <c r="AS5" s="950">
        <f>'Main CEA'!V4</f>
        <v>5.198055163</v>
      </c>
      <c r="AT5" s="47"/>
      <c r="AU5" s="951"/>
      <c r="AV5" s="950">
        <f>'Main CEA'!W4</f>
        <v>13.5193518</v>
      </c>
      <c r="AW5" s="47"/>
      <c r="AX5" s="951"/>
      <c r="AY5" s="950">
        <f>'Main CEA'!X4</f>
        <v>3.812617409</v>
      </c>
      <c r="AZ5" s="47"/>
      <c r="BA5" s="951"/>
      <c r="BB5" s="950">
        <f>'Main CEA'!Y4</f>
        <v>5.895050222</v>
      </c>
      <c r="BC5" s="47"/>
      <c r="BD5" s="951"/>
      <c r="BE5" s="950">
        <f>'Main CEA'!Z4</f>
        <v>3.155973833</v>
      </c>
      <c r="BF5" s="47"/>
      <c r="BG5" s="951"/>
      <c r="BH5" s="950">
        <f>'Main CEA'!AA4</f>
        <v>4.188151971</v>
      </c>
      <c r="BI5" s="47"/>
      <c r="BJ5" s="951"/>
      <c r="BK5" s="950">
        <f>'Main CEA'!AB4</f>
        <v>11.97636056</v>
      </c>
      <c r="BL5" s="47"/>
      <c r="BM5" s="951"/>
      <c r="BN5" s="950">
        <f>'Main CEA'!AC4</f>
        <v>4.828298764</v>
      </c>
      <c r="BO5" s="47"/>
      <c r="BP5" s="951"/>
      <c r="BQ5" s="950">
        <f>'Main CEA'!AD4</f>
        <v>2.328547655</v>
      </c>
      <c r="BR5" s="47"/>
      <c r="BS5" s="951"/>
      <c r="BT5" s="950">
        <f>'Main CEA'!AE4</f>
        <v>7.686300139</v>
      </c>
      <c r="BU5" s="47"/>
      <c r="BV5" s="951"/>
      <c r="BW5" s="950">
        <f>'Main CEA'!AF4</f>
        <v>28.9613448</v>
      </c>
      <c r="BX5" s="47"/>
      <c r="BY5" s="951"/>
      <c r="BZ5" s="950">
        <f>'Main CEA'!AG4</f>
        <v>5.627604036</v>
      </c>
      <c r="CA5" s="47"/>
      <c r="CB5" s="951"/>
      <c r="CC5" s="950">
        <f>'Main CEA'!AH4</f>
        <v>20.12427722</v>
      </c>
      <c r="CD5" s="47"/>
      <c r="CE5" s="951"/>
      <c r="CF5" s="950">
        <f>'Main CEA'!AI4</f>
        <v>14.89433335</v>
      </c>
      <c r="CG5" s="47"/>
      <c r="CH5" s="951"/>
      <c r="CI5" s="950">
        <f>'Main CEA'!AJ4</f>
        <v>6.31059923</v>
      </c>
      <c r="CJ5" s="47"/>
      <c r="CK5" s="951"/>
      <c r="CL5" s="959"/>
    </row>
    <row r="6">
      <c r="A6" s="960" t="s">
        <v>601</v>
      </c>
      <c r="B6" s="12"/>
      <c r="C6" s="12"/>
      <c r="D6" s="12"/>
      <c r="E6" s="12"/>
      <c r="F6" s="961"/>
      <c r="G6" s="962"/>
      <c r="H6" s="963"/>
      <c r="I6" s="961"/>
      <c r="J6" s="962"/>
      <c r="K6" s="963"/>
      <c r="L6" s="961"/>
      <c r="M6" s="962"/>
      <c r="N6" s="963"/>
      <c r="O6" s="964"/>
      <c r="P6" s="965"/>
      <c r="Q6" s="966"/>
      <c r="R6" s="964"/>
      <c r="S6" s="965"/>
      <c r="T6" s="966"/>
      <c r="U6" s="964"/>
      <c r="V6" s="965"/>
      <c r="W6" s="966"/>
      <c r="X6" s="964"/>
      <c r="Y6" s="965"/>
      <c r="Z6" s="966"/>
      <c r="AA6" s="961"/>
      <c r="AB6" s="962"/>
      <c r="AC6" s="963"/>
      <c r="AD6" s="961"/>
      <c r="AE6" s="962"/>
      <c r="AF6" s="963"/>
      <c r="AG6" s="961"/>
      <c r="AH6" s="962"/>
      <c r="AI6" s="963"/>
      <c r="AJ6" s="961"/>
      <c r="AK6" s="962"/>
      <c r="AL6" s="963"/>
      <c r="AM6" s="961"/>
      <c r="AN6" s="962"/>
      <c r="AO6" s="963"/>
      <c r="AP6" s="961"/>
      <c r="AQ6" s="962"/>
      <c r="AR6" s="963"/>
      <c r="AS6" s="961"/>
      <c r="AT6" s="962"/>
      <c r="AU6" s="963"/>
      <c r="AV6" s="961"/>
      <c r="AW6" s="962"/>
      <c r="AX6" s="963"/>
      <c r="AY6" s="961"/>
      <c r="AZ6" s="962"/>
      <c r="BA6" s="963"/>
      <c r="BB6" s="961"/>
      <c r="BC6" s="962"/>
      <c r="BD6" s="963"/>
      <c r="BE6" s="961"/>
      <c r="BF6" s="962"/>
      <c r="BG6" s="963"/>
      <c r="BH6" s="961"/>
      <c r="BI6" s="962"/>
      <c r="BJ6" s="963"/>
      <c r="BK6" s="961"/>
      <c r="BL6" s="962"/>
      <c r="BM6" s="963"/>
      <c r="BN6" s="961"/>
      <c r="BO6" s="962"/>
      <c r="BP6" s="963"/>
      <c r="BQ6" s="961"/>
      <c r="BR6" s="962"/>
      <c r="BS6" s="963"/>
      <c r="BT6" s="961"/>
      <c r="BU6" s="962"/>
      <c r="BV6" s="963"/>
      <c r="BW6" s="961"/>
      <c r="BX6" s="962"/>
      <c r="BY6" s="963"/>
      <c r="BZ6" s="961"/>
      <c r="CA6" s="962"/>
      <c r="CB6" s="963"/>
      <c r="CC6" s="961"/>
      <c r="CD6" s="962"/>
      <c r="CE6" s="963"/>
      <c r="CF6" s="961"/>
      <c r="CG6" s="962"/>
      <c r="CH6" s="963"/>
      <c r="CI6" s="961"/>
      <c r="CJ6" s="962"/>
      <c r="CK6" s="963"/>
      <c r="CL6" s="959"/>
    </row>
    <row r="7">
      <c r="A7" s="960" t="s">
        <v>603</v>
      </c>
      <c r="B7" s="12"/>
      <c r="C7" s="12"/>
      <c r="D7" s="12"/>
      <c r="E7" s="12"/>
      <c r="F7" s="886"/>
      <c r="G7" s="887"/>
      <c r="H7" s="888"/>
      <c r="I7" s="886"/>
      <c r="J7" s="887"/>
      <c r="K7" s="888"/>
      <c r="L7" s="886"/>
      <c r="M7" s="887"/>
      <c r="N7" s="888"/>
      <c r="O7" s="886"/>
      <c r="P7" s="965"/>
      <c r="Q7" s="888"/>
      <c r="R7" s="886"/>
      <c r="S7" s="965"/>
      <c r="T7" s="888"/>
      <c r="U7" s="886"/>
      <c r="V7" s="965"/>
      <c r="W7" s="888"/>
      <c r="X7" s="886"/>
      <c r="Y7" s="965"/>
      <c r="Z7" s="888"/>
      <c r="AA7" s="886"/>
      <c r="AB7" s="887"/>
      <c r="AC7" s="888"/>
      <c r="AD7" s="886"/>
      <c r="AE7" s="887"/>
      <c r="AF7" s="888"/>
      <c r="AG7" s="886"/>
      <c r="AH7" s="887"/>
      <c r="AI7" s="888"/>
      <c r="AJ7" s="886"/>
      <c r="AK7" s="887"/>
      <c r="AL7" s="888"/>
      <c r="AM7" s="886"/>
      <c r="AN7" s="887"/>
      <c r="AO7" s="888"/>
      <c r="AP7" s="886"/>
      <c r="AQ7" s="887"/>
      <c r="AR7" s="888"/>
      <c r="AS7" s="886"/>
      <c r="AT7" s="887"/>
      <c r="AU7" s="888"/>
      <c r="AV7" s="886"/>
      <c r="AW7" s="887"/>
      <c r="AX7" s="888"/>
      <c r="AY7" s="886"/>
      <c r="AZ7" s="887"/>
      <c r="BA7" s="888"/>
      <c r="BB7" s="886"/>
      <c r="BC7" s="887"/>
      <c r="BD7" s="888"/>
      <c r="BE7" s="886"/>
      <c r="BF7" s="887"/>
      <c r="BG7" s="888"/>
      <c r="BH7" s="886"/>
      <c r="BI7" s="887"/>
      <c r="BJ7" s="888"/>
      <c r="BK7" s="886"/>
      <c r="BL7" s="887"/>
      <c r="BM7" s="888"/>
      <c r="BN7" s="886"/>
      <c r="BO7" s="887"/>
      <c r="BP7" s="888"/>
      <c r="BQ7" s="886"/>
      <c r="BR7" s="887"/>
      <c r="BS7" s="888"/>
      <c r="BT7" s="886"/>
      <c r="BU7" s="887"/>
      <c r="BV7" s="888"/>
      <c r="BW7" s="886"/>
      <c r="BX7" s="887"/>
      <c r="BY7" s="888"/>
      <c r="BZ7" s="886"/>
      <c r="CA7" s="887"/>
      <c r="CB7" s="888"/>
      <c r="CC7" s="886"/>
      <c r="CD7" s="887"/>
      <c r="CE7" s="888"/>
      <c r="CF7" s="886"/>
      <c r="CG7" s="887"/>
      <c r="CH7" s="888"/>
      <c r="CI7" s="886"/>
      <c r="CJ7" s="887"/>
      <c r="CK7" s="888"/>
      <c r="CL7" s="959"/>
    </row>
    <row r="8" hidden="1">
      <c r="A8" s="198"/>
      <c r="B8" s="198"/>
      <c r="C8" s="61"/>
      <c r="D8" s="61"/>
      <c r="E8" s="923" t="s">
        <v>604</v>
      </c>
      <c r="F8" s="968" t="s">
        <v>605</v>
      </c>
      <c r="G8" s="931"/>
      <c r="H8" s="969"/>
      <c r="I8" s="970"/>
      <c r="J8" s="931"/>
      <c r="K8" s="969"/>
      <c r="L8" s="970"/>
      <c r="M8" s="931"/>
      <c r="N8" s="969"/>
      <c r="O8" s="969"/>
      <c r="P8" s="931"/>
      <c r="Q8" s="969"/>
      <c r="R8" s="969"/>
      <c r="S8" s="931"/>
      <c r="T8" s="969"/>
      <c r="U8" s="969"/>
      <c r="V8" s="931"/>
      <c r="W8" s="969"/>
      <c r="X8" s="969"/>
      <c r="Y8" s="931"/>
      <c r="Z8" s="969"/>
      <c r="AA8" s="970"/>
      <c r="AB8" s="931"/>
      <c r="AC8" s="969"/>
      <c r="AD8" s="970"/>
      <c r="AE8" s="931"/>
      <c r="AF8" s="969"/>
      <c r="AG8" s="970"/>
      <c r="AH8" s="931"/>
      <c r="AI8" s="969"/>
      <c r="AJ8" s="970"/>
      <c r="AK8" s="931"/>
      <c r="AL8" s="969"/>
      <c r="AM8" s="970"/>
      <c r="AN8" s="931"/>
      <c r="AO8" s="969"/>
      <c r="AP8" s="970"/>
      <c r="AQ8" s="931"/>
      <c r="AR8" s="969"/>
      <c r="AS8" s="970"/>
      <c r="AT8" s="931"/>
      <c r="AU8" s="969"/>
      <c r="AV8" s="970"/>
      <c r="AW8" s="931"/>
      <c r="AX8" s="969"/>
      <c r="AY8" s="970"/>
      <c r="AZ8" s="931"/>
      <c r="BA8" s="969"/>
      <c r="BB8" s="970"/>
      <c r="BC8" s="931"/>
      <c r="BD8" s="969"/>
      <c r="BE8" s="970"/>
      <c r="BF8" s="931"/>
      <c r="BG8" s="969"/>
      <c r="BH8" s="970"/>
      <c r="BI8" s="931"/>
      <c r="BJ8" s="969"/>
      <c r="BK8" s="970"/>
      <c r="BL8" s="931"/>
      <c r="BM8" s="969"/>
      <c r="BN8" s="970"/>
      <c r="BO8" s="931"/>
      <c r="BP8" s="969"/>
      <c r="BQ8" s="970"/>
      <c r="BR8" s="931"/>
      <c r="BS8" s="969"/>
      <c r="BT8" s="970"/>
      <c r="BU8" s="931"/>
      <c r="BV8" s="969"/>
      <c r="BW8" s="970"/>
      <c r="BX8" s="931"/>
      <c r="BY8" s="969"/>
      <c r="BZ8" s="970"/>
      <c r="CA8" s="931"/>
      <c r="CB8" s="969"/>
      <c r="CC8" s="970"/>
      <c r="CD8" s="931"/>
      <c r="CE8" s="969"/>
      <c r="CF8" s="970"/>
      <c r="CG8" s="931"/>
      <c r="CH8" s="969"/>
      <c r="CI8" s="970"/>
      <c r="CJ8" s="931"/>
      <c r="CK8" s="969"/>
      <c r="CL8" s="198"/>
    </row>
    <row r="9">
      <c r="A9" s="197"/>
      <c r="B9" s="198"/>
      <c r="C9" s="61"/>
      <c r="D9" s="198"/>
      <c r="E9" s="971" t="str">
        <f t="shared" ref="E9:E19" si="1">E26</f>
        <v>Grant size</v>
      </c>
      <c r="F9" s="972" t="str">
        <f>IFERROR(__xludf.DUMMYFUNCTION("Iferror(IF(
  IFNA(
    FILTER(
      IMPORTRANGE($F$8,""'Sensitivity [""&amp;IF(F$3="""",F$2,F$2&amp;"", ""&amp;F$3)&amp;""]'!D1:D20""),
      IMPORTRANGE($F$8,""'Sensitivity [""&amp;IF(F$3="""",F$2,F$2&amp;"", ""&amp;F$3)&amp;""]'!A1:A20"")=$E9
    ),
    """"
  ) = """",
  ""-"",
  F"&amp;"$5 * ( 1 +
    IFNA(
      FILTER(
        IMPORTRANGE($F$8,""'Sensitivity [""&amp;IF(F$3="""",F$2,F$2&amp;"", ""&amp;F$3)&amp;""]'!D1:D20""),
        IMPORTRANGE($F$8,""'Sensitivity [""&amp;IF(F$3="""",F$2,F$2&amp;"", ""&amp;F$3)&amp;""]'!A1:A20"")=$E9
      ),
      """"
    )
  )
), "&amp;"""-"")
"),"-")</f>
        <v>-</v>
      </c>
      <c r="G9" s="973" t="s">
        <v>165</v>
      </c>
      <c r="H9" s="974"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972"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973" t="s">
        <v>165</v>
      </c>
      <c r="K9" s="974"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972"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973" t="s">
        <v>165</v>
      </c>
      <c r="N9" s="974"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972" t="str">
        <f>IFERROR(__xludf.DUMMYFUNCTION("Iferror(IF(
  IFNA(
    FILTER(
      IMPORTRANGE($F$8,""'Sensitivity [""&amp;IF(O$3="""",O$2,O$2&amp;"", ""&amp;O$3)&amp;""]'!D1:D20""),
      IMPORTRANGE($F$8,""'Sensitivity [""&amp;IF(O$3="""",O$2,O$2&amp;"", ""&amp;O$3)&amp;""]'!A1:A20"")=$E9
    ),
    """"
  ) = """",
  ""-"",
  O"&amp;"$5 * ( 1 +
    IFNA(
      FILTER(
        IMPORTRANGE($F$8,""'Sensitivity [""&amp;IF(O$3="""",O$2,O$2&amp;"", ""&amp;O$3)&amp;""]'!D1:D20""),
        IMPORTRANGE($F$8,""'Sensitivity [""&amp;IF(O$3="""",O$2,O$2&amp;"", ""&amp;O$3)&amp;""]'!A1:A20"")=$E9
      ),
      """"
    )
  )
), "&amp;"""-"")
"),"-")</f>
        <v>-</v>
      </c>
      <c r="P9" s="973" t="s">
        <v>165</v>
      </c>
      <c r="Q9" s="974" t="str">
        <f>IFERROR(__xludf.DUMMYFUNCTION("iferror(IF(
  IFNA(
    FILTER(
      IMPORTRANGE($F$8,""'Sensitivity [""&amp;IF(O$3="""",O$2,O$2&amp;"", ""&amp;O$3)&amp;""]'!E1:E20""),
      IMPORTRANGE($F$8,""'Sensitivity [""&amp;IF(O$3="""",O$2,O$2&amp;"", ""&amp;O$3)&amp;""]'!A1:A20"")=$E9
    ),
    """"
  ) = """",
  ""-"",
  O"&amp;"$5 * ( 1 +
    IFNA(
      FILTER(
        IMPORTRANGE($F$8,""'Sensitivity [""&amp;IF(O$3="""",O$2,O$2&amp;"", ""&amp;O$3)&amp;""]'!E1:E20""),
        IMPORTRANGE($F$8,""'Sensitivity [""&amp;IF(O$3="""",O$2,O$2&amp;"", ""&amp;O$3)&amp;""]'!A1:A20"")=$E9
      ),
      """"
    )
  )
), "&amp;"""-"")
"),"-")</f>
        <v>-</v>
      </c>
      <c r="R9" s="972" t="str">
        <f>IFERROR(__xludf.DUMMYFUNCTION("Iferror(IF(
  IFNA(
    FILTER(
      IMPORTRANGE($F$8,""'Sensitivity [""&amp;IF(R$3="""",R$2,R$2&amp;"", ""&amp;R$3)&amp;""]'!D1:D20""),
      IMPORTRANGE($F$8,""'Sensitivity [""&amp;IF(R$3="""",R$2,R$2&amp;"", ""&amp;R$3)&amp;""]'!A1:A20"")=$E9
    ),
    """"
  ) = """",
  ""-"",
  R"&amp;"$5 * ( 1 +
    IFNA(
      FILTER(
        IMPORTRANGE($F$8,""'Sensitivity [""&amp;IF(R$3="""",R$2,R$2&amp;"", ""&amp;R$3)&amp;""]'!D1:D20""),
        IMPORTRANGE($F$8,""'Sensitivity [""&amp;IF(R$3="""",R$2,R$2&amp;"", ""&amp;R$3)&amp;""]'!A1:A20"")=$E9
      ),
      """"
    )
  )
), "&amp;"""-"")
"),"-")</f>
        <v>-</v>
      </c>
      <c r="S9" s="973" t="s">
        <v>165</v>
      </c>
      <c r="T9" s="974" t="str">
        <f>IFERROR(__xludf.DUMMYFUNCTION("iferror(IF(
  IFNA(
    FILTER(
      IMPORTRANGE($F$8,""'Sensitivity [""&amp;IF(R$3="""",R$2,R$2&amp;"", ""&amp;R$3)&amp;""]'!E1:E20""),
      IMPORTRANGE($F$8,""'Sensitivity [""&amp;IF(R$3="""",R$2,R$2&amp;"", ""&amp;R$3)&amp;""]'!A1:A20"")=$E9
    ),
    """"
  ) = """",
  ""-"",
  R"&amp;"$5 * ( 1 +
    IFNA(
      FILTER(
        IMPORTRANGE($F$8,""'Sensitivity [""&amp;IF(R$3="""",R$2,R$2&amp;"", ""&amp;R$3)&amp;""]'!E1:E20""),
        IMPORTRANGE($F$8,""'Sensitivity [""&amp;IF(R$3="""",R$2,R$2&amp;"", ""&amp;R$3)&amp;""]'!A1:A20"")=$E9
      ),
      """"
    )
  )
), "&amp;"""-"")
"),"-")</f>
        <v>-</v>
      </c>
      <c r="U9" s="972" t="str">
        <f>IFERROR(__xludf.DUMMYFUNCTION("Iferror(IF(
  IFNA(
    FILTER(
      IMPORTRANGE($F$8,""'Sensitivity [""&amp;IF(U$3="""",U$2,U$2&amp;"", ""&amp;U$3)&amp;""]'!D1:D20""),
      IMPORTRANGE($F$8,""'Sensitivity [""&amp;IF(U$3="""",U$2,U$2&amp;"", ""&amp;U$3)&amp;""]'!A1:A20"")=$E9
    ),
    """"
  ) = """",
  ""-"",
  U"&amp;"$5 * ( 1 +
    IFNA(
      FILTER(
        IMPORTRANGE($F$8,""'Sensitivity [""&amp;IF(U$3="""",U$2,U$2&amp;"", ""&amp;U$3)&amp;""]'!D1:D20""),
        IMPORTRANGE($F$8,""'Sensitivity [""&amp;IF(U$3="""",U$2,U$2&amp;"", ""&amp;U$3)&amp;""]'!A1:A20"")=$E9
      ),
      """"
    )
  )
), "&amp;"""-"")
"),"-")</f>
        <v>-</v>
      </c>
      <c r="V9" s="973" t="s">
        <v>165</v>
      </c>
      <c r="W9" s="974" t="str">
        <f>IFERROR(__xludf.DUMMYFUNCTION("iferror(IF(
  IFNA(
    FILTER(
      IMPORTRANGE($F$8,""'Sensitivity [""&amp;IF(U$3="""",U$2,U$2&amp;"", ""&amp;U$3)&amp;""]'!E1:E20""),
      IMPORTRANGE($F$8,""'Sensitivity [""&amp;IF(U$3="""",U$2,U$2&amp;"", ""&amp;U$3)&amp;""]'!A1:A20"")=$E9
    ),
    """"
  ) = """",
  ""-"",
  U"&amp;"$5 * ( 1 +
    IFNA(
      FILTER(
        IMPORTRANGE($F$8,""'Sensitivity [""&amp;IF(U$3="""",U$2,U$2&amp;"", ""&amp;U$3)&amp;""]'!E1:E20""),
        IMPORTRANGE($F$8,""'Sensitivity [""&amp;IF(U$3="""",U$2,U$2&amp;"", ""&amp;U$3)&amp;""]'!A1:A20"")=$E9
      ),
      """"
    )
  )
), "&amp;"""-"")
"),"-")</f>
        <v>-</v>
      </c>
      <c r="X9" s="972" t="str">
        <f>IFERROR(__xludf.DUMMYFUNCTION("Iferror(IF(
  IFNA(
    FILTER(
      IMPORTRANGE($F$8,""'Sensitivity [""&amp;IF(X$3="""",X$2,X$2&amp;"", ""&amp;X$3)&amp;""]'!D1:D20""),
      IMPORTRANGE($F$8,""'Sensitivity [""&amp;IF(X$3="""",X$2,X$2&amp;"", ""&amp;X$3)&amp;""]'!A1:A20"")=$E9
    ),
    """"
  ) = """",
  ""-"",
  X"&amp;"$5 * ( 1 +
    IFNA(
      FILTER(
        IMPORTRANGE($F$8,""'Sensitivity [""&amp;IF(X$3="""",X$2,X$2&amp;"", ""&amp;X$3)&amp;""]'!D1:D20""),
        IMPORTRANGE($F$8,""'Sensitivity [""&amp;IF(X$3="""",X$2,X$2&amp;"", ""&amp;X$3)&amp;""]'!A1:A20"")=$E9
      ),
      """"
    )
  )
), "&amp;"""-"")
"),"-")</f>
        <v>-</v>
      </c>
      <c r="Y9" s="973" t="s">
        <v>165</v>
      </c>
      <c r="Z9" s="974" t="str">
        <f>IFERROR(__xludf.DUMMYFUNCTION("iferror(IF(
  IFNA(
    FILTER(
      IMPORTRANGE($F$8,""'Sensitivity [""&amp;IF(X$3="""",X$2,X$2&amp;"", ""&amp;X$3)&amp;""]'!E1:E20""),
      IMPORTRANGE($F$8,""'Sensitivity [""&amp;IF(X$3="""",X$2,X$2&amp;"", ""&amp;X$3)&amp;""]'!A1:A20"")=$E9
    ),
    """"
  ) = """",
  ""-"",
  X"&amp;"$5 * ( 1 +
    IFNA(
      FILTER(
        IMPORTRANGE($F$8,""'Sensitivity [""&amp;IF(X$3="""",X$2,X$2&amp;"", ""&amp;X$3)&amp;""]'!E1:E20""),
        IMPORTRANGE($F$8,""'Sensitivity [""&amp;IF(X$3="""",X$2,X$2&amp;"", ""&amp;X$3)&amp;""]'!A1:A20"")=$E9
      ),
      """"
    )
  )
), "&amp;"""-"")
"),"-")</f>
        <v>-</v>
      </c>
      <c r="AA9" s="972"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973" t="s">
        <v>165</v>
      </c>
      <c r="AC9" s="974"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972"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973" t="s">
        <v>165</v>
      </c>
      <c r="AF9" s="974"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972"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973" t="s">
        <v>165</v>
      </c>
      <c r="AI9" s="974"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972"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973" t="s">
        <v>165</v>
      </c>
      <c r="AL9" s="974"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972"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973" t="s">
        <v>165</v>
      </c>
      <c r="AO9" s="974"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972"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973" t="s">
        <v>165</v>
      </c>
      <c r="AR9" s="974"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972"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973" t="s">
        <v>165</v>
      </c>
      <c r="AU9" s="974"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972"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973" t="s">
        <v>165</v>
      </c>
      <c r="AX9" s="974"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972"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973" t="s">
        <v>165</v>
      </c>
      <c r="BA9" s="974"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972" t="str">
        <f>IFERROR(__xludf.DUMMYFUNCTION("Iferror(IF(
  IFNA(
    FILTER(
      IMPORTRANGE($F$8,""'Sensitivity [""&amp;IF(BB$3="""",BB$2,BB$2&amp;"", ""&amp;BB$3)&amp;""]'!D1:D20""),
      IMPORTRANGE($F$8,""'Sensitivity [""&amp;IF(BB$3="""",BB$2,BB$2&amp;"", ""&amp;BB$3)&amp;""]'!A1:A20"")=$E9
    ),
    """"
  ) = """",
  """&amp;"-"",
  BB$5 * ( 1 +
    IFNA(
      FILTER(
        IMPORTRANGE($F$8,""'Sensitivity [""&amp;IF(BB$3="""",BB$2,BB$2&amp;"", ""&amp;BB$3)&amp;""]'!D1:D20""),
        IMPORTRANGE($F$8,""'Sensitivity [""&amp;IF(BB$3="""",BB$2,BB$2&amp;"", ""&amp;BB$3)&amp;""]'!A1:A20"")=$E9
      ),
      "&amp;"""""
    )
  )
), ""-"")
"),"-")</f>
        <v>-</v>
      </c>
      <c r="BC9" s="973" t="s">
        <v>165</v>
      </c>
      <c r="BD9" s="974" t="str">
        <f>IFERROR(__xludf.DUMMYFUNCTION("iferror(IF(
  IFNA(
    FILTER(
      IMPORTRANGE($F$8,""'Sensitivity [""&amp;IF(BB$3="""",BB$2,BB$2&amp;"", ""&amp;BB$3)&amp;""]'!E1:E20""),
      IMPORTRANGE($F$8,""'Sensitivity [""&amp;IF(BB$3="""",BB$2,BB$2&amp;"", ""&amp;BB$3)&amp;""]'!A1:A20"")=$E9
    ),
    """"
  ) = """",
  """&amp;"-"",
  BB$5 * ( 1 +
    IFNA(
      FILTER(
        IMPORTRANGE($F$8,""'Sensitivity [""&amp;IF(BB$3="""",BB$2,BB$2&amp;"", ""&amp;BB$3)&amp;""]'!E1:E20""),
        IMPORTRANGE($F$8,""'Sensitivity [""&amp;IF(BB$3="""",BB$2,BB$2&amp;"", ""&amp;BB$3)&amp;""]'!A1:A20"")=$E9
      ),
      "&amp;"""""
    )
  )
), ""-"")
"),"-")</f>
        <v>-</v>
      </c>
      <c r="BE9" s="972" t="str">
        <f>IFERROR(__xludf.DUMMYFUNCTION("Iferror(IF(
  IFNA(
    FILTER(
      IMPORTRANGE($F$8,""'Sensitivity [""&amp;IF(BE$3="""",BE$2,BE$2&amp;"", ""&amp;BE$3)&amp;""]'!D1:D20""),
      IMPORTRANGE($F$8,""'Sensitivity [""&amp;IF(BE$3="""",BE$2,BE$2&amp;"", ""&amp;BE$3)&amp;""]'!A1:A20"")=$E9
    ),
    """"
  ) = """",
  """&amp;"-"",
  BE$5 * ( 1 +
    IFNA(
      FILTER(
        IMPORTRANGE($F$8,""'Sensitivity [""&amp;IF(BE$3="""",BE$2,BE$2&amp;"", ""&amp;BE$3)&amp;""]'!D1:D20""),
        IMPORTRANGE($F$8,""'Sensitivity [""&amp;IF(BE$3="""",BE$2,BE$2&amp;"", ""&amp;BE$3)&amp;""]'!A1:A20"")=$E9
      ),
      "&amp;"""""
    )
  )
), ""-"")
"),"-")</f>
        <v>-</v>
      </c>
      <c r="BF9" s="973" t="s">
        <v>165</v>
      </c>
      <c r="BG9" s="974" t="str">
        <f>IFERROR(__xludf.DUMMYFUNCTION("iferror(IF(
  IFNA(
    FILTER(
      IMPORTRANGE($F$8,""'Sensitivity [""&amp;IF(BE$3="""",BE$2,BE$2&amp;"", ""&amp;BE$3)&amp;""]'!E1:E20""),
      IMPORTRANGE($F$8,""'Sensitivity [""&amp;IF(BE$3="""",BE$2,BE$2&amp;"", ""&amp;BE$3)&amp;""]'!A1:A20"")=$E9
    ),
    """"
  ) = """",
  """&amp;"-"",
  BE$5 * ( 1 +
    IFNA(
      FILTER(
        IMPORTRANGE($F$8,""'Sensitivity [""&amp;IF(BE$3="""",BE$2,BE$2&amp;"", ""&amp;BE$3)&amp;""]'!E1:E20""),
        IMPORTRANGE($F$8,""'Sensitivity [""&amp;IF(BE$3="""",BE$2,BE$2&amp;"", ""&amp;BE$3)&amp;""]'!A1:A20"")=$E9
      ),
      "&amp;"""""
    )
  )
), ""-"")
"),"-")</f>
        <v>-</v>
      </c>
      <c r="BH9" s="972" t="str">
        <f>IFERROR(__xludf.DUMMYFUNCTION("Iferror(IF(
  IFNA(
    FILTER(
      IMPORTRANGE($F$8,""'Sensitivity [""&amp;IF(BH$3="""",BH$2,BH$2&amp;"", ""&amp;BH$3)&amp;""]'!D1:D20""),
      IMPORTRANGE($F$8,""'Sensitivity [""&amp;IF(BH$3="""",BH$2,BH$2&amp;"", ""&amp;BH$3)&amp;""]'!A1:A20"")=$E9
    ),
    """"
  ) = """",
  """&amp;"-"",
  BH$5 * ( 1 +
    IFNA(
      FILTER(
        IMPORTRANGE($F$8,""'Sensitivity [""&amp;IF(BH$3="""",BH$2,BH$2&amp;"", ""&amp;BH$3)&amp;""]'!D1:D20""),
        IMPORTRANGE($F$8,""'Sensitivity [""&amp;IF(BH$3="""",BH$2,BH$2&amp;"", ""&amp;BH$3)&amp;""]'!A1:A20"")=$E9
      ),
      "&amp;"""""
    )
  )
), ""-"")
"),"-")</f>
        <v>-</v>
      </c>
      <c r="BI9" s="973" t="s">
        <v>165</v>
      </c>
      <c r="BJ9" s="974" t="str">
        <f>IFERROR(__xludf.DUMMYFUNCTION("iferror(IF(
  IFNA(
    FILTER(
      IMPORTRANGE($F$8,""'Sensitivity [""&amp;IF(BH$3="""",BH$2,BH$2&amp;"", ""&amp;BH$3)&amp;""]'!E1:E20""),
      IMPORTRANGE($F$8,""'Sensitivity [""&amp;IF(BH$3="""",BH$2,BH$2&amp;"", ""&amp;BH$3)&amp;""]'!A1:A20"")=$E9
    ),
    """"
  ) = """",
  """&amp;"-"",
  BH$5 * ( 1 +
    IFNA(
      FILTER(
        IMPORTRANGE($F$8,""'Sensitivity [""&amp;IF(BH$3="""",BH$2,BH$2&amp;"", ""&amp;BH$3)&amp;""]'!E1:E20""),
        IMPORTRANGE($F$8,""'Sensitivity [""&amp;IF(BH$3="""",BH$2,BH$2&amp;"", ""&amp;BH$3)&amp;""]'!A1:A20"")=$E9
      ),
      "&amp;"""""
    )
  )
), ""-"")
"),"-")</f>
        <v>-</v>
      </c>
      <c r="BK9" s="972" t="str">
        <f>IFERROR(__xludf.DUMMYFUNCTION("Iferror(IF(
  IFNA(
    FILTER(
      IMPORTRANGE($F$8,""'Sensitivity [""&amp;IF(BK$3="""",BK$2,BK$2&amp;"", ""&amp;BK$3)&amp;""]'!D1:D20""),
      IMPORTRANGE($F$8,""'Sensitivity [""&amp;IF(BK$3="""",BK$2,BK$2&amp;"", ""&amp;BK$3)&amp;""]'!A1:A20"")=$E9
    ),
    """"
  ) = """",
  """&amp;"-"",
  BK$5 * ( 1 +
    IFNA(
      FILTER(
        IMPORTRANGE($F$8,""'Sensitivity [""&amp;IF(BK$3="""",BK$2,BK$2&amp;"", ""&amp;BK$3)&amp;""]'!D1:D20""),
        IMPORTRANGE($F$8,""'Sensitivity [""&amp;IF(BK$3="""",BK$2,BK$2&amp;"", ""&amp;BK$3)&amp;""]'!A1:A20"")=$E9
      ),
      "&amp;"""""
    )
  )
), ""-"")
"),"-")</f>
        <v>-</v>
      </c>
      <c r="BL9" s="973" t="s">
        <v>165</v>
      </c>
      <c r="BM9" s="974" t="str">
        <f>IFERROR(__xludf.DUMMYFUNCTION("iferror(IF(
  IFNA(
    FILTER(
      IMPORTRANGE($F$8,""'Sensitivity [""&amp;IF(BK$3="""",BK$2,BK$2&amp;"", ""&amp;BK$3)&amp;""]'!E1:E20""),
      IMPORTRANGE($F$8,""'Sensitivity [""&amp;IF(BK$3="""",BK$2,BK$2&amp;"", ""&amp;BK$3)&amp;""]'!A1:A20"")=$E9
    ),
    """"
  ) = """",
  """&amp;"-"",
  BK$5 * ( 1 +
    IFNA(
      FILTER(
        IMPORTRANGE($F$8,""'Sensitivity [""&amp;IF(BK$3="""",BK$2,BK$2&amp;"", ""&amp;BK$3)&amp;""]'!E1:E20""),
        IMPORTRANGE($F$8,""'Sensitivity [""&amp;IF(BK$3="""",BK$2,BK$2&amp;"", ""&amp;BK$3)&amp;""]'!A1:A20"")=$E9
      ),
      "&amp;"""""
    )
  )
), ""-"")
"),"-")</f>
        <v>-</v>
      </c>
      <c r="BN9" s="972" t="str">
        <f>IFERROR(__xludf.DUMMYFUNCTION("Iferror(IF(
  IFNA(
    FILTER(
      IMPORTRANGE($F$8,""'Sensitivity [""&amp;IF(BN$3="""",BN$2,BN$2&amp;"", ""&amp;BN$3)&amp;""]'!D1:D20""),
      IMPORTRANGE($F$8,""'Sensitivity [""&amp;IF(BN$3="""",BN$2,BN$2&amp;"", ""&amp;BN$3)&amp;""]'!A1:A20"")=$E9
    ),
    """"
  ) = """",
  """&amp;"-"",
  BN$5 * ( 1 +
    IFNA(
      FILTER(
        IMPORTRANGE($F$8,""'Sensitivity [""&amp;IF(BN$3="""",BN$2,BN$2&amp;"", ""&amp;BN$3)&amp;""]'!D1:D20""),
        IMPORTRANGE($F$8,""'Sensitivity [""&amp;IF(BN$3="""",BN$2,BN$2&amp;"", ""&amp;BN$3)&amp;""]'!A1:A20"")=$E9
      ),
      "&amp;"""""
    )
  )
), ""-"")
"),"-")</f>
        <v>-</v>
      </c>
      <c r="BO9" s="973" t="s">
        <v>165</v>
      </c>
      <c r="BP9" s="974" t="str">
        <f>IFERROR(__xludf.DUMMYFUNCTION("iferror(IF(
  IFNA(
    FILTER(
      IMPORTRANGE($F$8,""'Sensitivity [""&amp;IF(BN$3="""",BN$2,BN$2&amp;"", ""&amp;BN$3)&amp;""]'!E1:E20""),
      IMPORTRANGE($F$8,""'Sensitivity [""&amp;IF(BN$3="""",BN$2,BN$2&amp;"", ""&amp;BN$3)&amp;""]'!A1:A20"")=$E9
    ),
    """"
  ) = """",
  """&amp;"-"",
  BN$5 * ( 1 +
    IFNA(
      FILTER(
        IMPORTRANGE($F$8,""'Sensitivity [""&amp;IF(BN$3="""",BN$2,BN$2&amp;"", ""&amp;BN$3)&amp;""]'!E1:E20""),
        IMPORTRANGE($F$8,""'Sensitivity [""&amp;IF(BN$3="""",BN$2,BN$2&amp;"", ""&amp;BN$3)&amp;""]'!A1:A20"")=$E9
      ),
      "&amp;"""""
    )
  )
), ""-"")
"),"-")</f>
        <v>-</v>
      </c>
      <c r="BQ9" s="972" t="str">
        <f>IFERROR(__xludf.DUMMYFUNCTION("Iferror(IF(
  IFNA(
    FILTER(
      IMPORTRANGE($F$8,""'Sensitivity [""&amp;IF(BQ$3="""",BQ$2,BQ$2&amp;"", ""&amp;BQ$3)&amp;""]'!D1:D20""),
      IMPORTRANGE($F$8,""'Sensitivity [""&amp;IF(BQ$3="""",BQ$2,BQ$2&amp;"", ""&amp;BQ$3)&amp;""]'!A1:A20"")=$E9
    ),
    """"
  ) = """",
  """&amp;"-"",
  BQ$5 * ( 1 +
    IFNA(
      FILTER(
        IMPORTRANGE($F$8,""'Sensitivity [""&amp;IF(BQ$3="""",BQ$2,BQ$2&amp;"", ""&amp;BQ$3)&amp;""]'!D1:D20""),
        IMPORTRANGE($F$8,""'Sensitivity [""&amp;IF(BQ$3="""",BQ$2,BQ$2&amp;"", ""&amp;BQ$3)&amp;""]'!A1:A20"")=$E9
      ),
      "&amp;"""""
    )
  )
), ""-"")
"),"-")</f>
        <v>-</v>
      </c>
      <c r="BR9" s="973" t="s">
        <v>165</v>
      </c>
      <c r="BS9" s="974" t="str">
        <f>IFERROR(__xludf.DUMMYFUNCTION("iferror(IF(
  IFNA(
    FILTER(
      IMPORTRANGE($F$8,""'Sensitivity [""&amp;IF(BQ$3="""",BQ$2,BQ$2&amp;"", ""&amp;BQ$3)&amp;""]'!E1:E20""),
      IMPORTRANGE($F$8,""'Sensitivity [""&amp;IF(BQ$3="""",BQ$2,BQ$2&amp;"", ""&amp;BQ$3)&amp;""]'!A1:A20"")=$E9
    ),
    """"
  ) = """",
  """&amp;"-"",
  BQ$5 * ( 1 +
    IFNA(
      FILTER(
        IMPORTRANGE($F$8,""'Sensitivity [""&amp;IF(BQ$3="""",BQ$2,BQ$2&amp;"", ""&amp;BQ$3)&amp;""]'!E1:E20""),
        IMPORTRANGE($F$8,""'Sensitivity [""&amp;IF(BQ$3="""",BQ$2,BQ$2&amp;"", ""&amp;BQ$3)&amp;""]'!A1:A20"")=$E9
      ),
      "&amp;"""""
    )
  )
), ""-"")
"),"-")</f>
        <v>-</v>
      </c>
      <c r="BT9" s="972" t="str">
        <f>IFERROR(__xludf.DUMMYFUNCTION("Iferror(IF(
  IFNA(
    FILTER(
      IMPORTRANGE($F$8,""'Sensitivity [""&amp;IF(BT$3="""",BT$2,BT$2&amp;"", ""&amp;BT$3)&amp;""]'!D1:D20""),
      IMPORTRANGE($F$8,""'Sensitivity [""&amp;IF(BT$3="""",BT$2,BT$2&amp;"", ""&amp;BT$3)&amp;""]'!A1:A20"")=$E9
    ),
    """"
  ) = """",
  """&amp;"-"",
  BT$5 * ( 1 +
    IFNA(
      FILTER(
        IMPORTRANGE($F$8,""'Sensitivity [""&amp;IF(BT$3="""",BT$2,BT$2&amp;"", ""&amp;BT$3)&amp;""]'!D1:D20""),
        IMPORTRANGE($F$8,""'Sensitivity [""&amp;IF(BT$3="""",BT$2,BT$2&amp;"", ""&amp;BT$3)&amp;""]'!A1:A20"")=$E9
      ),
      "&amp;"""""
    )
  )
), ""-"")
"),"-")</f>
        <v>-</v>
      </c>
      <c r="BU9" s="973" t="s">
        <v>165</v>
      </c>
      <c r="BV9" s="974" t="str">
        <f>IFERROR(__xludf.DUMMYFUNCTION("iferror(IF(
  IFNA(
    FILTER(
      IMPORTRANGE($F$8,""'Sensitivity [""&amp;IF(BT$3="""",BT$2,BT$2&amp;"", ""&amp;BT$3)&amp;""]'!E1:E20""),
      IMPORTRANGE($F$8,""'Sensitivity [""&amp;IF(BT$3="""",BT$2,BT$2&amp;"", ""&amp;BT$3)&amp;""]'!A1:A20"")=$E9
    ),
    """"
  ) = """",
  """&amp;"-"",
  BT$5 * ( 1 +
    IFNA(
      FILTER(
        IMPORTRANGE($F$8,""'Sensitivity [""&amp;IF(BT$3="""",BT$2,BT$2&amp;"", ""&amp;BT$3)&amp;""]'!E1:E20""),
        IMPORTRANGE($F$8,""'Sensitivity [""&amp;IF(BT$3="""",BT$2,BT$2&amp;"", ""&amp;BT$3)&amp;""]'!A1:A20"")=$E9
      ),
      "&amp;"""""
    )
  )
), ""-"")
"),"-")</f>
        <v>-</v>
      </c>
      <c r="BW9" s="972" t="str">
        <f>IFERROR(__xludf.DUMMYFUNCTION("Iferror(IF(
  IFNA(
    FILTER(
      IMPORTRANGE($F$8,""'Sensitivity [""&amp;IF(BW$3="""",BW$2,BW$2&amp;"", ""&amp;BW$3)&amp;""]'!D1:D20""),
      IMPORTRANGE($F$8,""'Sensitivity [""&amp;IF(BW$3="""",BW$2,BW$2&amp;"", ""&amp;BW$3)&amp;""]'!A1:A20"")=$E9
    ),
    """"
  ) = """",
  """&amp;"-"",
  BW$5 * ( 1 +
    IFNA(
      FILTER(
        IMPORTRANGE($F$8,""'Sensitivity [""&amp;IF(BW$3="""",BW$2,BW$2&amp;"", ""&amp;BW$3)&amp;""]'!D1:D20""),
        IMPORTRANGE($F$8,""'Sensitivity [""&amp;IF(BW$3="""",BW$2,BW$2&amp;"", ""&amp;BW$3)&amp;""]'!A1:A20"")=$E9
      ),
      "&amp;"""""
    )
  )
), ""-"")
"),"-")</f>
        <v>-</v>
      </c>
      <c r="BX9" s="973" t="s">
        <v>165</v>
      </c>
      <c r="BY9" s="974" t="str">
        <f>IFERROR(__xludf.DUMMYFUNCTION("iferror(IF(
  IFNA(
    FILTER(
      IMPORTRANGE($F$8,""'Sensitivity [""&amp;IF(BW$3="""",BW$2,BW$2&amp;"", ""&amp;BW$3)&amp;""]'!E1:E20""),
      IMPORTRANGE($F$8,""'Sensitivity [""&amp;IF(BW$3="""",BW$2,BW$2&amp;"", ""&amp;BW$3)&amp;""]'!A1:A20"")=$E9
    ),
    """"
  ) = """",
  """&amp;"-"",
  BW$5 * ( 1 +
    IFNA(
      FILTER(
        IMPORTRANGE($F$8,""'Sensitivity [""&amp;IF(BW$3="""",BW$2,BW$2&amp;"", ""&amp;BW$3)&amp;""]'!E1:E20""),
        IMPORTRANGE($F$8,""'Sensitivity [""&amp;IF(BW$3="""",BW$2,BW$2&amp;"", ""&amp;BW$3)&amp;""]'!A1:A20"")=$E9
      ),
      "&amp;"""""
    )
  )
), ""-"")
"),"-")</f>
        <v>-</v>
      </c>
      <c r="BZ9" s="972" t="str">
        <f>IFERROR(__xludf.DUMMYFUNCTION("Iferror(IF(
  IFNA(
    FILTER(
      IMPORTRANGE($F$8,""'Sensitivity [""&amp;IF(BZ$3="""",BZ$2,BZ$2&amp;"", ""&amp;BZ$3)&amp;""]'!D1:D20""),
      IMPORTRANGE($F$8,""'Sensitivity [""&amp;IF(BZ$3="""",BZ$2,BZ$2&amp;"", ""&amp;BZ$3)&amp;""]'!A1:A20"")=$E9
    ),
    """"
  ) = """",
  """&amp;"-"",
  BZ$5 * ( 1 +
    IFNA(
      FILTER(
        IMPORTRANGE($F$8,""'Sensitivity [""&amp;IF(BZ$3="""",BZ$2,BZ$2&amp;"", ""&amp;BZ$3)&amp;""]'!D1:D20""),
        IMPORTRANGE($F$8,""'Sensitivity [""&amp;IF(BZ$3="""",BZ$2,BZ$2&amp;"", ""&amp;BZ$3)&amp;""]'!A1:A20"")=$E9
      ),
      "&amp;"""""
    )
  )
), ""-"")
"),"-")</f>
        <v>-</v>
      </c>
      <c r="CA9" s="973" t="s">
        <v>165</v>
      </c>
      <c r="CB9" s="974" t="str">
        <f>IFERROR(__xludf.DUMMYFUNCTION("iferror(IF(
  IFNA(
    FILTER(
      IMPORTRANGE($F$8,""'Sensitivity [""&amp;IF(BZ$3="""",BZ$2,BZ$2&amp;"", ""&amp;BZ$3)&amp;""]'!E1:E20""),
      IMPORTRANGE($F$8,""'Sensitivity [""&amp;IF(BZ$3="""",BZ$2,BZ$2&amp;"", ""&amp;BZ$3)&amp;""]'!A1:A20"")=$E9
    ),
    """"
  ) = """",
  """&amp;"-"",
  BZ$5 * ( 1 +
    IFNA(
      FILTER(
        IMPORTRANGE($F$8,""'Sensitivity [""&amp;IF(BZ$3="""",BZ$2,BZ$2&amp;"", ""&amp;BZ$3)&amp;""]'!E1:E20""),
        IMPORTRANGE($F$8,""'Sensitivity [""&amp;IF(BZ$3="""",BZ$2,BZ$2&amp;"", ""&amp;BZ$3)&amp;""]'!A1:A20"")=$E9
      ),
      "&amp;"""""
    )
  )
), ""-"")
"),"-")</f>
        <v>-</v>
      </c>
      <c r="CC9" s="972" t="str">
        <f>IFERROR(__xludf.DUMMYFUNCTION("Iferror(IF(
  IFNA(
    FILTER(
      IMPORTRANGE($F$8,""'Sensitivity [""&amp;IF(CC$3="""",CC$2,CC$2&amp;"", ""&amp;CC$3)&amp;""]'!D1:D20""),
      IMPORTRANGE($F$8,""'Sensitivity [""&amp;IF(CC$3="""",CC$2,CC$2&amp;"", ""&amp;CC$3)&amp;""]'!A1:A20"")=$E9
    ),
    """"
  ) = """",
  """&amp;"-"",
  CC$5 * ( 1 +
    IFNA(
      FILTER(
        IMPORTRANGE($F$8,""'Sensitivity [""&amp;IF(CC$3="""",CC$2,CC$2&amp;"", ""&amp;CC$3)&amp;""]'!D1:D20""),
        IMPORTRANGE($F$8,""'Sensitivity [""&amp;IF(CC$3="""",CC$2,CC$2&amp;"", ""&amp;CC$3)&amp;""]'!A1:A20"")=$E9
      ),
      "&amp;"""""
    )
  )
), ""-"")
"),"-")</f>
        <v>-</v>
      </c>
      <c r="CD9" s="973" t="s">
        <v>165</v>
      </c>
      <c r="CE9" s="974" t="str">
        <f>IFERROR(__xludf.DUMMYFUNCTION("iferror(IF(
  IFNA(
    FILTER(
      IMPORTRANGE($F$8,""'Sensitivity [""&amp;IF(CC$3="""",CC$2,CC$2&amp;"", ""&amp;CC$3)&amp;""]'!E1:E20""),
      IMPORTRANGE($F$8,""'Sensitivity [""&amp;IF(CC$3="""",CC$2,CC$2&amp;"", ""&amp;CC$3)&amp;""]'!A1:A20"")=$E9
    ),
    """"
  ) = """",
  """&amp;"-"",
  CC$5 * ( 1 +
    IFNA(
      FILTER(
        IMPORTRANGE($F$8,""'Sensitivity [""&amp;IF(CC$3="""",CC$2,CC$2&amp;"", ""&amp;CC$3)&amp;""]'!E1:E20""),
        IMPORTRANGE($F$8,""'Sensitivity [""&amp;IF(CC$3="""",CC$2,CC$2&amp;"", ""&amp;CC$3)&amp;""]'!A1:A20"")=$E9
      ),
      "&amp;"""""
    )
  )
), ""-"")
"),"-")</f>
        <v>-</v>
      </c>
      <c r="CF9" s="972" t="str">
        <f>IFERROR(__xludf.DUMMYFUNCTION("Iferror(IF(
  IFNA(
    FILTER(
      IMPORTRANGE($F$8,""'Sensitivity [""&amp;IF(CF$3="""",CF$2,CF$2&amp;"", ""&amp;CF$3)&amp;""]'!D1:D20""),
      IMPORTRANGE($F$8,""'Sensitivity [""&amp;IF(CF$3="""",CF$2,CF$2&amp;"", ""&amp;CF$3)&amp;""]'!A1:A20"")=$E9
    ),
    """"
  ) = """",
  """&amp;"-"",
  CF$5 * ( 1 +
    IFNA(
      FILTER(
        IMPORTRANGE($F$8,""'Sensitivity [""&amp;IF(CF$3="""",CF$2,CF$2&amp;"", ""&amp;CF$3)&amp;""]'!D1:D20""),
        IMPORTRANGE($F$8,""'Sensitivity [""&amp;IF(CF$3="""",CF$2,CF$2&amp;"", ""&amp;CF$3)&amp;""]'!A1:A20"")=$E9
      ),
      "&amp;"""""
    )
  )
), ""-"")
"),"-")</f>
        <v>-</v>
      </c>
      <c r="CG9" s="973" t="s">
        <v>165</v>
      </c>
      <c r="CH9" s="974" t="str">
        <f>IFERROR(__xludf.DUMMYFUNCTION("iferror(IF(
  IFNA(
    FILTER(
      IMPORTRANGE($F$8,""'Sensitivity [""&amp;IF(CF$3="""",CF$2,CF$2&amp;"", ""&amp;CF$3)&amp;""]'!E1:E20""),
      IMPORTRANGE($F$8,""'Sensitivity [""&amp;IF(CF$3="""",CF$2,CF$2&amp;"", ""&amp;CF$3)&amp;""]'!A1:A20"")=$E9
    ),
    """"
  ) = """",
  """&amp;"-"",
  CF$5 * ( 1 +
    IFNA(
      FILTER(
        IMPORTRANGE($F$8,""'Sensitivity [""&amp;IF(CF$3="""",CF$2,CF$2&amp;"", ""&amp;CF$3)&amp;""]'!E1:E20""),
        IMPORTRANGE($F$8,""'Sensitivity [""&amp;IF(CF$3="""",CF$2,CF$2&amp;"", ""&amp;CF$3)&amp;""]'!A1:A20"")=$E9
      ),
      "&amp;"""""
    )
  )
), ""-"")
"),"-")</f>
        <v>-</v>
      </c>
      <c r="CI9" s="972" t="str">
        <f>IFERROR(__xludf.DUMMYFUNCTION("Iferror(IF(
  IFNA(
    FILTER(
      IMPORTRANGE($F$8,""'Sensitivity [""&amp;IF(CI$3="""",CI$2,CI$2&amp;"", ""&amp;CI$3)&amp;""]'!D1:D20""),
      IMPORTRANGE($F$8,""'Sensitivity [""&amp;IF(CI$3="""",CI$2,CI$2&amp;"", ""&amp;CI$3)&amp;""]'!A1:A20"")=$E9
    ),
    """"
  ) = """",
  """&amp;"-"",
  CI$5 * ( 1 +
    IFNA(
      FILTER(
        IMPORTRANGE($F$8,""'Sensitivity [""&amp;IF(CI$3="""",CI$2,CI$2&amp;"", ""&amp;CI$3)&amp;""]'!D1:D20""),
        IMPORTRANGE($F$8,""'Sensitivity [""&amp;IF(CI$3="""",CI$2,CI$2&amp;"", ""&amp;CI$3)&amp;""]'!A1:A20"")=$E9
      ),
      "&amp;"""""
    )
  )
), ""-"")
"),"-")</f>
        <v>-</v>
      </c>
      <c r="CJ9" s="973" t="s">
        <v>165</v>
      </c>
      <c r="CK9" s="974" t="str">
        <f>IFERROR(__xludf.DUMMYFUNCTION("iferror(IF(
  IFNA(
    FILTER(
      IMPORTRANGE($F$8,""'Sensitivity [""&amp;IF(CI$3="""",CI$2,CI$2&amp;"", ""&amp;CI$3)&amp;""]'!E1:E20""),
      IMPORTRANGE($F$8,""'Sensitivity [""&amp;IF(CI$3="""",CI$2,CI$2&amp;"", ""&amp;CI$3)&amp;""]'!A1:A20"")=$E9
    ),
    """"
  ) = """",
  """&amp;"-"",
  CI$5 * ( 1 +
    IFNA(
      FILTER(
        IMPORTRANGE($F$8,""'Sensitivity [""&amp;IF(CI$3="""",CI$2,CI$2&amp;"", ""&amp;CI$3)&amp;""]'!E1:E20""),
        IMPORTRANGE($F$8,""'Sensitivity [""&amp;IF(CI$3="""",CI$2,CI$2&amp;"", ""&amp;CI$3)&amp;""]'!A1:A20"")=$E9
      ),
      "&amp;"""""
    )
  )
), ""-"")
"),"-")</f>
        <v>-</v>
      </c>
      <c r="CL9" s="198"/>
    </row>
    <row r="10">
      <c r="A10" s="889"/>
      <c r="B10" s="890"/>
      <c r="C10" s="890"/>
      <c r="D10" s="890"/>
      <c r="E10" s="992" t="str">
        <f t="shared" si="1"/>
        <v>Cost per person under age five reached</v>
      </c>
      <c r="F10" s="972">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"),36.9290104076509)</f>
        <v>36.92901041</v>
      </c>
      <c r="G10" s="993" t="s">
        <v>165</v>
      </c>
      <c r="H10" s="974">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"),10.610200751451911)</f>
        <v>10.61020075</v>
      </c>
      <c r="I10" s="972">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"),24.10968255460751)</f>
        <v>24.10968255</v>
      </c>
      <c r="J10" s="993" t="s">
        <v>165</v>
      </c>
      <c r="K10" s="974">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"),7.091083104296367)</f>
        <v>7.091083104</v>
      </c>
      <c r="L10" s="972">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"),14.004709768716776)</f>
        <v>14.00470977</v>
      </c>
      <c r="M10" s="993" t="s">
        <v>165</v>
      </c>
      <c r="N10" s="974">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"),3.977991490724994)</f>
        <v>3.977991491</v>
      </c>
      <c r="O10" s="972">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"),28.209115461667338)</f>
        <v>28.20911546</v>
      </c>
      <c r="P10" s="993" t="s">
        <v>165</v>
      </c>
      <c r="Q10" s="974">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"),8.012705948255688)</f>
        <v>8.012705948</v>
      </c>
      <c r="R10" s="972">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"),14.631315862074176)</f>
        <v>14.63131586</v>
      </c>
      <c r="S10" s="993" t="s">
        <v>165</v>
      </c>
      <c r="T10" s="974">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"),4.5984135566518916)</f>
        <v>4.598413557</v>
      </c>
      <c r="U10" s="972">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"),7.880379945182351)</f>
        <v>7.880379945</v>
      </c>
      <c r="V10" s="993" t="s">
        <v>165</v>
      </c>
      <c r="W10" s="974">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"),2.2383958599156033)</f>
        <v>2.23839586</v>
      </c>
      <c r="X10" s="972">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"),26.258334190284845)</f>
        <v>26.25833419</v>
      </c>
      <c r="Y10" s="993" t="s">
        <v>165</v>
      </c>
      <c r="Z10" s="974">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"),7.458592980119835)</f>
        <v>7.45859298</v>
      </c>
      <c r="AA10" s="972">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"),51.75976071117415)</f>
        <v>51.75976071</v>
      </c>
      <c r="AB10" s="993" t="s">
        <v>165</v>
      </c>
      <c r="AC10" s="974">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"),13.701113129428482)</f>
        <v>13.70111313</v>
      </c>
      <c r="AD10" s="972">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"),90.1350643077399)</f>
        <v>90.13506431</v>
      </c>
      <c r="AE10" s="993" t="s">
        <v>165</v>
      </c>
      <c r="AF10" s="974">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"),24.282962530395597)</f>
        <v>24.28296253</v>
      </c>
      <c r="AG10" s="972">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"),35.48125033140665)</f>
        <v>35.48125033</v>
      </c>
      <c r="AH10" s="993" t="s">
        <v>165</v>
      </c>
      <c r="AI10" s="974">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"),10.078331806197214)</f>
        <v>10.07833181</v>
      </c>
      <c r="AJ10" s="972">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"),7.1850168979163485)</f>
        <v>7.185016898</v>
      </c>
      <c r="AK10" s="993" t="s">
        <v>165</v>
      </c>
      <c r="AL10" s="974">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"),2.0408802861785675)</f>
        <v>2.040880286</v>
      </c>
      <c r="AM10" s="972">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"),3.813305178033859)</f>
        <v>3.813305178</v>
      </c>
      <c r="AN10" s="993" t="s">
        <v>165</v>
      </c>
      <c r="AO10" s="974">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"),1.0831567237216821)</f>
        <v>1.083156724</v>
      </c>
      <c r="AP10" s="972">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"),15.77430947576947)</f>
        <v>15.77430948</v>
      </c>
      <c r="AQ10" s="993" t="s">
        <v>165</v>
      </c>
      <c r="AR10" s="974">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"),4.480640434751647)</f>
        <v>4.480640435</v>
      </c>
      <c r="AS10" s="972">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"),8.565549437031844)</f>
        <v>8.565549437</v>
      </c>
      <c r="AT10" s="993" t="s">
        <v>165</v>
      </c>
      <c r="AU10" s="974">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"),2.4330159879506743)</f>
        <v>2.433015988</v>
      </c>
      <c r="AV10" s="972">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"),22.10525943282258)</f>
        <v>22.10525943</v>
      </c>
      <c r="AW10" s="993" t="s">
        <v>165</v>
      </c>
      <c r="AX10" s="974">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"),6.278925831113026)</f>
        <v>6.278925831</v>
      </c>
      <c r="AY10" s="972">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"),6.443205689893284)</f>
        <v>6.44320569</v>
      </c>
      <c r="AZ10" s="993" t="s">
        <v>165</v>
      </c>
      <c r="BA10" s="974">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"),1.8301712660008163)</f>
        <v>1.830171266</v>
      </c>
      <c r="BB10" s="972">
        <f>IFERROR(__xludf.DUMMYFUNCTION("Iferror(IF(
  IFNA(
    FILTER(
      IMPORTRANGE($F$8,""'Sensitivity [""&amp;IF(BB$3="""",BB$2,BB$2&amp;"", ""&amp;BB$3)&amp;""]'!D1:D20""),
      IMPORTRANGE($F$8,""'Sensitivity [""&amp;IF(BB$3="""",BB$2,BB$2&amp;"", ""&amp;BB$3)&amp;""]'!A1:A20"")=$E10
    ),
    """"
  ) = """",
  "&amp;"""-"",
  BB$5 * ( 1 +
    IFNA(
      FILTER(
        IMPORTRANGE($F$8,""'Sensitivity [""&amp;IF(BB$3="""",BB$2,BB$2&amp;"", ""&amp;BB$3)&amp;""]'!D1:D20""),
        IMPORTRANGE($F$8,""'Sensitivity [""&amp;IF(BB$3="""",BB$2,BB$2&amp;"", ""&amp;BB$3)&amp;""]'!A1:A20"")=$E10
      ),
    "&amp;"  """"
    )
  )
), ""-"")
"),9.623474809561392)</f>
        <v>9.62347481</v>
      </c>
      <c r="BC10" s="993" t="s">
        <v>165</v>
      </c>
      <c r="BD10" s="974">
        <f>IFERROR(__xludf.DUMMYFUNCTION("iferror(IF(
  IFNA(
    FILTER(
      IMPORTRANGE($F$8,""'Sensitivity [""&amp;IF(BB$3="""",BB$2,BB$2&amp;"", ""&amp;BB$3)&amp;""]'!E1:E20""),
      IMPORTRANGE($F$8,""'Sensitivity [""&amp;IF(BB$3="""",BB$2,BB$2&amp;"", ""&amp;BB$3)&amp;""]'!A1:A20"")=$E10
    ),
    """"
  ) = """",
  "&amp;"""-"",
  BB$5 * ( 1 +
    IFNA(
      FILTER(
        IMPORTRANGE($F$8,""'Sensitivity [""&amp;IF(BB$3="""",BB$2,BB$2&amp;"", ""&amp;BB$3)&amp;""]'!E1:E20""),
        IMPORTRANGE($F$8,""'Sensitivity [""&amp;IF(BB$3="""",BB$2,BB$2&amp;"", ""&amp;BB$3)&amp;""]'!A1:A20"")=$E10
      ),
    "&amp;"  """"
    )
  )
), ""-"")
"),2.7335161910427277)</f>
        <v>2.733516191</v>
      </c>
      <c r="BE10" s="972">
        <f>IFERROR(__xludf.DUMMYFUNCTION("Iferror(IF(
  IFNA(
    FILTER(
      IMPORTRANGE($F$8,""'Sensitivity [""&amp;IF(BE$3="""",BE$2,BE$2&amp;"", ""&amp;BE$3)&amp;""]'!D1:D20""),
      IMPORTRANGE($F$8,""'Sensitivity [""&amp;IF(BE$3="""",BE$2,BE$2&amp;"", ""&amp;BE$3)&amp;""]'!A1:A20"")=$E10
    ),
    """"
  ) = """",
  "&amp;"""-"",
  BE$5 * ( 1 +
    IFNA(
      FILTER(
        IMPORTRANGE($F$8,""'Sensitivity [""&amp;IF(BE$3="""",BE$2,BE$2&amp;"", ""&amp;BE$3)&amp;""]'!D1:D20""),
        IMPORTRANGE($F$8,""'Sensitivity [""&amp;IF(BE$3="""",BE$2,BE$2&amp;"", ""&amp;BE$3)&amp;""]'!A1:A20"")=$E10
      ),
    "&amp;"  """"
    )
  )
), ""-"")
"),5.1634094857811235)</f>
        <v>5.163409486</v>
      </c>
      <c r="BF10" s="993" t="s">
        <v>165</v>
      </c>
      <c r="BG10" s="974">
        <f>IFERROR(__xludf.DUMMYFUNCTION("iferror(IF(
  IFNA(
    FILTER(
      IMPORTRANGE($F$8,""'Sensitivity [""&amp;IF(BE$3="""",BE$2,BE$2&amp;"", ""&amp;BE$3)&amp;""]'!E1:E20""),
      IMPORTRANGE($F$8,""'Sensitivity [""&amp;IF(BE$3="""",BE$2,BE$2&amp;"", ""&amp;BE$3)&amp;""]'!A1:A20"")=$E10
    ),
    """"
  ) = """",
  "&amp;"""-"",
  BE$5 * ( 1 +
    IFNA(
      FILTER(
        IMPORTRANGE($F$8,""'Sensitivity [""&amp;IF(BE$3="""",BE$2,BE$2&amp;"", ""&amp;BE$3)&amp;""]'!E1:E20""),
        IMPORTRANGE($F$8,""'Sensitivity [""&amp;IF(BE$3="""",BE$2,BE$2&amp;"", ""&amp;BE$3)&amp;""]'!A1:A20"")=$E10
      ),
    "&amp;"  """"
    )
  )
), ""-"")
"),1.4666493870117636)</f>
        <v>1.466649387</v>
      </c>
      <c r="BH10" s="972">
        <f>IFERROR(__xludf.DUMMYFUNCTION("Iferror(IF(
  IFNA(
    FILTER(
      IMPORTRANGE($F$8,""'Sensitivity [""&amp;IF(BH$3="""",BH$2,BH$2&amp;"", ""&amp;BH$3)&amp;""]'!D1:D20""),
      IMPORTRANGE($F$8,""'Sensitivity [""&amp;IF(BH$3="""",BH$2,BH$2&amp;"", ""&amp;BH$3)&amp;""]'!A1:A20"")=$E10
    ),
    """"
  ) = """",
  "&amp;"""-"",
  BH$5 * ( 1 +
    IFNA(
      FILTER(
        IMPORTRANGE($F$8,""'Sensitivity [""&amp;IF(BH$3="""",BH$2,BH$2&amp;"", ""&amp;BH$3)&amp;""]'!D1:D20""),
        IMPORTRANGE($F$8,""'Sensitivity [""&amp;IF(BH$3="""",BH$2,BH$2&amp;"", ""&amp;BH$3)&amp;""]'!A1:A20"")=$E10
      ),
    "&amp;"  """"
    )
  )
), ""-"")
"),6.966698045599988)</f>
        <v>6.966698046</v>
      </c>
      <c r="BI10" s="993" t="s">
        <v>165</v>
      </c>
      <c r="BJ10" s="974">
        <f>IFERROR(__xludf.DUMMYFUNCTION("iferror(IF(
  IFNA(
    FILTER(
      IMPORTRANGE($F$8,""'Sensitivity [""&amp;IF(BH$3="""",BH$2,BH$2&amp;"", ""&amp;BH$3)&amp;""]'!E1:E20""),
      IMPORTRANGE($F$8,""'Sensitivity [""&amp;IF(BH$3="""",BH$2,BH$2&amp;"", ""&amp;BH$3)&amp;""]'!A1:A20"")=$E10
    ),
    """"
  ) = """",
  "&amp;"""-"",
  BH$5 * ( 1 +
    IFNA(
      FILTER(
        IMPORTRANGE($F$8,""'Sensitivity [""&amp;IF(BH$3="""",BH$2,BH$2&amp;"", ""&amp;BH$3)&amp;""]'!E1:E20""),
        IMPORTRANGE($F$8,""'Sensitivity [""&amp;IF(BH$3="""",BH$2,BH$2&amp;"", ""&amp;BH$3)&amp;""]'!A1:A20"")=$E10
      ),
    "&amp;"  """"
    )
  )
), ""-"")
"),1.9788675382443615)</f>
        <v>1.978867538</v>
      </c>
      <c r="BK10" s="972">
        <f>IFERROR(__xludf.DUMMYFUNCTION("Iferror(IF(
  IFNA(
    FILTER(
      IMPORTRANGE($F$8,""'Sensitivity [""&amp;IF(BK$3="""",BK$2,BK$2&amp;"", ""&amp;BK$3)&amp;""]'!D1:D20""),
      IMPORTRANGE($F$8,""'Sensitivity [""&amp;IF(BK$3="""",BK$2,BK$2&amp;"", ""&amp;BK$3)&amp;""]'!A1:A20"")=$E10
    ),
    """"
  ) = """",
  "&amp;"""-"",
  BK$5 * ( 1 +
    IFNA(
      FILTER(
        IMPORTRANGE($F$8,""'Sensitivity [""&amp;IF(BK$3="""",BK$2,BK$2&amp;"", ""&amp;BK$3)&amp;""]'!D1:D20""),
        IMPORTRANGE($F$8,""'Sensitivity [""&amp;IF(BK$3="""",BK$2,BK$2&amp;"", ""&amp;BK$3)&amp;""]'!A1:A20"")=$E10
      ),
    "&amp;"  """"
    )
  )
), ""-"")
"),19.760688463045916)</f>
        <v>19.76068846</v>
      </c>
      <c r="BL10" s="993" t="s">
        <v>165</v>
      </c>
      <c r="BM10" s="974">
        <f>IFERROR(__xludf.DUMMYFUNCTION("iferror(IF(
  IFNA(
    FILTER(
      IMPORTRANGE($F$8,""'Sensitivity [""&amp;IF(BK$3="""",BK$2,BK$2&amp;"", ""&amp;BK$3)&amp;""]'!E1:E20""),
      IMPORTRANGE($F$8,""'Sensitivity [""&amp;IF(BK$3="""",BK$2,BK$2&amp;"", ""&amp;BK$3)&amp;""]'!A1:A20"")=$E10
    ),
    """"
  ) = """",
  "&amp;"""-"",
  BK$5 * ( 1 +
    IFNA(
      FILTER(
        IMPORTRANGE($F$8,""'Sensitivity [""&amp;IF(BK$3="""",BK$2,BK$2&amp;"", ""&amp;BK$3)&amp;""]'!E1:E20""),
        IMPORTRANGE($F$8,""'Sensitivity [""&amp;IF(BK$3="""",BK$2,BK$2&amp;"", ""&amp;BK$3)&amp;""]'!A1:A20"")=$E10
      ),
    "&amp;"  """"
    )
  )
), ""-"")
"),5.61295820156556)</f>
        <v>5.612958202</v>
      </c>
      <c r="BN10" s="972">
        <f>IFERROR(__xludf.DUMMYFUNCTION("Iferror(IF(
  IFNA(
    FILTER(
      IMPORTRANGE($F$8,""'Sensitivity [""&amp;IF(BN$3="""",BN$2,BN$2&amp;"", ""&amp;BN$3)&amp;""]'!D1:D20""),
      IMPORTRANGE($F$8,""'Sensitivity [""&amp;IF(BN$3="""",BN$2,BN$2&amp;"", ""&amp;BN$3)&amp;""]'!A1:A20"")=$E10
    ),
    """"
  ) = """",
  "&amp;"""-"",
  BN$5 * ( 1 +
    IFNA(
      FILTER(
        IMPORTRANGE($F$8,""'Sensitivity [""&amp;IF(BN$3="""",BN$2,BN$2&amp;"", ""&amp;BN$3)&amp;""]'!D1:D20""),
        IMPORTRANGE($F$8,""'Sensitivity [""&amp;IF(BN$3="""",BN$2,BN$2&amp;"", ""&amp;BN$3)&amp;""]'!A1:A20"")=$E10
      ),
    "&amp;"  """"
    )
  )
), ""-"")
"),8.003764272102792)</f>
        <v>8.003764272</v>
      </c>
      <c r="BO10" s="993" t="s">
        <v>165</v>
      </c>
      <c r="BP10" s="974">
        <f>IFERROR(__xludf.DUMMYFUNCTION("iferror(IF(
  IFNA(
    FILTER(
      IMPORTRANGE($F$8,""'Sensitivity [""&amp;IF(BN$3="""",BN$2,BN$2&amp;"", ""&amp;BN$3)&amp;""]'!E1:E20""),
      IMPORTRANGE($F$8,""'Sensitivity [""&amp;IF(BN$3="""",BN$2,BN$2&amp;"", ""&amp;BN$3)&amp;""]'!A1:A20"")=$E10
    ),
    """"
  ) = """",
  "&amp;"""-"",
  BN$5 * ( 1 +
    IFNA(
      FILTER(
        IMPORTRANGE($F$8,""'Sensitivity [""&amp;IF(BN$3="""",BN$2,BN$2&amp;"", ""&amp;BN$3)&amp;""]'!E1:E20""),
        IMPORTRANGE($F$8,""'Sensitivity [""&amp;IF(BN$3="""",BN$2,BN$2&amp;"", ""&amp;BN$3)&amp;""]'!A1:A20"")=$E10
      ),
    "&amp;"  """"
    )
  )
), ""-"")
"),2.2734427698968984)</f>
        <v>2.27344277</v>
      </c>
      <c r="BQ10" s="972">
        <f>IFERROR(__xludf.DUMMYFUNCTION("Iferror(IF(
  IFNA(
    FILTER(
      IMPORTRANGE($F$8,""'Sensitivity [""&amp;IF(BQ$3="""",BQ$2,BQ$2&amp;"", ""&amp;BQ$3)&amp;""]'!D1:D20""),
      IMPORTRANGE($F$8,""'Sensitivity [""&amp;IF(BQ$3="""",BQ$2,BQ$2&amp;"", ""&amp;BQ$3)&amp;""]'!A1:A20"")=$E10
    ),
    """"
  ) = """",
  "&amp;"""-"",
  BQ$5 * ( 1 +
    IFNA(
      FILTER(
        IMPORTRANGE($F$8,""'Sensitivity [""&amp;IF(BQ$3="""",BQ$2,BQ$2&amp;"", ""&amp;BQ$3)&amp;""]'!D1:D20""),
        IMPORTRANGE($F$8,""'Sensitivity [""&amp;IF(BQ$3="""",BQ$2,BQ$2&amp;"", ""&amp;BQ$3)&amp;""]'!A1:A20"")=$E10
      ),
    "&amp;"  """"
    )
  )
), ""-"")
"),3.8276137770861323)</f>
        <v>3.827613777</v>
      </c>
      <c r="BR10" s="993" t="s">
        <v>165</v>
      </c>
      <c r="BS10" s="974">
        <f>IFERROR(__xludf.DUMMYFUNCTION("iferror(IF(
  IFNA(
    FILTER(
      IMPORTRANGE($F$8,""'Sensitivity [""&amp;IF(BQ$3="""",BQ$2,BQ$2&amp;"", ""&amp;BQ$3)&amp;""]'!E1:E20""),
      IMPORTRANGE($F$8,""'Sensitivity [""&amp;IF(BQ$3="""",BQ$2,BQ$2&amp;"", ""&amp;BQ$3)&amp;""]'!A1:A20"")=$E10
    ),
    """"
  ) = """",
  "&amp;"""-"",
  BQ$5 * ( 1 +
    IFNA(
      FILTER(
        IMPORTRANGE($F$8,""'Sensitivity [""&amp;IF(BQ$3="""",BQ$2,BQ$2&amp;"", ""&amp;BQ$3)&amp;""]'!E1:E20""),
        IMPORTRANGE($F$8,""'Sensitivity [""&amp;IF(BQ$3="""",BQ$2,BQ$2&amp;"", ""&amp;BQ$3)&amp;""]'!A1:A20"")=$E10
      ),
    "&amp;"  """"
    )
  )
), ""-"")
"),1.0872210339583126)</f>
        <v>1.087221034</v>
      </c>
      <c r="BT10" s="972">
        <f>IFERROR(__xludf.DUMMYFUNCTION("Iferror(IF(
  IFNA(
    FILTER(
      IMPORTRANGE($F$8,""'Sensitivity [""&amp;IF(BT$3="""",BT$2,BT$2&amp;"", ""&amp;BT$3)&amp;""]'!D1:D20""),
      IMPORTRANGE($F$8,""'Sensitivity [""&amp;IF(BT$3="""",BT$2,BT$2&amp;"", ""&amp;BT$3)&amp;""]'!A1:A20"")=$E10
    ),
    """"
  ) = """",
  "&amp;"""-"",
  BT$5 * ( 1 +
    IFNA(
      FILTER(
        IMPORTRANGE($F$8,""'Sensitivity [""&amp;IF(BT$3="""",BT$2,BT$2&amp;"", ""&amp;BT$3)&amp;""]'!D1:D20""),
        IMPORTRANGE($F$8,""'Sensitivity [""&amp;IF(BT$3="""",BT$2,BT$2&amp;"", ""&amp;BT$3)&amp;""]'!A1:A20"")=$E10
      ),
    "&amp;"  """"
    )
  )
), ""-"")
"),12.737616425700878)</f>
        <v>12.73761643</v>
      </c>
      <c r="BU10" s="993" t="s">
        <v>165</v>
      </c>
      <c r="BV10" s="974">
        <f>IFERROR(__xludf.DUMMYFUNCTION("iferror(IF(
  IFNA(
    FILTER(
      IMPORTRANGE($F$8,""'Sensitivity [""&amp;IF(BT$3="""",BT$2,BT$2&amp;"", ""&amp;BT$3)&amp;""]'!E1:E20""),
      IMPORTRANGE($F$8,""'Sensitivity [""&amp;IF(BT$3="""",BT$2,BT$2&amp;"", ""&amp;BT$3)&amp;""]'!A1:A20"")=$E10
    ),
    """"
  ) = """",
  "&amp;"""-"",
  BT$5 * ( 1 +
    IFNA(
      FILTER(
        IMPORTRANGE($F$8,""'Sensitivity [""&amp;IF(BT$3="""",BT$2,BT$2&amp;"", ""&amp;BT$3)&amp;""]'!E1:E20""),
        IMPORTRANGE($F$8,""'Sensitivity [""&amp;IF(BT$3="""",BT$2,BT$2&amp;"", ""&amp;BT$3)&amp;""]'!A1:A20"")=$E10
      ),
    "&amp;"  """"
    )
  )
), ""-"")
"),3.61807781741697)</f>
        <v>3.618077817</v>
      </c>
      <c r="BW10" s="972">
        <f>IFERROR(__xludf.DUMMYFUNCTION("Iferror(IF(
  IFNA(
    FILTER(
      IMPORTRANGE($F$8,""'Sensitivity [""&amp;IF(BW$3="""",BW$2,BW$2&amp;"", ""&amp;BW$3)&amp;""]'!D1:D20""),
      IMPORTRANGE($F$8,""'Sensitivity [""&amp;IF(BW$3="""",BW$2,BW$2&amp;"", ""&amp;BW$3)&amp;""]'!A1:A20"")=$E10
    ),
    """"
  ) = """",
  "&amp;"""-"",
  BW$5 * ( 1 +
    IFNA(
      FILTER(
        IMPORTRANGE($F$8,""'Sensitivity [""&amp;IF(BW$3="""",BW$2,BW$2&amp;"", ""&amp;BW$3)&amp;""]'!D1:D20""),
        IMPORTRANGE($F$8,""'Sensitivity [""&amp;IF(BW$3="""",BW$2,BW$2&amp;"", ""&amp;BW$3)&amp;""]'!A1:A20"")=$E10
      ),
    "&amp;"  """"
    )
  )
), ""-"")
"),47.798734763872446)</f>
        <v>47.79873476</v>
      </c>
      <c r="BX10" s="993" t="s">
        <v>165</v>
      </c>
      <c r="BY10" s="974">
        <f>IFERROR(__xludf.DUMMYFUNCTION("iferror(IF(
  IFNA(
    FILTER(
      IMPORTRANGE($F$8,""'Sensitivity [""&amp;IF(BW$3="""",BW$2,BW$2&amp;"", ""&amp;BW$3)&amp;""]'!E1:E20""),
      IMPORTRANGE($F$8,""'Sensitivity [""&amp;IF(BW$3="""",BW$2,BW$2&amp;"", ""&amp;BW$3)&amp;""]'!A1:A20"")=$E10
    ),
    """"
  ) = """",
  "&amp;"""-"",
  BW$5 * ( 1 +
    IFNA(
      FILTER(
        IMPORTRANGE($F$8,""'Sensitivity [""&amp;IF(BW$3="""",BW$2,BW$2&amp;"", ""&amp;BW$3)&amp;""]'!E1:E20""),
        IMPORTRANGE($F$8,""'Sensitivity [""&amp;IF(BW$3="""",BW$2,BW$2&amp;"", ""&amp;BW$3)&amp;""]'!A1:A20"")=$E10
      ),
    "&amp;"  """"
    )
  )
), ""-"")
"),13.577072520477392)</f>
        <v>13.57707252</v>
      </c>
      <c r="BZ10" s="972">
        <f>IFERROR(__xludf.DUMMYFUNCTION("Iferror(IF(
  IFNA(
    FILTER(
      IMPORTRANGE($F$8,""'Sensitivity [""&amp;IF(BZ$3="""",BZ$2,BZ$2&amp;"", ""&amp;BZ$3)&amp;""]'!D1:D20""),
      IMPORTRANGE($F$8,""'Sensitivity [""&amp;IF(BZ$3="""",BZ$2,BZ$2&amp;"", ""&amp;BZ$3)&amp;""]'!A1:A20"")=$E10
    ),
    """"
  ) = """",
  "&amp;"""-"",
  BZ$5 * ( 1 +
    IFNA(
      FILTER(
        IMPORTRANGE($F$8,""'Sensitivity [""&amp;IF(BZ$3="""",BZ$2,BZ$2&amp;"", ""&amp;BZ$3)&amp;""]'!D1:D20""),
        IMPORTRANGE($F$8,""'Sensitivity [""&amp;IF(BZ$3="""",BZ$2,BZ$2&amp;"", ""&amp;BZ$3)&amp;""]'!A1:A20"")=$E10
      ),
    "&amp;"  """"
    )
  )
), ""-"")
"),8.04357264355318)</f>
        <v>8.043572644</v>
      </c>
      <c r="CA10" s="993" t="s">
        <v>165</v>
      </c>
      <c r="CB10" s="974">
        <f>IFERROR(__xludf.DUMMYFUNCTION("iferror(IF(
  IFNA(
    FILTER(
      IMPORTRANGE($F$8,""'Sensitivity [""&amp;IF(BZ$3="""",BZ$2,BZ$2&amp;"", ""&amp;BZ$3)&amp;""]'!E1:E20""),
      IMPORTRANGE($F$8,""'Sensitivity [""&amp;IF(BZ$3="""",BZ$2,BZ$2&amp;"", ""&amp;BZ$3)&amp;""]'!A1:A20"")=$E10
    ),
    """"
  ) = """",
  "&amp;"""-"",
  BZ$5 * ( 1 +
    IFNA(
      FILTER(
        IMPORTRANGE($F$8,""'Sensitivity [""&amp;IF(BZ$3="""",BZ$2,BZ$2&amp;"", ""&amp;BZ$3)&amp;""]'!E1:E20""),
        IMPORTRANGE($F$8,""'Sensitivity [""&amp;IF(BZ$3="""",BZ$2,BZ$2&amp;"", ""&amp;BZ$3)&amp;""]'!A1:A20"")=$E10
      ),
    "&amp;"  """"
    )
  )
), ""-"")
"),2.661181994011375)</f>
        <v>2.661181994</v>
      </c>
      <c r="CC10" s="972">
        <f>IFERROR(__xludf.DUMMYFUNCTION("Iferror(IF(
  IFNA(
    FILTER(
      IMPORTRANGE($F$8,""'Sensitivity [""&amp;IF(CC$3="""",CC$2,CC$2&amp;"", ""&amp;CC$3)&amp;""]'!D1:D20""),
      IMPORTRANGE($F$8,""'Sensitivity [""&amp;IF(CC$3="""",CC$2,CC$2&amp;"", ""&amp;CC$3)&amp;""]'!A1:A20"")=$E10
    ),
    """"
  ) = """",
  "&amp;"""-"",
  CC$5 * ( 1 +
    IFNA(
      FILTER(
        IMPORTRANGE($F$8,""'Sensitivity [""&amp;IF(CC$3="""",CC$2,CC$2&amp;"", ""&amp;CC$3)&amp;""]'!D1:D20""),
        IMPORTRANGE($F$8,""'Sensitivity [""&amp;IF(CC$3="""",CC$2,CC$2&amp;"", ""&amp;CC$3)&amp;""]'!A1:A20"")=$E10
      ),
    "&amp;"  """"
    )
  )
), ""-"")
"),28.801932803148393)</f>
        <v>28.8019328</v>
      </c>
      <c r="CD10" s="993" t="s">
        <v>165</v>
      </c>
      <c r="CE10" s="974">
        <f>IFERROR(__xludf.DUMMYFUNCTION("iferror(IF(
  IFNA(
    FILTER(
      IMPORTRANGE($F$8,""'Sensitivity [""&amp;IF(CC$3="""",CC$2,CC$2&amp;"", ""&amp;CC$3)&amp;""]'!E1:E20""),
      IMPORTRANGE($F$8,""'Sensitivity [""&amp;IF(CC$3="""",CC$2,CC$2&amp;"", ""&amp;CC$3)&amp;""]'!A1:A20"")=$E10
    ),
    """"
  ) = """",
  "&amp;"""-"",
  CC$5 * ( 1 +
    IFNA(
      FILTER(
        IMPORTRANGE($F$8,""'Sensitivity [""&amp;IF(CC$3="""",CC$2,CC$2&amp;"", ""&amp;CC$3)&amp;""]'!E1:E20""),
        IMPORTRANGE($F$8,""'Sensitivity [""&amp;IF(CC$3="""",CC$2,CC$2&amp;"", ""&amp;CC$3)&amp;""]'!A1:A20"")=$E10
      ),
    "&amp;"  """"
    )
  )
), ""-"")
"),9.528997668703308)</f>
        <v>9.528997669</v>
      </c>
      <c r="CF10" s="972">
        <f>IFERROR(__xludf.DUMMYFUNCTION("Iferror(IF(
  IFNA(
    FILTER(
      IMPORTRANGE($F$8,""'Sensitivity [""&amp;IF(CF$3="""",CF$2,CF$2&amp;"", ""&amp;CF$3)&amp;""]'!D1:D20""),
      IMPORTRANGE($F$8,""'Sensitivity [""&amp;IF(CF$3="""",CF$2,CF$2&amp;"", ""&amp;CF$3)&amp;""]'!A1:A20"")=$E10
    ),
    """"
  ) = """",
  "&amp;"""-"",
  CF$5 * ( 1 +
    IFNA(
      FILTER(
        IMPORTRANGE($F$8,""'Sensitivity [""&amp;IF(CF$3="""",CF$2,CF$2&amp;"", ""&amp;CF$3)&amp;""]'!D1:D20""),
        IMPORTRANGE($F$8,""'Sensitivity [""&amp;IF(CF$3="""",CF$2,CF$2&amp;"", ""&amp;CF$3)&amp;""]'!A1:A20"")=$E10
      ),
    "&amp;"  """"
    )
  )
), ""-"")
"),22.450775687464105)</f>
        <v>22.45077569</v>
      </c>
      <c r="CG10" s="993" t="s">
        <v>165</v>
      </c>
      <c r="CH10" s="974">
        <f>IFERROR(__xludf.DUMMYFUNCTION("iferror(IF(
  IFNA(
    FILTER(
      IMPORTRANGE($F$8,""'Sensitivity [""&amp;IF(CF$3="""",CF$2,CF$2&amp;"", ""&amp;CF$3)&amp;""]'!E1:E20""),
      IMPORTRANGE($F$8,""'Sensitivity [""&amp;IF(CF$3="""",CF$2,CF$2&amp;"", ""&amp;CF$3)&amp;""]'!A1:A20"")=$E10
    ),
    """"
  ) = """",
  "&amp;"""-"",
  CF$5 * ( 1 +
    IFNA(
      FILTER(
        IMPORTRANGE($F$8,""'Sensitivity [""&amp;IF(CF$3="""",CF$2,CF$2&amp;"", ""&amp;CF$3)&amp;""]'!E1:E20""),
        IMPORTRANGE($F$8,""'Sensitivity [""&amp;IF(CF$3="""",CF$2,CF$2&amp;"", ""&amp;CF$3)&amp;""]'!A1:A20"")=$E10
      ),
    "&amp;"  """"
    )
  )
), ""-"")
"),6.712856517846409)</f>
        <v>6.712856518</v>
      </c>
      <c r="CI10" s="972">
        <f>IFERROR(__xludf.DUMMYFUNCTION("Iferror(IF(
  IFNA(
    FILTER(
      IMPORTRANGE($F$8,""'Sensitivity [""&amp;IF(CI$3="""",CI$2,CI$2&amp;"", ""&amp;CI$3)&amp;""]'!D1:D20""),
      IMPORTRANGE($F$8,""'Sensitivity [""&amp;IF(CI$3="""",CI$2,CI$2&amp;"", ""&amp;CI$3)&amp;""]'!A1:A20"")=$E10
    ),
    """"
  ) = """",
  "&amp;"""-"",
  CI$5 * ( 1 +
    IFNA(
      FILTER(
        IMPORTRANGE($F$8,""'Sensitivity [""&amp;IF(CI$3="""",CI$2,CI$2&amp;"", ""&amp;CI$3)&amp;""]'!D1:D20""),
        IMPORTRANGE($F$8,""'Sensitivity [""&amp;IF(CI$3="""",CI$2,CI$2&amp;"", ""&amp;CI$3)&amp;""]'!A1:A20"")=$E10
      ),
    "&amp;"  """"
    )
  )
), ""-"")
"),9.775344288871722)</f>
        <v>9.775344289</v>
      </c>
      <c r="CJ10" s="993" t="s">
        <v>165</v>
      </c>
      <c r="CK10" s="974">
        <f>IFERROR(__xludf.DUMMYFUNCTION("iferror(IF(
  IFNA(
    FILTER(
      IMPORTRANGE($F$8,""'Sensitivity [""&amp;IF(CI$3="""",CI$2,CI$2&amp;"", ""&amp;CI$3)&amp;""]'!E1:E20""),
      IMPORTRANGE($F$8,""'Sensitivity [""&amp;IF(CI$3="""",CI$2,CI$2&amp;"", ""&amp;CI$3)&amp;""]'!A1:A20"")=$E10
    ),
    """"
  ) = """",
  "&amp;"""-"",
  CI$5 * ( 1 +
    IFNA(
      FILTER(
        IMPORTRANGE($F$8,""'Sensitivity [""&amp;IF(CI$3="""",CI$2,CI$2&amp;"", ""&amp;CI$3)&amp;""]'!E1:E20""),
        IMPORTRANGE($F$8,""'Sensitivity [""&amp;IF(CI$3="""",CI$2,CI$2&amp;"", ""&amp;CI$3)&amp;""]'!A1:A20"")=$E10
      ),
    "&amp;"  """"
    )
  )
), ""-"")
"),2.842475998891788)</f>
        <v>2.842475999</v>
      </c>
      <c r="CL10" s="198"/>
    </row>
    <row r="11">
      <c r="A11" s="889"/>
      <c r="B11" s="890"/>
      <c r="C11" s="890"/>
      <c r="D11" s="890"/>
      <c r="E11" s="992" t="str">
        <f t="shared" si="1"/>
        <v>Proportion of reached children who would have received VAS in the absence of the program</v>
      </c>
      <c r="F11" s="972">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"),26.621469777087018)</f>
        <v>26.62146978</v>
      </c>
      <c r="G11" s="993" t="s">
        <v>165</v>
      </c>
      <c r="H11" s="974">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"),17.22565691458573)</f>
        <v>17.22565691</v>
      </c>
      <c r="I11" s="972">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"),18.56243495143116)</f>
        <v>18.56243495</v>
      </c>
      <c r="J11" s="993" t="s">
        <v>165</v>
      </c>
      <c r="K11" s="974">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"),12.010987321514278)</f>
        <v>12.01098732</v>
      </c>
      <c r="L11" s="972">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"),10.00865183780575)</f>
        <v>10.00865184</v>
      </c>
      <c r="M11" s="993" t="s">
        <v>165</v>
      </c>
      <c r="N11" s="974">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"),6.476186483286071)</f>
        <v>6.476186483</v>
      </c>
      <c r="O11" s="972">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"),19.97805375178351)</f>
        <v>19.97805375</v>
      </c>
      <c r="P11" s="993" t="s">
        <v>165</v>
      </c>
      <c r="Q11" s="974">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"),12.926975957036396)</f>
        <v>12.92697596</v>
      </c>
      <c r="R11" s="972">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"),12.76180141435193)</f>
        <v>12.76180141</v>
      </c>
      <c r="S11" s="993" t="s">
        <v>165</v>
      </c>
      <c r="T11" s="974">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"),8.257636209286542)</f>
        <v>8.257636209</v>
      </c>
      <c r="U11" s="972">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"),5.623529466013438)</f>
        <v>5.623529466</v>
      </c>
      <c r="V11" s="993" t="s">
        <v>165</v>
      </c>
      <c r="W11" s="974">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"),3.6387543603616352)</f>
        <v>3.63875436</v>
      </c>
      <c r="X11" s="972">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"),20.328411084272545)</f>
        <v>20.32841108</v>
      </c>
      <c r="Y11" s="993" t="s">
        <v>165</v>
      </c>
      <c r="Z11" s="974">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"),13.06826426846089)</f>
        <v>13.06826427</v>
      </c>
      <c r="AA11" s="972">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"),38.46605752124588)</f>
        <v>38.46605752</v>
      </c>
      <c r="AB11" s="993" t="s">
        <v>165</v>
      </c>
      <c r="AC11" s="974">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"),24.88980192551218)</f>
        <v>24.88980193</v>
      </c>
      <c r="AD11" s="972">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"),69.66201158562124)</f>
        <v>69.66201159</v>
      </c>
      <c r="AE11" s="993" t="s">
        <v>165</v>
      </c>
      <c r="AF11" s="974">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"),45.075419261284225)</f>
        <v>45.07541926</v>
      </c>
      <c r="AG11" s="972">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"),25.27604186649228)</f>
        <v>25.27604187</v>
      </c>
      <c r="AH11" s="993" t="s">
        <v>165</v>
      </c>
      <c r="AI11" s="974">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"),16.355085913612594)</f>
        <v>16.35508591</v>
      </c>
      <c r="AJ11" s="972">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"),5.163519017337179)</f>
        <v>5.163519017</v>
      </c>
      <c r="AK11" s="993" t="s">
        <v>165</v>
      </c>
      <c r="AL11" s="974">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"),3.3411005406299417)</f>
        <v>3.341100541</v>
      </c>
      <c r="AM11" s="972">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"),2.7075447200352367)</f>
        <v>2.70754472</v>
      </c>
      <c r="AN11" s="993" t="s">
        <v>165</v>
      </c>
      <c r="AO11" s="974">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"),1.7519407011992745)</f>
        <v>1.751940701</v>
      </c>
      <c r="AP11" s="972">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"),11.261678819280295)</f>
        <v>11.26167882</v>
      </c>
      <c r="AQ11" s="993" t="s">
        <v>165</v>
      </c>
      <c r="AR11" s="974">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"),7.286968647769596)</f>
        <v>7.286968648</v>
      </c>
      <c r="AS11" s="972">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"),6.099146421289922)</f>
        <v>6.099146421</v>
      </c>
      <c r="AT11" s="993" t="s">
        <v>165</v>
      </c>
      <c r="AU11" s="974">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"),3.9465065078934902)</f>
        <v>3.946506508</v>
      </c>
      <c r="AV11" s="972">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"),15.910756995927205)</f>
        <v>15.910757</v>
      </c>
      <c r="AW11" s="993" t="s">
        <v>165</v>
      </c>
      <c r="AX11" s="974">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"),10.295195703246973)</f>
        <v>10.2951957</v>
      </c>
      <c r="AY11" s="972">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"),4.469116174647619)</f>
        <v>4.469116175</v>
      </c>
      <c r="AZ11" s="993" t="s">
        <v>165</v>
      </c>
      <c r="BA11" s="974">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"),2.8917810541837485)</f>
        <v>2.891781054</v>
      </c>
      <c r="BB11" s="972">
        <f>IFERROR(__xludf.DUMMYFUNCTION("Iferror(IF(
  IFNA(
    FILTER(
      IMPORTRANGE($F$8,""'Sensitivity [""&amp;IF(BB$3="""",BB$2,BB$2&amp;"", ""&amp;BB$3)&amp;""]'!D1:D20""),
      IMPORTRANGE($F$8,""'Sensitivity [""&amp;IF(BB$3="""",BB$2,BB$2&amp;"", ""&amp;BB$3)&amp;""]'!A1:A20"")=$E11
    ),
    """"
  ) = """",
  "&amp;"""-"",
  BB$5 * ( 1 +
    IFNA(
      FILTER(
        IMPORTRANGE($F$8,""'Sensitivity [""&amp;IF(BB$3="""",BB$2,BB$2&amp;"", ""&amp;BB$3)&amp;""]'!D1:D20""),
        IMPORTRANGE($F$8,""'Sensitivity [""&amp;IF(BB$3="""",BB$2,BB$2&amp;"", ""&amp;BB$3)&amp;""]'!A1:A20"")=$E11
      ),
    "&amp;"  """"
    )
  )
), ""-"")
"),6.960927369146745)</f>
        <v>6.960927369</v>
      </c>
      <c r="BC11" s="993" t="s">
        <v>165</v>
      </c>
      <c r="BD11" s="974">
        <f>IFERROR(__xludf.DUMMYFUNCTION("iferror(IF(
  IFNA(
    FILTER(
      IMPORTRANGE($F$8,""'Sensitivity [""&amp;IF(BB$3="""",BB$2,BB$2&amp;"", ""&amp;BB$3)&amp;""]'!E1:E20""),
      IMPORTRANGE($F$8,""'Sensitivity [""&amp;IF(BB$3="""",BB$2,BB$2&amp;"", ""&amp;BB$3)&amp;""]'!A1:A20"")=$E11
    ),
    """"
  ) = """",
  "&amp;"""-"",
  BB$5 * ( 1 +
    IFNA(
      FILTER(
        IMPORTRANGE($F$8,""'Sensitivity [""&amp;IF(BB$3="""",BB$2,BB$2&amp;"", ""&amp;BB$3)&amp;""]'!E1:E20""),
        IMPORTRANGE($F$8,""'Sensitivity [""&amp;IF(BB$3="""",BB$2,BB$2&amp;"", ""&amp;BB$3)&amp;""]'!A1:A20"")=$E11
      ),
    "&amp;"  """"
    )
  )
), ""-"")
"),4.504129474153772)</f>
        <v>4.504129474</v>
      </c>
      <c r="BE11" s="972">
        <f>IFERROR(__xludf.DUMMYFUNCTION("Iferror(IF(
  IFNA(
    FILTER(
      IMPORTRANGE($F$8,""'Sensitivity [""&amp;IF(BE$3="""",BE$2,BE$2&amp;"", ""&amp;BE$3)&amp;""]'!D1:D20""),
      IMPORTRANGE($F$8,""'Sensitivity [""&amp;IF(BE$3="""",BE$2,BE$2&amp;"", ""&amp;BE$3)&amp;""]'!A1:A20"")=$E11
    ),
    """"
  ) = """",
  "&amp;"""-"",
  BE$5 * ( 1 +
    IFNA(
      FILTER(
        IMPORTRANGE($F$8,""'Sensitivity [""&amp;IF(BE$3="""",BE$2,BE$2&amp;"", ""&amp;BE$3)&amp;""]'!D1:D20""),
        IMPORTRANGE($F$8,""'Sensitivity [""&amp;IF(BE$3="""",BE$2,BE$2&amp;"", ""&amp;BE$3)&amp;""]'!A1:A20"")=$E11
      ),
    "&amp;"  """"
    )
  )
), ""-"")
"),3.681246764716463)</f>
        <v>3.681246765</v>
      </c>
      <c r="BF11" s="993" t="s">
        <v>165</v>
      </c>
      <c r="BG11" s="974">
        <f>IFERROR(__xludf.DUMMYFUNCTION("iferror(IF(
  IFNA(
    FILTER(
      IMPORTRANGE($F$8,""'Sensitivity [""&amp;IF(BE$3="""",BE$2,BE$2&amp;"", ""&amp;BE$3)&amp;""]'!E1:E20""),
      IMPORTRANGE($F$8,""'Sensitivity [""&amp;IF(BE$3="""",BE$2,BE$2&amp;"", ""&amp;BE$3)&amp;""]'!A1:A20"")=$E11
    ),
    """"
  ) = """",
  "&amp;"""-"",
  BE$5 * ( 1 +
    IFNA(
      FILTER(
        IMPORTRANGE($F$8,""'Sensitivity [""&amp;IF(BE$3="""",BE$2,BE$2&amp;"", ""&amp;BE$3)&amp;""]'!E1:E20""),
        IMPORTRANGE($F$8,""'Sensitivity [""&amp;IF(BE$3="""",BE$2,BE$2&amp;"", ""&amp;BE$3)&amp;""]'!A1:A20"")=$E11
      ),
    "&amp;"  """"
    )
  )
), ""-"")
"),2.3819832006988895)</f>
        <v>2.381983201</v>
      </c>
      <c r="BH11" s="972">
        <f>IFERROR(__xludf.DUMMYFUNCTION("Iferror(IF(
  IFNA(
    FILTER(
      IMPORTRANGE($F$8,""'Sensitivity [""&amp;IF(BH$3="""",BH$2,BH$2&amp;"", ""&amp;BH$3)&amp;""]'!D1:D20""),
      IMPORTRANGE($F$8,""'Sensitivity [""&amp;IF(BH$3="""",BH$2,BH$2&amp;"", ""&amp;BH$3)&amp;""]'!A1:A20"")=$E11
    ),
    """"
  ) = """",
  "&amp;"""-"",
  BH$5 * ( 1 +
    IFNA(
      FILTER(
        IMPORTRANGE($F$8,""'Sensitivity [""&amp;IF(BH$3="""",BH$2,BH$2&amp;"", ""&amp;BH$3)&amp;""]'!D1:D20""),
        IMPORTRANGE($F$8,""'Sensitivity [""&amp;IF(BH$3="""",BH$2,BH$2&amp;"", ""&amp;BH$3)&amp;""]'!A1:A20"")=$E11
      ),
    "&amp;"  """"
    )
  )
), ""-"")
"),4.909940074492543)</f>
        <v>4.909940074</v>
      </c>
      <c r="BI11" s="993" t="s">
        <v>165</v>
      </c>
      <c r="BJ11" s="974">
        <f>IFERROR(__xludf.DUMMYFUNCTION("iferror(IF(
  IFNA(
    FILTER(
      IMPORTRANGE($F$8,""'Sensitivity [""&amp;IF(BH$3="""",BH$2,BH$2&amp;"", ""&amp;BH$3)&amp;""]'!E1:E20""),
      IMPORTRANGE($F$8,""'Sensitivity [""&amp;IF(BH$3="""",BH$2,BH$2&amp;"", ""&amp;BH$3)&amp;""]'!A1:A20"")=$E11
    ),
    """"
  ) = """",
  "&amp;"""-"",
  BH$5 * ( 1 +
    IFNA(
      FILTER(
        IMPORTRANGE($F$8,""'Sensitivity [""&amp;IF(BH$3="""",BH$2,BH$2&amp;"", ""&amp;BH$3)&amp;""]'!E1:E20""),
        IMPORTRANGE($F$8,""'Sensitivity [""&amp;IF(BH$3="""",BH$2,BH$2&amp;"", ""&amp;BH$3)&amp;""]'!A1:A20"")=$E11
      ),
    "&amp;"  """"
    )
  )
), ""-"")
"),3.177020048201054)</f>
        <v>3.177020048</v>
      </c>
      <c r="BK11" s="972">
        <f>IFERROR(__xludf.DUMMYFUNCTION("Iferror(IF(
  IFNA(
    FILTER(
      IMPORTRANGE($F$8,""'Sensitivity [""&amp;IF(BK$3="""",BK$2,BK$2&amp;"", ""&amp;BK$3)&amp;""]'!D1:D20""),
      IMPORTRANGE($F$8,""'Sensitivity [""&amp;IF(BK$3="""",BK$2,BK$2&amp;"", ""&amp;BK$3)&amp;""]'!A1:A20"")=$E11
    ),
    """"
  ) = """",
  "&amp;"""-"",
  BK$5 * ( 1 +
    IFNA(
      FILTER(
        IMPORTRANGE($F$8,""'Sensitivity [""&amp;IF(BK$3="""",BK$2,BK$2&amp;"", ""&amp;BK$3)&amp;""]'!D1:D20""),
        IMPORTRANGE($F$8,""'Sensitivity [""&amp;IF(BK$3="""",BK$2,BK$2&amp;"", ""&amp;BK$3)&amp;""]'!A1:A20"")=$E11
      ),
    "&amp;"  """"
    )
  )
), ""-"")
"),13.989929623188145)</f>
        <v>13.98992962</v>
      </c>
      <c r="BL11" s="993" t="s">
        <v>165</v>
      </c>
      <c r="BM11" s="974">
        <f>IFERROR(__xludf.DUMMYFUNCTION("iferror(IF(
  IFNA(
    FILTER(
      IMPORTRANGE($F$8,""'Sensitivity [""&amp;IF(BK$3="""",BK$2,BK$2&amp;"", ""&amp;BK$3)&amp;""]'!E1:E20""),
      IMPORTRANGE($F$8,""'Sensitivity [""&amp;IF(BK$3="""",BK$2,BK$2&amp;"", ""&amp;BK$3)&amp;""]'!A1:A20"")=$E11
    ),
    """"
  ) = """",
  "&amp;"""-"",
  BK$5 * ( 1 +
    IFNA(
      FILTER(
        IMPORTRANGE($F$8,""'Sensitivity [""&amp;IF(BK$3="""",BK$2,BK$2&amp;"", ""&amp;BK$3)&amp;""]'!E1:E20""),
        IMPORTRANGE($F$8,""'Sensitivity [""&amp;IF(BK$3="""",BK$2,BK$2&amp;"", ""&amp;BK$3)&amp;""]'!A1:A20"")=$E11
      ),
    "&amp;"  """"
    )
  )
), ""-"")
"),9.052307403239384)</f>
        <v>9.052307403</v>
      </c>
      <c r="BN11" s="972">
        <f>IFERROR(__xludf.DUMMYFUNCTION("Iferror(IF(
  IFNA(
    FILTER(
      IMPORTRANGE($F$8,""'Sensitivity [""&amp;IF(BN$3="""",BN$2,BN$2&amp;"", ""&amp;BN$3)&amp;""]'!D1:D20""),
      IMPORTRANGE($F$8,""'Sensitivity [""&amp;IF(BN$3="""",BN$2,BN$2&amp;"", ""&amp;BN$3)&amp;""]'!A1:A20"")=$E11
    ),
    """"
  ) = """",
  "&amp;"""-"",
  BN$5 * ( 1 +
    IFNA(
      FILTER(
        IMPORTRANGE($F$8,""'Sensitivity [""&amp;IF(BN$3="""",BN$2,BN$2&amp;"", ""&amp;BN$3)&amp;""]'!D1:D20""),
        IMPORTRANGE($F$8,""'Sensitivity [""&amp;IF(BN$3="""",BN$2,BN$2&amp;"", ""&amp;BN$3)&amp;""]'!A1:A20"")=$E11
      ),
    "&amp;"  """"
    )
  )
), ""-"")
"),5.656880682046875)</f>
        <v>5.656880682</v>
      </c>
      <c r="BO11" s="993" t="s">
        <v>165</v>
      </c>
      <c r="BP11" s="974">
        <f>IFERROR(__xludf.DUMMYFUNCTION("iferror(IF(
  IFNA(
    FILTER(
      IMPORTRANGE($F$8,""'Sensitivity [""&amp;IF(BN$3="""",BN$2,BN$2&amp;"", ""&amp;BN$3)&amp;""]'!E1:E20""),
      IMPORTRANGE($F$8,""'Sensitivity [""&amp;IF(BN$3="""",BN$2,BN$2&amp;"", ""&amp;BN$3)&amp;""]'!A1:A20"")=$E11
    ),
    """"
  ) = """",
  "&amp;"""-"",
  BN$5 * ( 1 +
    IFNA(
      FILTER(
        IMPORTRANGE($F$8,""'Sensitivity [""&amp;IF(BN$3="""",BN$2,BN$2&amp;"", ""&amp;BN$3)&amp;""]'!E1:E20""),
        IMPORTRANGE($F$8,""'Sensitivity [""&amp;IF(BN$3="""",BN$2,BN$2&amp;"", ""&amp;BN$3)&amp;""]'!A1:A20"")=$E11
      ),
    "&amp;"  """"
    )
  )
), ""-"")
"),3.660334558971512)</f>
        <v>3.660334559</v>
      </c>
      <c r="BQ11" s="972">
        <f>IFERROR(__xludf.DUMMYFUNCTION("Iferror(IF(
  IFNA(
    FILTER(
      IMPORTRANGE($F$8,""'Sensitivity [""&amp;IF(BQ$3="""",BQ$2,BQ$2&amp;"", ""&amp;BQ$3)&amp;""]'!D1:D20""),
      IMPORTRANGE($F$8,""'Sensitivity [""&amp;IF(BQ$3="""",BQ$2,BQ$2&amp;"", ""&amp;BQ$3)&amp;""]'!A1:A20"")=$E11
    ),
    """"
  ) = """",
  "&amp;"""-"",
  BQ$5 * ( 1 +
    IFNA(
      FILTER(
        IMPORTRANGE($F$8,""'Sensitivity [""&amp;IF(BQ$3="""",BQ$2,BQ$2&amp;"", ""&amp;BQ$3)&amp;""]'!D1:D20""),
        IMPORTRANGE($F$8,""'Sensitivity [""&amp;IF(BQ$3="""",BQ$2,BQ$2&amp;"", ""&amp;BQ$3)&amp;""]'!A1:A20"")=$E11
      ),
    "&amp;"  """"
    )
  )
), ""-"")
"),2.73698016819686)</f>
        <v>2.736980168</v>
      </c>
      <c r="BR11" s="993" t="s">
        <v>165</v>
      </c>
      <c r="BS11" s="974">
        <f>IFERROR(__xludf.DUMMYFUNCTION("iferror(IF(
  IFNA(
    FILTER(
      IMPORTRANGE($F$8,""'Sensitivity [""&amp;IF(BQ$3="""",BQ$2,BQ$2&amp;"", ""&amp;BQ$3)&amp;""]'!E1:E20""),
      IMPORTRANGE($F$8,""'Sensitivity [""&amp;IF(BQ$3="""",BQ$2,BQ$2&amp;"", ""&amp;BQ$3)&amp;""]'!A1:A20"")=$E11
    ),
    """"
  ) = """",
  "&amp;"""-"",
  BQ$5 * ( 1 +
    IFNA(
      FILTER(
        IMPORTRANGE($F$8,""'Sensitivity [""&amp;IF(BQ$3="""",BQ$2,BQ$2&amp;"", ""&amp;BQ$3)&amp;""]'!E1:E20""),
        IMPORTRANGE($F$8,""'Sensitivity [""&amp;IF(BQ$3="""",BQ$2,BQ$2&amp;"", ""&amp;BQ$3)&amp;""]'!A1:A20"")=$E11
      ),
    "&amp;"  """"
    )
  )
), ""-"")
"),1.7709871676567805)</f>
        <v>1.770987168</v>
      </c>
      <c r="BT11" s="972">
        <f>IFERROR(__xludf.DUMMYFUNCTION("Iferror(IF(
  IFNA(
    FILTER(
      IMPORTRANGE($F$8,""'Sensitivity [""&amp;IF(BT$3="""",BT$2,BT$2&amp;"", ""&amp;BT$3)&amp;""]'!D1:D20""),
      IMPORTRANGE($F$8,""'Sensitivity [""&amp;IF(BT$3="""",BT$2,BT$2&amp;"", ""&amp;BT$3)&amp;""]'!A1:A20"")=$E11
    ),
    """"
  ) = """",
  "&amp;"""-"",
  BT$5 * ( 1 +
    IFNA(
      FILTER(
        IMPORTRANGE($F$8,""'Sensitivity [""&amp;IF(BT$3="""",BT$2,BT$2&amp;"", ""&amp;BT$3)&amp;""]'!D1:D20""),
        IMPORTRANGE($F$8,""'Sensitivity [""&amp;IF(BT$3="""",BT$2,BT$2&amp;"", ""&amp;BT$3)&amp;""]'!A1:A20"")=$E11
      ),
    "&amp;"  """"
    )
  )
), ""-"")
"),9.018672687055716)</f>
        <v>9.018672687</v>
      </c>
      <c r="BU11" s="993" t="s">
        <v>165</v>
      </c>
      <c r="BV11" s="974">
        <f>IFERROR(__xludf.DUMMYFUNCTION("iferror(IF(
  IFNA(
    FILTER(
      IMPORTRANGE($F$8,""'Sensitivity [""&amp;IF(BT$3="""",BT$2,BT$2&amp;"", ""&amp;BT$3)&amp;""]'!E1:E20""),
      IMPORTRANGE($F$8,""'Sensitivity [""&amp;IF(BT$3="""",BT$2,BT$2&amp;"", ""&amp;BT$3)&amp;""]'!A1:A20"")=$E11
    ),
    """"
  ) = """",
  "&amp;"""-"",
  BT$5 * ( 1 +
    IFNA(
      FILTER(
        IMPORTRANGE($F$8,""'Sensitivity [""&amp;IF(BT$3="""",BT$2,BT$2&amp;"", ""&amp;BT$3)&amp;""]'!E1:E20""),
        IMPORTRANGE($F$8,""'Sensitivity [""&amp;IF(BT$3="""",BT$2,BT$2&amp;"", ""&amp;BT$3)&amp;""]'!A1:A20"")=$E11
      ),
    "&amp;"  """"
    )
  )
), ""-"")
"),5.83561173868309)</f>
        <v>5.835611739</v>
      </c>
      <c r="BW11" s="972">
        <f>IFERROR(__xludf.DUMMYFUNCTION("Iferror(IF(
  IFNA(
    FILTER(
      IMPORTRANGE($F$8,""'Sensitivity [""&amp;IF(BW$3="""",BW$2,BW$2&amp;"", ""&amp;BW$3)&amp;""]'!D1:D20""),
      IMPORTRANGE($F$8,""'Sensitivity [""&amp;IF(BW$3="""",BW$2,BW$2&amp;"", ""&amp;BW$3)&amp;""]'!A1:A20"")=$E11
    ),
    """"
  ) = """",
  "&amp;"""-"",
  BW$5 * ( 1 +
    IFNA(
      FILTER(
        IMPORTRANGE($F$8,""'Sensitivity [""&amp;IF(BW$3="""",BW$2,BW$2&amp;"", ""&amp;BW$3)&amp;""]'!D1:D20""),
        IMPORTRANGE($F$8,""'Sensitivity [""&amp;IF(BW$3="""",BW$2,BW$2&amp;"", ""&amp;BW$3)&amp;""]'!A1:A20"")=$E11
      ),
    "&amp;"  """"
    )
  )
), ""-"")
"),34.007297797990404)</f>
        <v>34.0072978</v>
      </c>
      <c r="BX11" s="993" t="s">
        <v>165</v>
      </c>
      <c r="BY11" s="974">
        <f>IFERROR(__xludf.DUMMYFUNCTION("iferror(IF(
  IFNA(
    FILTER(
      IMPORTRANGE($F$8,""'Sensitivity [""&amp;IF(BW$3="""",BW$2,BW$2&amp;"", ""&amp;BW$3)&amp;""]'!E1:E20""),
      IMPORTRANGE($F$8,""'Sensitivity [""&amp;IF(BW$3="""",BW$2,BW$2&amp;"", ""&amp;BW$3)&amp;""]'!A1:A20"")=$E11
    ),
    """"
  ) = """",
  "&amp;"""-"",
  BW$5 * ( 1 +
    IFNA(
      FILTER(
        IMPORTRANGE($F$8,""'Sensitivity [""&amp;IF(BW$3="""",BW$2,BW$2&amp;"", ""&amp;BW$3)&amp;""]'!E1:E20""),
        IMPORTRANGE($F$8,""'Sensitivity [""&amp;IF(BW$3="""",BW$2,BW$2&amp;"", ""&amp;BW$3)&amp;""]'!A1:A20"")=$E11
      ),
    "&amp;"  """"
    )
  )
), ""-"")
"),22.004722104582005)</f>
        <v>22.0047221</v>
      </c>
      <c r="BZ11" s="972">
        <f>IFERROR(__xludf.DUMMYFUNCTION("Iferror(IF(
  IFNA(
    FILTER(
      IMPORTRANGE($F$8,""'Sensitivity [""&amp;IF(BZ$3="""",BZ$2,BZ$2&amp;"", ""&amp;BZ$3)&amp;""]'!D1:D20""),
      IMPORTRANGE($F$8,""'Sensitivity [""&amp;IF(BZ$3="""",BZ$2,BZ$2&amp;"", ""&amp;BZ$3)&amp;""]'!A1:A20"")=$E11
    ),
    """"
  ) = """",
  "&amp;"""-"",
  BZ$5 * ( 1 +
    IFNA(
      FILTER(
        IMPORTRANGE($F$8,""'Sensitivity [""&amp;IF(BZ$3="""",BZ$2,BZ$2&amp;"", ""&amp;BZ$3)&amp;""]'!D1:D20""),
        IMPORTRANGE($F$8,""'Sensitivity [""&amp;IF(BZ$3="""",BZ$2,BZ$2&amp;"", ""&amp;BZ$3)&amp;""]'!A1:A20"")=$E11
      ),
    "&amp;"  """"
    )
  )
), ""-"")
"),6.6312241058869805)</f>
        <v>6.631224106</v>
      </c>
      <c r="CA11" s="993" t="s">
        <v>165</v>
      </c>
      <c r="CB11" s="974">
        <f>IFERROR(__xludf.DUMMYFUNCTION("iferror(IF(
  IFNA(
    FILTER(
      IMPORTRANGE($F$8,""'Sensitivity [""&amp;IF(BZ$3="""",BZ$2,BZ$2&amp;"", ""&amp;BZ$3)&amp;""]'!E1:E20""),
      IMPORTRANGE($F$8,""'Sensitivity [""&amp;IF(BZ$3="""",BZ$2,BZ$2&amp;"", ""&amp;BZ$3)&amp;""]'!A1:A20"")=$E11
    ),
    """"
  ) = """",
  "&amp;"""-"",
  BZ$5 * ( 1 +
    IFNA(
      FILTER(
        IMPORTRANGE($F$8,""'Sensitivity [""&amp;IF(BZ$3="""",BZ$2,BZ$2&amp;"", ""&amp;BZ$3)&amp;""]'!E1:E20""),
        IMPORTRANGE($F$8,""'Sensitivity [""&amp;IF(BZ$3="""",BZ$2,BZ$2&amp;"", ""&amp;BZ$3)&amp;""]'!A1:A20"")=$E11
      ),
    "&amp;"  """"
    )
  )
), ""-"")
"),4.290792068515081)</f>
        <v>4.290792069</v>
      </c>
      <c r="CC11" s="972">
        <f>IFERROR(__xludf.DUMMYFUNCTION("Iferror(IF(
  IFNA(
    FILTER(
      IMPORTRANGE($F$8,""'Sensitivity [""&amp;IF(CC$3="""",CC$2,CC$2&amp;"", ""&amp;CC$3)&amp;""]'!D1:D20""),
      IMPORTRANGE($F$8,""'Sensitivity [""&amp;IF(CC$3="""",CC$2,CC$2&amp;"", ""&amp;CC$3)&amp;""]'!A1:A20"")=$E11
    ),
    """"
  ) = """",
  "&amp;"""-"",
  CC$5 * ( 1 +
    IFNA(
      FILTER(
        IMPORTRANGE($F$8,""'Sensitivity [""&amp;IF(CC$3="""",CC$2,CC$2&amp;"", ""&amp;CC$3)&amp;""]'!D1:D20""),
        IMPORTRANGE($F$8,""'Sensitivity [""&amp;IF(CC$3="""",CC$2,CC$2&amp;"", ""&amp;CC$3)&amp;""]'!A1:A20"")=$E11
      ),
    "&amp;"  """"
    )
  )
), ""-"")
"),23.538083375259873)</f>
        <v>23.53808338</v>
      </c>
      <c r="CD11" s="993" t="s">
        <v>165</v>
      </c>
      <c r="CE11" s="974">
        <f>IFERROR(__xludf.DUMMYFUNCTION("iferror(IF(
  IFNA(
    FILTER(
      IMPORTRANGE($F$8,""'Sensitivity [""&amp;IF(CC$3="""",CC$2,CC$2&amp;"", ""&amp;CC$3)&amp;""]'!E1:E20""),
      IMPORTRANGE($F$8,""'Sensitivity [""&amp;IF(CC$3="""",CC$2,CC$2&amp;"", ""&amp;CC$3)&amp;""]'!A1:A20"")=$E11
    ),
    """"
  ) = """",
  "&amp;"""-"",
  CC$5 * ( 1 +
    IFNA(
      FILTER(
        IMPORTRANGE($F$8,""'Sensitivity [""&amp;IF(CC$3="""",CC$2,CC$2&amp;"", ""&amp;CC$3)&amp;""]'!E1:E20""),
        IMPORTRANGE($F$8,""'Sensitivity [""&amp;IF(CC$3="""",CC$2,CC$2&amp;"", ""&amp;CC$3)&amp;""]'!A1:A20"")=$E11
      ),
    "&amp;"  """"
    )
  )
), ""-"")
"),15.230524536932867)</f>
        <v>15.23052454</v>
      </c>
      <c r="CF11" s="972">
        <f>IFERROR(__xludf.DUMMYFUNCTION("Iferror(IF(
  IFNA(
    FILTER(
      IMPORTRANGE($F$8,""'Sensitivity [""&amp;IF(CF$3="""",CF$2,CF$2&amp;"", ""&amp;CF$3)&amp;""]'!D1:D20""),
      IMPORTRANGE($F$8,""'Sensitivity [""&amp;IF(CF$3="""",CF$2,CF$2&amp;"", ""&amp;CF$3)&amp;""]'!A1:A20"")=$E11
    ),
    """"
  ) = """",
  "&amp;"""-"",
  CF$5 * ( 1 +
    IFNA(
      FILTER(
        IMPORTRANGE($F$8,""'Sensitivity [""&amp;IF(CF$3="""",CF$2,CF$2&amp;"", ""&amp;CF$3)&amp;""]'!D1:D20""),
        IMPORTRANGE($F$8,""'Sensitivity [""&amp;IF(CF$3="""",CF$2,CF$2&amp;"", ""&amp;CF$3)&amp;""]'!A1:A20"")=$E11
      ),
    "&amp;"  """"
    )
  )
), ""-"")
"),17.501867375548443)</f>
        <v>17.50186738</v>
      </c>
      <c r="CG11" s="993" t="s">
        <v>165</v>
      </c>
      <c r="CH11" s="974">
        <f>IFERROR(__xludf.DUMMYFUNCTION("iferror(IF(
  IFNA(
    FILTER(
      IMPORTRANGE($F$8,""'Sensitivity [""&amp;IF(CF$3="""",CF$2,CF$2&amp;"", ""&amp;CF$3)&amp;""]'!E1:E20""),
      IMPORTRANGE($F$8,""'Sensitivity [""&amp;IF(CF$3="""",CF$2,CF$2&amp;"", ""&amp;CF$3)&amp;""]'!A1:A20"")=$E11
    ),
    """"
  ) = """",
  "&amp;"""-"",
  CF$5 * ( 1 +
    IFNA(
      FILTER(
        IMPORTRANGE($F$8,""'Sensitivity [""&amp;IF(CF$3="""",CF$2,CF$2&amp;"", ""&amp;CF$3)&amp;""]'!E1:E20""),
        IMPORTRANGE($F$8,""'Sensitivity [""&amp;IF(CF$3="""",CF$2,CF$2&amp;"", ""&amp;CF$3)&amp;""]'!A1:A20"")=$E11
      ),
    "&amp;"  """"
    )
  )
), ""-"")
"),11.32473771359017)</f>
        <v>11.32473771</v>
      </c>
      <c r="CI11" s="972">
        <f>IFERROR(__xludf.DUMMYFUNCTION("Iferror(IF(
  IFNA(
    FILTER(
      IMPORTRANGE($F$8,""'Sensitivity [""&amp;IF(CI$3="""",CI$2,CI$2&amp;"", ""&amp;CI$3)&amp;""]'!D1:D20""),
      IMPORTRANGE($F$8,""'Sensitivity [""&amp;IF(CI$3="""",CI$2,CI$2&amp;"", ""&amp;CI$3)&amp;""]'!A1:A20"")=$E11
    ),
    """"
  ) = """",
  "&amp;"""-"",
  CI$5 * ( 1 +
    IFNA(
      FILTER(
        IMPORTRANGE($F$8,""'Sensitivity [""&amp;IF(CI$3="""",CI$2,CI$2&amp;"", ""&amp;CI$3)&amp;""]'!D1:D20""),
        IMPORTRANGE($F$8,""'Sensitivity [""&amp;IF(CI$3="""",CI$2,CI$2&amp;"", ""&amp;CI$3)&amp;""]'!A1:A20"")=$E11
      ),
    "&amp;"  """"
    )
  )
), ""-"")
"),7.404984937900784)</f>
        <v>7.404984938</v>
      </c>
      <c r="CJ11" s="993" t="s">
        <v>165</v>
      </c>
      <c r="CK11" s="974">
        <f>IFERROR(__xludf.DUMMYFUNCTION("iferror(IF(
  IFNA(
    FILTER(
      IMPORTRANGE($F$8,""'Sensitivity [""&amp;IF(CI$3="""",CI$2,CI$2&amp;"", ""&amp;CI$3)&amp;""]'!E1:E20""),
      IMPORTRANGE($F$8,""'Sensitivity [""&amp;IF(CI$3="""",CI$2,CI$2&amp;"", ""&amp;CI$3)&amp;""]'!A1:A20"")=$E11
    ),
    """"
  ) = """",
  "&amp;"""-"",
  CI$5 * ( 1 +
    IFNA(
      FILTER(
        IMPORTRANGE($F$8,""'Sensitivity [""&amp;IF(CI$3="""",CI$2,CI$2&amp;"", ""&amp;CI$3)&amp;""]'!E1:E20""),
        IMPORTRANGE($F$8,""'Sensitivity [""&amp;IF(CI$3="""",CI$2,CI$2&amp;"", ""&amp;CI$3)&amp;""]'!A1:A20"")=$E11
      ),
    "&amp;"  """"
    )
  )
), ""-"")
"),4.791460842171113)</f>
        <v>4.791460842</v>
      </c>
      <c r="CL11" s="890"/>
    </row>
    <row r="12">
      <c r="A12" s="889"/>
      <c r="B12" s="890"/>
      <c r="C12" s="890"/>
      <c r="D12" s="890"/>
      <c r="E12" s="992" t="str">
        <f t="shared" si="1"/>
        <v>Mortality rate among people under age five</v>
      </c>
      <c r="F12" s="972">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"),17.892026515457864)</f>
        <v>17.89202652</v>
      </c>
      <c r="G12" s="993" t="s">
        <v>165</v>
      </c>
      <c r="H12" s="974">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"),27.86463145849988)</f>
        <v>27.86463146</v>
      </c>
      <c r="I12" s="972">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"),11.75945217614963)</f>
        <v>11.75945218</v>
      </c>
      <c r="J12" s="993" t="s">
        <v>165</v>
      </c>
      <c r="K12" s="974">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"),20.011699317307244)</f>
        <v>20.01169932</v>
      </c>
      <c r="L12" s="972">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"),6.3283287243625885)</f>
        <v>6.328328724</v>
      </c>
      <c r="M12" s="993" t="s">
        <v>165</v>
      </c>
      <c r="N12" s="974">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"),10.725980888750124)</f>
        <v>10.72598089</v>
      </c>
      <c r="O12" s="972">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"),12.201307374831455)</f>
        <v>12.20130737</v>
      </c>
      <c r="P12" s="993" t="s">
        <v>165</v>
      </c>
      <c r="Q12" s="974">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"),21.352287905955006)</f>
        <v>21.35228791</v>
      </c>
      <c r="R12" s="972">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"),8.44687666961405)</f>
        <v>8.44687667</v>
      </c>
      <c r="S12" s="993" t="s">
        <v>165</v>
      </c>
      <c r="T12" s="974">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"),13.515002671382447)</f>
        <v>13.51500267</v>
      </c>
      <c r="U12" s="972">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"),3.4021467182261182)</f>
        <v>3.402146718</v>
      </c>
      <c r="V12" s="993" t="s">
        <v>165</v>
      </c>
      <c r="W12" s="974">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"),6.259949961536067)</f>
        <v>6.259949962</v>
      </c>
      <c r="X12" s="972">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"),11.952842311802524)</f>
        <v>11.95284231</v>
      </c>
      <c r="Y12" s="993" t="s">
        <v>165</v>
      </c>
      <c r="Z12" s="974">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"),20.4577493413542)</f>
        <v>20.45774934</v>
      </c>
      <c r="AA12" s="972">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"),25.860502967231575)</f>
        <v>25.86050297</v>
      </c>
      <c r="AB12" s="993" t="s">
        <v>165</v>
      </c>
      <c r="AC12" s="974">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"),40.22744906013787)</f>
        <v>40.22744906</v>
      </c>
      <c r="AD12" s="972">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"),47.29802076516648)</f>
        <v>47.29802077</v>
      </c>
      <c r="AE12" s="993" t="s">
        <v>165</v>
      </c>
      <c r="AF12" s="974">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"),72.45654244876556)</f>
        <v>72.45654245</v>
      </c>
      <c r="AG12" s="972">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"),16.68192494736436)</f>
        <v>16.68192495</v>
      </c>
      <c r="AH12" s="993" t="s">
        <v>165</v>
      </c>
      <c r="AI12" s="974">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"),26.300332124223104)</f>
        <v>26.30033212</v>
      </c>
      <c r="AJ12" s="972">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"),3.1383097061005)</f>
        <v>3.138309706</v>
      </c>
      <c r="AK12" s="993" t="s">
        <v>165</v>
      </c>
      <c r="AL12" s="974">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"),5.587722159642359)</f>
        <v>5.58772216</v>
      </c>
      <c r="AM12" s="972">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"),1.6620107547314082)</f>
        <v>1.662010755</v>
      </c>
      <c r="AN12" s="993" t="s">
        <v>165</v>
      </c>
      <c r="AO12" s="974">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"),3.037467931060869)</f>
        <v>3.037467931</v>
      </c>
      <c r="AP12" s="972">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"),7.235490303199418)</f>
        <v>7.235490303</v>
      </c>
      <c r="AQ12" s="993" t="s">
        <v>165</v>
      </c>
      <c r="AR12" s="974">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"),12.095147969527396)</f>
        <v>12.09514797</v>
      </c>
      <c r="AS12" s="972">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"),3.8646497869743532)</f>
        <v>3.864649787</v>
      </c>
      <c r="AT12" s="993" t="s">
        <v>165</v>
      </c>
      <c r="AU12" s="974">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"),6.556102317188637)</f>
        <v>6.556102317</v>
      </c>
      <c r="AV12" s="972">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"),10.13553673654991)</f>
        <v>10.13553674</v>
      </c>
      <c r="AW12" s="993" t="s">
        <v>165</v>
      </c>
      <c r="AX12" s="974">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"),16.940825688233442)</f>
        <v>16.94082569</v>
      </c>
      <c r="AY12" s="972">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"),2.7373949858262283)</f>
        <v>2.737394986</v>
      </c>
      <c r="AZ12" s="993" t="s">
        <v>165</v>
      </c>
      <c r="BA12" s="974">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"),4.873898389397916)</f>
        <v>4.873898389</v>
      </c>
      <c r="BB12" s="972">
        <f>IFERROR(__xludf.DUMMYFUNCTION("Iferror(IF(
  IFNA(
    FILTER(
      IMPORTRANGE($F$8,""'Sensitivity [""&amp;IF(BB$3="""",BB$2,BB$2&amp;"", ""&amp;BB$3)&amp;""]'!D1:D20""),
      IMPORTRANGE($F$8,""'Sensitivity [""&amp;IF(BB$3="""",BB$2,BB$2&amp;"", ""&amp;BB$3)&amp;""]'!A1:A20"")=$E12
    ),
    """"
  ) = """",
  "&amp;"""-"",
  BB$5 * ( 1 +
    IFNA(
      FILTER(
        IMPORTRANGE($F$8,""'Sensitivity [""&amp;IF(BB$3="""",BB$2,BB$2&amp;"", ""&amp;BB$3)&amp;""]'!D1:D20""),
        IMPORTRANGE($F$8,""'Sensitivity [""&amp;IF(BB$3="""",BB$2,BB$2&amp;"", ""&amp;BB$3)&amp;""]'!A1:A20"")=$E12
      ),
    "&amp;"  """"
    )
  )
), ""-"")
"),4.275936647790648)</f>
        <v>4.275936648</v>
      </c>
      <c r="BC12" s="993" t="s">
        <v>165</v>
      </c>
      <c r="BD12" s="974">
        <f>IFERROR(__xludf.DUMMYFUNCTION("iferror(IF(
  IFNA(
    FILTER(
      IMPORTRANGE($F$8,""'Sensitivity [""&amp;IF(BB$3="""",BB$2,BB$2&amp;"", ""&amp;BB$3)&amp;""]'!E1:E20""),
      IMPORTRANGE($F$8,""'Sensitivity [""&amp;IF(BB$3="""",BB$2,BB$2&amp;"", ""&amp;BB$3)&amp;""]'!A1:A20"")=$E12
    ),
    """"
  ) = """",
  "&amp;"""-"",
  BB$5 * ( 1 +
    IFNA(
      FILTER(
        IMPORTRANGE($F$8,""'Sensitivity [""&amp;IF(BB$3="""",BB$2,BB$2&amp;"", ""&amp;BB$3)&amp;""]'!E1:E20""),
        IMPORTRANGE($F$8,""'Sensitivity [""&amp;IF(BB$3="""",BB$2,BB$2&amp;"", ""&amp;BB$3)&amp;""]'!A1:A20"")=$E12
      ),
    "&amp;"  """"
    )
  )
), ""-"")
"),7.417441123718472)</f>
        <v>7.417441124</v>
      </c>
      <c r="BE12" s="972">
        <f>IFERROR(__xludf.DUMMYFUNCTION("Iferror(IF(
  IFNA(
    FILTER(
      IMPORTRANGE($F$8,""'Sensitivity [""&amp;IF(BE$3="""",BE$2,BE$2&amp;"", ""&amp;BE$3)&amp;""]'!D1:D20""),
      IMPORTRANGE($F$8,""'Sensitivity [""&amp;IF(BE$3="""",BE$2,BE$2&amp;"", ""&amp;BE$3)&amp;""]'!A1:A20"")=$E12
    ),
    """"
  ) = """",
  "&amp;"""-"",
  BE$5 * ( 1 +
    IFNA(
      FILTER(
        IMPORTRANGE($F$8,""'Sensitivity [""&amp;IF(BE$3="""",BE$2,BE$2&amp;"", ""&amp;BE$3)&amp;""]'!D1:D20""),
        IMPORTRANGE($F$8,""'Sensitivity [""&amp;IF(BE$3="""",BE$2,BE$2&amp;"", ""&amp;BE$3)&amp;""]'!A1:A20"")=$E12
      ),
    "&amp;"  """"
    )
  )
), ""-"")
"),2.203869257356187)</f>
        <v>2.203869257</v>
      </c>
      <c r="BF12" s="993" t="s">
        <v>165</v>
      </c>
      <c r="BG12" s="974">
        <f>IFERROR(__xludf.DUMMYFUNCTION("iferror(IF(
  IFNA(
    FILTER(
      IMPORTRANGE($F$8,""'Sensitivity [""&amp;IF(BE$3="""",BE$2,BE$2&amp;"", ""&amp;BE$3)&amp;""]'!E1:E20""),
      IMPORTRANGE($F$8,""'Sensitivity [""&amp;IF(BE$3="""",BE$2,BE$2&amp;"", ""&amp;BE$3)&amp;""]'!A1:A20"")=$E12
    ),
    """"
  ) = """",
  "&amp;"""-"",
  BE$5 * ( 1 +
    IFNA(
      FILTER(
        IMPORTRANGE($F$8,""'Sensitivity [""&amp;IF(BE$3="""",BE$2,BE$2&amp;"", ""&amp;BE$3)&amp;""]'!E1:E20""),
        IMPORTRANGE($F$8,""'Sensitivity [""&amp;IF(BE$3="""",BE$2,BE$2&amp;"", ""&amp;BE$3)&amp;""]'!A1:A20"")=$E12
      ),
    "&amp;"  """"
    )
  )
), ""-"")
"),4.014190433041614)</f>
        <v>4.014190433</v>
      </c>
      <c r="BH12" s="972">
        <f>IFERROR(__xludf.DUMMYFUNCTION("Iferror(IF(
  IFNA(
    FILTER(
      IMPORTRANGE($F$8,""'Sensitivity [""&amp;IF(BH$3="""",BH$2,BH$2&amp;"", ""&amp;BH$3)&amp;""]'!D1:D20""),
      IMPORTRANGE($F$8,""'Sensitivity [""&amp;IF(BH$3="""",BH$2,BH$2&amp;"", ""&amp;BH$3)&amp;""]'!A1:A20"")=$E12
    ),
    """"
  ) = """",
  "&amp;"""-"",
  BH$5 * ( 1 +
    IFNA(
      FILTER(
        IMPORTRANGE($F$8,""'Sensitivity [""&amp;IF(BH$3="""",BH$2,BH$2&amp;"", ""&amp;BH$3)&amp;""]'!D1:D20""),
        IMPORTRANGE($F$8,""'Sensitivity [""&amp;IF(BH$3="""",BH$2,BH$2&amp;"", ""&amp;BH$3)&amp;""]'!A1:A20"")=$E12
      ),
    "&amp;"  """"
    )
  )
), ""-"")
"),2.996698850695706)</f>
        <v>2.996698851</v>
      </c>
      <c r="BI12" s="993" t="s">
        <v>165</v>
      </c>
      <c r="BJ12" s="974">
        <f>IFERROR(__xludf.DUMMYFUNCTION("iferror(IF(
  IFNA(
    FILTER(
      IMPORTRANGE($F$8,""'Sensitivity [""&amp;IF(BH$3="""",BH$2,BH$2&amp;"", ""&amp;BH$3)&amp;""]'!E1:E20""),
      IMPORTRANGE($F$8,""'Sensitivity [""&amp;IF(BH$3="""",BH$2,BH$2&amp;"", ""&amp;BH$3)&amp;""]'!A1:A20"")=$E12
    ),
    """"
  ) = """",
  "&amp;"""-"",
  BH$5 * ( 1 +
    IFNA(
      FILTER(
        IMPORTRANGE($F$8,""'Sensitivity [""&amp;IF(BH$3="""",BH$2,BH$2&amp;"", ""&amp;BH$3)&amp;""]'!E1:E20""),
        IMPORTRANGE($F$8,""'Sensitivity [""&amp;IF(BH$3="""",BH$2,BH$2&amp;"", ""&amp;BH$3)&amp;""]'!A1:A20"")=$E12
      ),
    "&amp;"  """"
    )
  )
), ""-"")
"),5.39405793125228)</f>
        <v>5.394057931</v>
      </c>
      <c r="BK12" s="972">
        <f>IFERROR(__xludf.DUMMYFUNCTION("Iferror(IF(
  IFNA(
    FILTER(
      IMPORTRANGE($F$8,""'Sensitivity [""&amp;IF(BK$3="""",BK$2,BK$2&amp;"", ""&amp;BK$3)&amp;""]'!D1:D20""),
      IMPORTRANGE($F$8,""'Sensitivity [""&amp;IF(BK$3="""",BK$2,BK$2&amp;"", ""&amp;BK$3)&amp;""]'!A1:A20"")=$E12
    ),
    """"
  ) = """",
  "&amp;"""-"",
  BK$5 * ( 1 +
    IFNA(
      FILTER(
        IMPORTRANGE($F$8,""'Sensitivity [""&amp;IF(BK$3="""",BK$2,BK$2&amp;"", ""&amp;BK$3)&amp;""]'!D1:D20""),
        IMPORTRANGE($F$8,""'Sensitivity [""&amp;IF(BK$3="""",BK$2,BK$2&amp;"", ""&amp;BK$3)&amp;""]'!A1:A20"")=$E12
      ),
    "&amp;"  """"
    )
  )
), ""-"")
"),8.978361945019975)</f>
        <v>8.978361945</v>
      </c>
      <c r="BL12" s="993" t="s">
        <v>165</v>
      </c>
      <c r="BM12" s="974">
        <f>IFERROR(__xludf.DUMMYFUNCTION("iferror(IF(
  IFNA(
    FILTER(
      IMPORTRANGE($F$8,""'Sensitivity [""&amp;IF(BK$3="""",BK$2,BK$2&amp;"", ""&amp;BK$3)&amp;""]'!E1:E20""),
      IMPORTRANGE($F$8,""'Sensitivity [""&amp;IF(BK$3="""",BK$2,BK$2&amp;"", ""&amp;BK$3)&amp;""]'!A1:A20"")=$E12
    ),
    """"
  ) = """",
  "&amp;"""-"",
  BK$5 * ( 1 +
    IFNA(
      FILTER(
        IMPORTRANGE($F$8,""'Sensitivity [""&amp;IF(BK$3="""",BK$2,BK$2&amp;"", ""&amp;BK$3)&amp;""]'!E1:E20""),
        IMPORTRANGE($F$8,""'Sensitivity [""&amp;IF(BK$3="""",BK$2,BK$2&amp;"", ""&amp;BK$3)&amp;""]'!A1:A20"")=$E12
      ),
    "&amp;"  """"
    )
  )
), ""-"")
"),15.00860504242143)</f>
        <v>15.00860504</v>
      </c>
      <c r="BN12" s="972">
        <f>IFERROR(__xludf.DUMMYFUNCTION("Iferror(IF(
  IFNA(
    FILTER(
      IMPORTRANGE($F$8,""'Sensitivity [""&amp;IF(BN$3="""",BN$2,BN$2&amp;"", ""&amp;BN$3)&amp;""]'!D1:D20""),
      IMPORTRANGE($F$8,""'Sensitivity [""&amp;IF(BN$3="""",BN$2,BN$2&amp;"", ""&amp;BN$3)&amp;""]'!A1:A20"")=$E12
    ),
    """"
  ) = """",
  "&amp;"""-"",
  BN$5 * ( 1 +
    IFNA(
      FILTER(
        IMPORTRANGE($F$8,""'Sensitivity [""&amp;IF(BN$3="""",BN$2,BN$2&amp;"", ""&amp;BN$3)&amp;""]'!D1:D20""),
        IMPORTRANGE($F$8,""'Sensitivity [""&amp;IF(BN$3="""",BN$2,BN$2&amp;"", ""&amp;BN$3)&amp;""]'!A1:A20"")=$E12
      ),
    "&amp;"  """"
    )
  )
), ""-"")
"),3.5050819203735526)</f>
        <v>3.50508192</v>
      </c>
      <c r="BO12" s="993" t="s">
        <v>165</v>
      </c>
      <c r="BP12" s="974">
        <f>IFERROR(__xludf.DUMMYFUNCTION("iferror(IF(
  IFNA(
    FILTER(
      IMPORTRANGE($F$8,""'Sensitivity [""&amp;IF(BN$3="""",BN$2,BN$2&amp;"", ""&amp;BN$3)&amp;""]'!E1:E20""),
      IMPORTRANGE($F$8,""'Sensitivity [""&amp;IF(BN$3="""",BN$2,BN$2&amp;"", ""&amp;BN$3)&amp;""]'!A1:A20"")=$E12
    ),
    """"
  ) = """",
  "&amp;"""-"",
  BN$5 * ( 1 +
    IFNA(
      FILTER(
        IMPORTRANGE($F$8,""'Sensitivity [""&amp;IF(BN$3="""",BN$2,BN$2&amp;"", ""&amp;BN$3)&amp;""]'!E1:E20""),
        IMPORTRANGE($F$8,""'Sensitivity [""&amp;IF(BN$3="""",BN$2,BN$2&amp;"", ""&amp;BN$3)&amp;""]'!A1:A20"")=$E12
      ),
    "&amp;"  """"
    )
  )
), ""-"")
"),6.113514977395736)</f>
        <v>6.113514977</v>
      </c>
      <c r="BQ12" s="972">
        <f>IFERROR(__xludf.DUMMYFUNCTION("Iferror(IF(
  IFNA(
    FILTER(
      IMPORTRANGE($F$8,""'Sensitivity [""&amp;IF(BQ$3="""",BQ$2,BQ$2&amp;"", ""&amp;BQ$3)&amp;""]'!D1:D20""),
      IMPORTRANGE($F$8,""'Sensitivity [""&amp;IF(BQ$3="""",BQ$2,BQ$2&amp;"", ""&amp;BQ$3)&amp;""]'!A1:A20"")=$E12
    ),
    """"
  ) = """",
  "&amp;"""-"",
  BQ$5 * ( 1 +
    IFNA(
      FILTER(
        IMPORTRANGE($F$8,""'Sensitivity [""&amp;IF(BQ$3="""",BQ$2,BQ$2&amp;"", ""&amp;BQ$3)&amp;""]'!D1:D20""),
        IMPORTRANGE($F$8,""'Sensitivity [""&amp;IF(BQ$3="""",BQ$2,BQ$2&amp;"", ""&amp;BQ$3)&amp;""]'!A1:A20"")=$E12
      ),
    "&amp;"  """"
    )
  )
), ""-"")
"),1.656183507090127)</f>
        <v>1.656183507</v>
      </c>
      <c r="BR12" s="993" t="s">
        <v>165</v>
      </c>
      <c r="BS12" s="974">
        <f>IFERROR(__xludf.DUMMYFUNCTION("iferror(IF(
  IFNA(
    FILTER(
      IMPORTRANGE($F$8,""'Sensitivity [""&amp;IF(BQ$3="""",BQ$2,BQ$2&amp;"", ""&amp;BQ$3)&amp;""]'!E1:E20""),
      IMPORTRANGE($F$8,""'Sensitivity [""&amp;IF(BQ$3="""",BQ$2,BQ$2&amp;"", ""&amp;BQ$3)&amp;""]'!A1:A20"")=$E12
    ),
    """"
  ) = """",
  "&amp;"""-"",
  BQ$5 * ( 1 +
    IFNA(
      FILTER(
        IMPORTRANGE($F$8,""'Sensitivity [""&amp;IF(BQ$3="""",BQ$2,BQ$2&amp;"", ""&amp;BQ$3)&amp;""]'!E1:E20""),
        IMPORTRANGE($F$8,""'Sensitivity [""&amp;IF(BQ$3="""",BQ$2,BQ$2&amp;"", ""&amp;BQ$3)&amp;""]'!A1:A20"")=$E12
      ),
    "&amp;"  """"
    )
  )
), ""-"")
"),2.9938701858936976)</f>
        <v>2.993870186</v>
      </c>
      <c r="BT12" s="972">
        <f>IFERROR(__xludf.DUMMYFUNCTION("Iferror(IF(
  IFNA(
    FILTER(
      IMPORTRANGE($F$8,""'Sensitivity [""&amp;IF(BT$3="""",BT$2,BT$2&amp;"", ""&amp;BT$3)&amp;""]'!D1:D20""),
      IMPORTRANGE($F$8,""'Sensitivity [""&amp;IF(BT$3="""",BT$2,BT$2&amp;"", ""&amp;BT$3)&amp;""]'!A1:A20"")=$E12
    ),
    """"
  ) = """",
  "&amp;"""-"",
  BT$5 * ( 1 +
    IFNA(
      FILTER(
        IMPORTRANGE($F$8,""'Sensitivity [""&amp;IF(BT$3="""",BT$2,BT$2&amp;"", ""&amp;BT$3)&amp;""]'!D1:D20""),
        IMPORTRANGE($F$8,""'Sensitivity [""&amp;IF(BT$3="""",BT$2,BT$2&amp;"", ""&amp;BT$3)&amp;""]'!A1:A20"")=$E12
      ),
    "&amp;"  """"
    )
  )
), ""-"")
"),5.673914036017426)</f>
        <v>5.673914036</v>
      </c>
      <c r="BU12" s="993" t="s">
        <v>165</v>
      </c>
      <c r="BV12" s="974">
        <f>IFERROR(__xludf.DUMMYFUNCTION("iferror(IF(
  IFNA(
    FILTER(
      IMPORTRANGE($F$8,""'Sensitivity [""&amp;IF(BT$3="""",BT$2,BT$2&amp;"", ""&amp;BT$3)&amp;""]'!E1:E20""),
      IMPORTRANGE($F$8,""'Sensitivity [""&amp;IF(BT$3="""",BT$2,BT$2&amp;"", ""&amp;BT$3)&amp;""]'!A1:A20"")=$E12
    ),
    """"
  ) = """",
  "&amp;"""-"",
  BT$5 * ( 1 +
    IFNA(
      FILTER(
        IMPORTRANGE($F$8,""'Sensitivity [""&amp;IF(BT$3="""",BT$2,BT$2&amp;"", ""&amp;BT$3)&amp;""]'!E1:E20""),
        IMPORTRANGE($F$8,""'Sensitivity [""&amp;IF(BT$3="""",BT$2,BT$2&amp;"", ""&amp;BT$3)&amp;""]'!A1:A20"")=$E12
      ),
    "&amp;"  """"
    )
  )
), ""-"")
"),9.684784302857382)</f>
        <v>9.684784303</v>
      </c>
      <c r="BW12" s="972">
        <f>IFERROR(__xludf.DUMMYFUNCTION("Iferror(IF(
  IFNA(
    FILTER(
      IMPORTRANGE($F$8,""'Sensitivity [""&amp;IF(BW$3="""",BW$2,BW$2&amp;"", ""&amp;BW$3)&amp;""]'!D1:D20""),
      IMPORTRANGE($F$8,""'Sensitivity [""&amp;IF(BW$3="""",BW$2,BW$2&amp;"", ""&amp;BW$3)&amp;""]'!A1:A20"")=$E12
    ),
    """"
  ) = """",
  "&amp;"""-"",
  BW$5 * ( 1 +
    IFNA(
      FILTER(
        IMPORTRANGE($F$8,""'Sensitivity [""&amp;IF(BW$3="""",BW$2,BW$2&amp;"", ""&amp;BW$3)&amp;""]'!D1:D20""),
        IMPORTRANGE($F$8,""'Sensitivity [""&amp;IF(BW$3="""",BW$2,BW$2&amp;"", ""&amp;BW$3)&amp;""]'!A1:A20"")=$E12
      ),
    "&amp;"  """"
    )
  )
), ""-"")
"),22.59519624007293)</f>
        <v>22.59519624</v>
      </c>
      <c r="BX12" s="993" t="s">
        <v>165</v>
      </c>
      <c r="BY12" s="974">
        <f>IFERROR(__xludf.DUMMYFUNCTION("iferror(IF(
  IFNA(
    FILTER(
      IMPORTRANGE($F$8,""'Sensitivity [""&amp;IF(BW$3="""",BW$2,BW$2&amp;"", ""&amp;BW$3)&amp;""]'!E1:E20""),
      IMPORTRANGE($F$8,""'Sensitivity [""&amp;IF(BW$3="""",BW$2,BW$2&amp;"", ""&amp;BW$3)&amp;""]'!A1:A20"")=$E12
    ),
    """"
  ) = """",
  "&amp;"""-"",
  BW$5 * ( 1 +
    IFNA(
      FILTER(
        IMPORTRANGE($F$8,""'Sensitivity [""&amp;IF(BW$3="""",BW$2,BW$2&amp;"", ""&amp;BW$3)&amp;""]'!E1:E20""),
        IMPORTRANGE($F$8,""'Sensitivity [""&amp;IF(BW$3="""",BW$2,BW$2&amp;"", ""&amp;BW$3)&amp;""]'!A1:A20"")=$E12
      ),
    "&amp;"  """"
    )
  )
), ""-"")
"),35.18924004601523)</f>
        <v>35.18924005</v>
      </c>
      <c r="BZ12" s="972">
        <f>IFERROR(__xludf.DUMMYFUNCTION("Iferror(IF(
  IFNA(
    FILTER(
      IMPORTRANGE($F$8,""'Sensitivity [""&amp;IF(BZ$3="""",BZ$2,BZ$2&amp;"", ""&amp;BZ$3)&amp;""]'!D1:D20""),
      IMPORTRANGE($F$8,""'Sensitivity [""&amp;IF(BZ$3="""",BZ$2,BZ$2&amp;"", ""&amp;BZ$3)&amp;""]'!A1:A20"")=$E12
    ),
    """"
  ) = """",
  "&amp;"""-"",
  BZ$5 * ( 1 +
    IFNA(
      FILTER(
        IMPORTRANGE($F$8,""'Sensitivity [""&amp;IF(BZ$3="""",BZ$2,BZ$2&amp;"", ""&amp;BZ$3)&amp;""]'!D1:D20""),
        IMPORTRANGE($F$8,""'Sensitivity [""&amp;IF(BZ$3="""",BZ$2,BZ$2&amp;"", ""&amp;BZ$3)&amp;""]'!A1:A20"")=$E12
      ),
    "&amp;"  """"
    )
  )
), ""-"")
"),3.9825281475853576)</f>
        <v>3.982528148</v>
      </c>
      <c r="CA12" s="993" t="s">
        <v>165</v>
      </c>
      <c r="CB12" s="974">
        <f>IFERROR(__xludf.DUMMYFUNCTION("iferror(IF(
  IFNA(
    FILTER(
      IMPORTRANGE($F$8,""'Sensitivity [""&amp;IF(BZ$3="""",BZ$2,BZ$2&amp;"", ""&amp;BZ$3)&amp;""]'!E1:E20""),
      IMPORTRANGE($F$8,""'Sensitivity [""&amp;IF(BZ$3="""",BZ$2,BZ$2&amp;"", ""&amp;BZ$3)&amp;""]'!A1:A20"")=$E12
    ),
    """"
  ) = """",
  "&amp;"""-"",
  BZ$5 * ( 1 +
    IFNA(
      FILTER(
        IMPORTRANGE($F$8,""'Sensitivity [""&amp;IF(BZ$3="""",BZ$2,BZ$2&amp;"", ""&amp;BZ$3)&amp;""]'!E1:E20""),
        IMPORTRANGE($F$8,""'Sensitivity [""&amp;IF(BZ$3="""",BZ$2,BZ$2&amp;"", ""&amp;BZ$3)&amp;""]'!A1:A20"")=$E12
      ),
    "&amp;"  """"
    )
  )
), ""-"")
"),7.090842799359288)</f>
        <v>7.090842799</v>
      </c>
      <c r="CC12" s="972">
        <f>IFERROR(__xludf.DUMMYFUNCTION("Iferror(IF(
  IFNA(
    FILTER(
      IMPORTRANGE($F$8,""'Sensitivity [""&amp;IF(CC$3="""",CC$2,CC$2&amp;"", ""&amp;CC$3)&amp;""]'!D1:D20""),
      IMPORTRANGE($F$8,""'Sensitivity [""&amp;IF(CC$3="""",CC$2,CC$2&amp;"", ""&amp;CC$3)&amp;""]'!A1:A20"")=$E12
    ),
    """"
  ) = """",
  "&amp;"""-"",
  CC$5 * ( 1 +
    IFNA(
      FILTER(
        IMPORTRANGE($F$8,""'Sensitivity [""&amp;IF(CC$3="""",CC$2,CC$2&amp;"", ""&amp;CC$3)&amp;""]'!D1:D20""),
        IMPORTRANGE($F$8,""'Sensitivity [""&amp;IF(CC$3="""",CC$2,CC$2&amp;"", ""&amp;CC$3)&amp;""]'!A1:A20"")=$E12
      ),
    "&amp;"  """"
    )
  )
), ""-"")
"),15.971013743123336)</f>
        <v>15.97101374</v>
      </c>
      <c r="CD12" s="993" t="s">
        <v>165</v>
      </c>
      <c r="CE12" s="974">
        <f>IFERROR(__xludf.DUMMYFUNCTION("iferror(IF(
  IFNA(
    FILTER(
      IMPORTRANGE($F$8,""'Sensitivity [""&amp;IF(CC$3="""",CC$2,CC$2&amp;"", ""&amp;CC$3)&amp;""]'!E1:E20""),
      IMPORTRANGE($F$8,""'Sensitivity [""&amp;IF(CC$3="""",CC$2,CC$2&amp;"", ""&amp;CC$3)&amp;""]'!A1:A20"")=$E12
    ),
    """"
  ) = """",
  "&amp;"""-"",
  CC$5 * ( 1 +
    IFNA(
      FILTER(
        IMPORTRANGE($F$8,""'Sensitivity [""&amp;IF(CC$3="""",CC$2,CC$2&amp;"", ""&amp;CC$3)&amp;""]'!E1:E20""),
        IMPORTRANGE($F$8,""'Sensitivity [""&amp;IF(CC$3="""",CC$2,CC$2&amp;"", ""&amp;CC$3)&amp;""]'!A1:A20"")=$E12
      ),
    "&amp;"  """"
    )
  )
), ""-"")
"),24.843799155969496)</f>
        <v>24.84379916</v>
      </c>
      <c r="CF12" s="972">
        <f>IFERROR(__xludf.DUMMYFUNCTION("Iferror(IF(
  IFNA(
    FILTER(
      IMPORTRANGE($F$8,""'Sensitivity [""&amp;IF(CF$3="""",CF$2,CF$2&amp;"", ""&amp;CF$3)&amp;""]'!D1:D20""),
      IMPORTRANGE($F$8,""'Sensitivity [""&amp;IF(CF$3="""",CF$2,CF$2&amp;"", ""&amp;CF$3)&amp;""]'!A1:A20"")=$E12
    ),
    """"
  ) = """",
  "&amp;"""-"",
  CF$5 * ( 1 +
    IFNA(
      FILTER(
        IMPORTRANGE($F$8,""'Sensitivity [""&amp;IF(CF$3="""",CF$2,CF$2&amp;"", ""&amp;CF$3)&amp;""]'!D1:D20""),
        IMPORTRANGE($F$8,""'Sensitivity [""&amp;IF(CF$3="""",CF$2,CF$2&amp;"", ""&amp;CF$3)&amp;""]'!A1:A20"")=$E12
      ),
    "&amp;"  """"
    )
  )
), ""-"")
"),11.063925508497883)</f>
        <v>11.06392551</v>
      </c>
      <c r="CG12" s="993" t="s">
        <v>165</v>
      </c>
      <c r="CH12" s="974">
        <f>IFERROR(__xludf.DUMMYFUNCTION("iferror(IF(
  IFNA(
    FILTER(
      IMPORTRANGE($F$8,""'Sensitivity [""&amp;IF(CF$3="""",CF$2,CF$2&amp;"", ""&amp;CF$3)&amp;""]'!E1:E20""),
      IMPORTRANGE($F$8,""'Sensitivity [""&amp;IF(CF$3="""",CF$2,CF$2&amp;"", ""&amp;CF$3)&amp;""]'!A1:A20"")=$E12
    ),
    """"
  ) = """",
  "&amp;"""-"",
  CF$5 * ( 1 +
    IFNA(
      FILTER(
        IMPORTRANGE($F$8,""'Sensitivity [""&amp;IF(CF$3="""",CF$2,CF$2&amp;"", ""&amp;CF$3)&amp;""]'!E1:E20""),
        IMPORTRANGE($F$8,""'Sensitivity [""&amp;IF(CF$3="""",CF$2,CF$2&amp;"", ""&amp;CF$3)&amp;""]'!A1:A20"")=$E12
      ),
    "&amp;"  """"
    )
  )
), ""-"")
"),18.966729443139215)</f>
        <v>18.96672944</v>
      </c>
      <c r="CI12" s="972">
        <f>IFERROR(__xludf.DUMMYFUNCTION("Iferror(IF(
  IFNA(
    FILTER(
      IMPORTRANGE($F$8,""'Sensitivity [""&amp;IF(CI$3="""",CI$2,CI$2&amp;"", ""&amp;CI$3)&amp;""]'!D1:D20""),
      IMPORTRANGE($F$8,""'Sensitivity [""&amp;IF(CI$3="""",CI$2,CI$2&amp;"", ""&amp;CI$3)&amp;""]'!A1:A20"")=$E12
    ),
    """"
  ) = """",
  "&amp;"""-"",
  CI$5 * ( 1 +
    IFNA(
      FILTER(
        IMPORTRANGE($F$8,""'Sensitivity [""&amp;IF(CI$3="""",CI$2,CI$2&amp;"", ""&amp;CI$3)&amp;""]'!D1:D20""),
        IMPORTRANGE($F$8,""'Sensitivity [""&amp;IF(CI$3="""",CI$2,CI$2&amp;"", ""&amp;CI$3)&amp;""]'!A1:A20"")=$E12
      ),
    "&amp;"  """"
    )
  )
), ""-"")
"),4.663020427649245)</f>
        <v>4.663020428</v>
      </c>
      <c r="CJ12" s="993" t="s">
        <v>165</v>
      </c>
      <c r="CK12" s="974">
        <f>IFERROR(__xludf.DUMMYFUNCTION("iferror(IF(
  IFNA(
    FILTER(
      IMPORTRANGE($F$8,""'Sensitivity [""&amp;IF(CI$3="""",CI$2,CI$2&amp;"", ""&amp;CI$3)&amp;""]'!E1:E20""),
      IMPORTRANGE($F$8,""'Sensitivity [""&amp;IF(CI$3="""",CI$2,CI$2&amp;"", ""&amp;CI$3)&amp;""]'!A1:A20"")=$E12
    ),
    """"
  ) = """",
  "&amp;"""-"",
  CI$5 * ( 1 +
    IFNA(
      FILTER(
        IMPORTRANGE($F$8,""'Sensitivity [""&amp;IF(CI$3="""",CI$2,CI$2&amp;"", ""&amp;CI$3)&amp;""]'!E1:E20""),
        IMPORTRANGE($F$8,""'Sensitivity [""&amp;IF(CI$3="""",CI$2,CI$2&amp;"", ""&amp;CI$3)&amp;""]'!A1:A20"")=$E12
      ),
    "&amp;"  """"
    )
  )
), ""-"")
"),8.082568741258703)</f>
        <v>8.082568741</v>
      </c>
      <c r="CL12" s="198"/>
    </row>
    <row r="13">
      <c r="A13" s="889"/>
      <c r="B13" s="890"/>
      <c r="C13" s="890"/>
      <c r="D13" s="890"/>
      <c r="E13" s="992" t="str">
        <f t="shared" si="1"/>
        <v>Effect of VAS on under-five mortality</v>
      </c>
      <c r="F13" s="972">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"),4.211138995182104)</f>
        <v>4.211138995</v>
      </c>
      <c r="G13" s="993" t="s">
        <v>165</v>
      </c>
      <c r="H13" s="974">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"),34.040040211055306)</f>
        <v>34.04004021</v>
      </c>
      <c r="I13" s="972">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"),4.898518519383333)</f>
        <v>4.898518519</v>
      </c>
      <c r="J13" s="993" t="s">
        <v>165</v>
      </c>
      <c r="K13" s="974">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"),22.265993269924174)</f>
        <v>22.26599327</v>
      </c>
      <c r="L13" s="972">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"),1.3062580438659348)</f>
        <v>1.306258044</v>
      </c>
      <c r="M13" s="993" t="s">
        <v>165</v>
      </c>
      <c r="N13" s="974">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"),13.389144949625875)</f>
        <v>13.38914495</v>
      </c>
      <c r="O13" s="972">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"),4.725977817722969)</f>
        <v>4.725977818</v>
      </c>
      <c r="P13" s="993" t="s">
        <v>165</v>
      </c>
      <c r="Q13" s="974">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"),26.255432320683127)</f>
        <v>26.25543232</v>
      </c>
      <c r="R13" s="972">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"),1.837670247856011)</f>
        <v>1.837670248</v>
      </c>
      <c r="S13" s="993" t="s">
        <v>165</v>
      </c>
      <c r="T13" s="974">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"),16.539032230704084)</f>
        <v>16.53903223</v>
      </c>
      <c r="U13" s="972">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"),0.9107393528075203)</f>
        <v>0.9107393528</v>
      </c>
      <c r="V13" s="993" t="s">
        <v>165</v>
      </c>
      <c r="W13" s="974">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"),7.2100198763928764)</f>
        <v>7.210019876</v>
      </c>
      <c r="X13" s="972">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"),5.32943076298661)</f>
        <v>5.329430763</v>
      </c>
      <c r="Y13" s="993" t="s">
        <v>165</v>
      </c>
      <c r="Z13" s="974">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"),19.985365361199822)</f>
        <v>19.98536536</v>
      </c>
      <c r="AA13" s="972">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"),7.2695257644877636)</f>
        <v>7.269525764</v>
      </c>
      <c r="AB13" s="993" t="s">
        <v>165</v>
      </c>
      <c r="AC13" s="974">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"),49.523644270572774)</f>
        <v>49.52364427</v>
      </c>
      <c r="AD13" s="972">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"),18.664799803876093)</f>
        <v>18.6647998</v>
      </c>
      <c r="AE13" s="993" t="s">
        <v>165</v>
      </c>
      <c r="AF13" s="974">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"),73.6768413310895)</f>
        <v>73.67684133</v>
      </c>
      <c r="AG13" s="972">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"),3.884361908144885)</f>
        <v>3.884361908</v>
      </c>
      <c r="AH13" s="993" t="s">
        <v>165</v>
      </c>
      <c r="AI13" s="974">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"),32.84051431431587)</f>
        <v>32.84051431</v>
      </c>
      <c r="AJ13" s="972">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"),0.2683216991266486)</f>
        <v>0.2683216991</v>
      </c>
      <c r="AK13" s="993" t="s">
        <v>165</v>
      </c>
      <c r="AL13" s="974">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"),7.1105250268561955)</f>
        <v>7.110525027</v>
      </c>
      <c r="AM13" s="972">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"),0.0)</f>
        <v>0</v>
      </c>
      <c r="AN13" s="993" t="s">
        <v>165</v>
      </c>
      <c r="AO13" s="974">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"),3.786990283955936)</f>
        <v>3.786990284</v>
      </c>
      <c r="AP13" s="972">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"),1.094552246292996)</f>
        <v>1.094552246</v>
      </c>
      <c r="AQ13" s="993" t="s">
        <v>165</v>
      </c>
      <c r="AR13" s="974">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"),15.104820998843362)</f>
        <v>15.104821</v>
      </c>
      <c r="AS13" s="972">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"),0.17629305068385986)</f>
        <v>0.1762930507</v>
      </c>
      <c r="AT13" s="993" t="s">
        <v>165</v>
      </c>
      <c r="AU13" s="974">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"),8.285773382141405)</f>
        <v>8.285773382</v>
      </c>
      <c r="AV13" s="972">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"),2.2366461455335247)</f>
        <v>2.236646146</v>
      </c>
      <c r="AW13" s="993" t="s">
        <v>165</v>
      </c>
      <c r="AX13" s="974">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"),20.353479924355106)</f>
        <v>20.35347992</v>
      </c>
      <c r="AY13" s="972">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"),0.13293772331155884)</f>
        <v>0.1329377233</v>
      </c>
      <c r="AZ13" s="993" t="s">
        <v>165</v>
      </c>
      <c r="BA13" s="974">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"),6.248072995643252)</f>
        <v>6.248072996</v>
      </c>
      <c r="BB13" s="972">
        <f>IFERROR(__xludf.DUMMYFUNCTION("Iferror(IF(
  IFNA(
    FILTER(
      IMPORTRANGE($F$8,""'Sensitivity [""&amp;IF(BB$3="""",BB$2,BB$2&amp;"", ""&amp;BB$3)&amp;""]'!D1:D20""),
      IMPORTRANGE($F$8,""'Sensitivity [""&amp;IF(BB$3="""",BB$2,BB$2&amp;"", ""&amp;BB$3)&amp;""]'!A1:A20"")=$E13
    ),
    """"
  ) = """",
  "&amp;"""-"",
  BB$5 * ( 1 +
    IFNA(
      FILTER(
        IMPORTRANGE($F$8,""'Sensitivity [""&amp;IF(BB$3="""",BB$2,BB$2&amp;"", ""&amp;BB$3)&amp;""]'!D1:D20""),
        IMPORTRANGE($F$8,""'Sensitivity [""&amp;IF(BB$3="""",BB$2,BB$2&amp;"", ""&amp;BB$3)&amp;""]'!A1:A20"")=$E13
      ),
    "&amp;"  """"
    )
  )
), ""-"")
"),0.4788781451267531)</f>
        <v>0.4788781451</v>
      </c>
      <c r="BC13" s="993" t="s">
        <v>165</v>
      </c>
      <c r="BD13" s="974">
        <f>IFERROR(__xludf.DUMMYFUNCTION("iferror(IF(
  IFNA(
    FILTER(
      IMPORTRANGE($F$8,""'Sensitivity [""&amp;IF(BB$3="""",BB$2,BB$2&amp;"", ""&amp;BB$3)&amp;""]'!E1:E20""),
      IMPORTRANGE($F$8,""'Sensitivity [""&amp;IF(BB$3="""",BB$2,BB$2&amp;"", ""&amp;BB$3)&amp;""]'!A1:A20"")=$E13
    ),
    """"
  ) = """",
  "&amp;"""-"",
  BB$5 * ( 1 +
    IFNA(
      FILTER(
        IMPORTRANGE($F$8,""'Sensitivity [""&amp;IF(BB$3="""",BB$2,BB$2&amp;"", ""&amp;BB$3)&amp;""]'!E1:E20""),
        IMPORTRANGE($F$8,""'Sensitivity [""&amp;IF(BB$3="""",BB$2,BB$2&amp;"", ""&amp;BB$3)&amp;""]'!A1:A20"")=$E13
      ),
    "&amp;"  """"
    )
  )
), ""-"")
"),9.417936854159498)</f>
        <v>9.417936854</v>
      </c>
      <c r="BE13" s="972">
        <f>IFERROR(__xludf.DUMMYFUNCTION("Iferror(IF(
  IFNA(
    FILTER(
      IMPORTRANGE($F$8,""'Sensitivity [""&amp;IF(BE$3="""",BE$2,BE$2&amp;"", ""&amp;BE$3)&amp;""]'!D1:D20""),
      IMPORTRANGE($F$8,""'Sensitivity [""&amp;IF(BE$3="""",BE$2,BE$2&amp;"", ""&amp;BE$3)&amp;""]'!A1:A20"")=$E13
    ),
    """"
  ) = """",
  "&amp;"""-"",
  BE$5 * ( 1 +
    IFNA(
      FILTER(
        IMPORTRANGE($F$8,""'Sensitivity [""&amp;IF(BE$3="""",BE$2,BE$2&amp;"", ""&amp;BE$3)&amp;""]'!D1:D20""),
        IMPORTRANGE($F$8,""'Sensitivity [""&amp;IF(BE$3="""",BE$2,BE$2&amp;"", ""&amp;BE$3)&amp;""]'!A1:A20"")=$E13
      ),
    "&amp;"  """"
    )
  )
), ""-"")
"),0.17872099135303532)</f>
        <v>0.1787209914</v>
      </c>
      <c r="BF13" s="993" t="s">
        <v>165</v>
      </c>
      <c r="BG13" s="974">
        <f>IFERROR(__xludf.DUMMYFUNCTION("iferror(IF(
  IFNA(
    FILTER(
      IMPORTRANGE($F$8,""'Sensitivity [""&amp;IF(BE$3="""",BE$2,BE$2&amp;"", ""&amp;BE$3)&amp;""]'!E1:E20""),
      IMPORTRANGE($F$8,""'Sensitivity [""&amp;IF(BE$3="""",BE$2,BE$2&amp;"", ""&amp;BE$3)&amp;""]'!A1:A20"")=$E13
    ),
    """"
  ) = """",
  "&amp;"""-"",
  BE$5 * ( 1 +
    IFNA(
      FILTER(
        IMPORTRANGE($F$8,""'Sensitivity [""&amp;IF(BE$3="""",BE$2,BE$2&amp;"", ""&amp;BE$3)&amp;""]'!E1:E20""),
        IMPORTRANGE($F$8,""'Sensitivity [""&amp;IF(BE$3="""",BE$2,BE$2&amp;"", ""&amp;BE$3)&amp;""]'!A1:A20"")=$E13
      ),
    "&amp;"  """"
    )
  )
), ""-"")
"),5.004187757885004)</f>
        <v>5.004187758</v>
      </c>
      <c r="BH13" s="972">
        <f>IFERROR(__xludf.DUMMYFUNCTION("Iferror(IF(
  IFNA(
    FILTER(
      IMPORTRANGE($F$8,""'Sensitivity [""&amp;IF(BH$3="""",BH$2,BH$2&amp;"", ""&amp;BH$3)&amp;""]'!D1:D20""),
      IMPORTRANGE($F$8,""'Sensitivity [""&amp;IF(BH$3="""",BH$2,BH$2&amp;"", ""&amp;BH$3)&amp;""]'!A1:A20"")=$E13
    ),
    """"
  ) = """",
  "&amp;"""-"",
  BH$5 * ( 1 +
    IFNA(
      FILTER(
        IMPORTRANGE($F$8,""'Sensitivity [""&amp;IF(BH$3="""",BH$2,BH$2&amp;"", ""&amp;BH$3)&amp;""]'!D1:D20""),
        IMPORTRANGE($F$8,""'Sensitivity [""&amp;IF(BH$3="""",BH$2,BH$2&amp;"", ""&amp;BH$3)&amp;""]'!A1:A20"")=$E13
      ),
    "&amp;"  """"
    )
  )
), ""-"")
"),0.3364547413653234)</f>
        <v>0.3364547414</v>
      </c>
      <c r="BI13" s="993" t="s">
        <v>165</v>
      </c>
      <c r="BJ13" s="974">
        <f>IFERROR(__xludf.DUMMYFUNCTION("iferror(IF(
  IFNA(
    FILTER(
      IMPORTRANGE($F$8,""'Sensitivity [""&amp;IF(BH$3="""",BH$2,BH$2&amp;"", ""&amp;BH$3)&amp;""]'!E1:E20""),
      IMPORTRANGE($F$8,""'Sensitivity [""&amp;IF(BH$3="""",BH$2,BH$2&amp;"", ""&amp;BH$3)&amp;""]'!A1:A20"")=$E13
    ),
    """"
  ) = """",
  "&amp;"""-"",
  BH$5 * ( 1 +
    IFNA(
      FILTER(
        IMPORTRANGE($F$8,""'Sensitivity [""&amp;IF(BH$3="""",BH$2,BH$2&amp;"", ""&amp;BH$3)&amp;""]'!E1:E20""),
        IMPORTRANGE($F$8,""'Sensitivity [""&amp;IF(BH$3="""",BH$2,BH$2&amp;"", ""&amp;BH$3)&amp;""]'!A1:A20"")=$E13
      ),
    "&amp;"  """"
    )
  )
), ""-"")
"),6.616943246851348)</f>
        <v>6.616943247</v>
      </c>
      <c r="BK13" s="972">
        <f>IFERROR(__xludf.DUMMYFUNCTION("Iferror(IF(
  IFNA(
    FILTER(
      IMPORTRANGE($F$8,""'Sensitivity [""&amp;IF(BK$3="""",BK$2,BK$2&amp;"", ""&amp;BK$3)&amp;""]'!D1:D20""),
      IMPORTRANGE($F$8,""'Sensitivity [""&amp;IF(BK$3="""",BK$2,BK$2&amp;"", ""&amp;BK$3)&amp;""]'!A1:A20"")=$E13
    ),
    """"
  ) = """",
  "&amp;"""-"",
  BK$5 * ( 1 +
    IFNA(
      FILTER(
        IMPORTRANGE($F$8,""'Sensitivity [""&amp;IF(BK$3="""",BK$2,BK$2&amp;"", ""&amp;BK$3)&amp;""]'!D1:D20""),
        IMPORTRANGE($F$8,""'Sensitivity [""&amp;IF(BK$3="""",BK$2,BK$2&amp;"", ""&amp;BK$3)&amp;""]'!A1:A20"")=$E13
      ),
    "&amp;"  """"
    )
  )
), ""-"")
"),1.726659021030776)</f>
        <v>1.726659021</v>
      </c>
      <c r="BL13" s="993" t="s">
        <v>165</v>
      </c>
      <c r="BM13" s="974">
        <f>IFERROR(__xludf.DUMMYFUNCTION("iferror(IF(
  IFNA(
    FILTER(
      IMPORTRANGE($F$8,""'Sensitivity [""&amp;IF(BK$3="""",BK$2,BK$2&amp;"", ""&amp;BK$3)&amp;""]'!E1:E20""),
      IMPORTRANGE($F$8,""'Sensitivity [""&amp;IF(BK$3="""",BK$2,BK$2&amp;"", ""&amp;BK$3)&amp;""]'!A1:A20"")=$E13
    ),
    """"
  ) = """",
  "&amp;"""-"",
  BK$5 * ( 1 +
    IFNA(
      FILTER(
        IMPORTRANGE($F$8,""'Sensitivity [""&amp;IF(BK$3="""",BK$2,BK$2&amp;"", ""&amp;BK$3)&amp;""]'!E1:E20""),
        IMPORTRANGE($F$8,""'Sensitivity [""&amp;IF(BK$3="""",BK$2,BK$2&amp;"", ""&amp;BK$3)&amp;""]'!A1:A20"")=$E13
      ),
    "&amp;"  """"
    )
  )
), ""-"")
"),18.12991972082314)</f>
        <v>18.12991972</v>
      </c>
      <c r="BN13" s="972">
        <f>IFERROR(__xludf.DUMMYFUNCTION("Iferror(IF(
  IFNA(
    FILTER(
      IMPORTRANGE($F$8,""'Sensitivity [""&amp;IF(BN$3="""",BN$2,BN$2&amp;"", ""&amp;BN$3)&amp;""]'!D1:D20""),
      IMPORTRANGE($F$8,""'Sensitivity [""&amp;IF(BN$3="""",BN$2,BN$2&amp;"", ""&amp;BN$3)&amp;""]'!A1:A20"")=$E13
    ),
    """"
  ) = """",
  "&amp;"""-"",
  BN$5 * ( 1 +
    IFNA(
      FILTER(
        IMPORTRANGE($F$8,""'Sensitivity [""&amp;IF(BN$3="""",BN$2,BN$2&amp;"", ""&amp;BN$3)&amp;""]'!D1:D20""),
        IMPORTRANGE($F$8,""'Sensitivity [""&amp;IF(BN$3="""",BN$2,BN$2&amp;"", ""&amp;BN$3)&amp;""]'!A1:A20"")=$E13
      ),
    "&amp;"  """"
    )
  )
), ""-"")
"),0.27465709504832425)</f>
        <v>0.274657095</v>
      </c>
      <c r="BO13" s="993" t="s">
        <v>165</v>
      </c>
      <c r="BP13" s="974">
        <f>IFERROR(__xludf.DUMMYFUNCTION("iferror(IF(
  IFNA(
    FILTER(
      IMPORTRANGE($F$8,""'Sensitivity [""&amp;IF(BN$3="""",BN$2,BN$2&amp;"", ""&amp;BN$3)&amp;""]'!E1:E20""),
      IMPORTRANGE($F$8,""'Sensitivity [""&amp;IF(BN$3="""",BN$2,BN$2&amp;"", ""&amp;BN$3)&amp;""]'!A1:A20"")=$E13
    ),
    """"
  ) = """",
  "&amp;"""-"",
  BN$5 * ( 1 +
    IFNA(
      FILTER(
        IMPORTRANGE($F$8,""'Sensitivity [""&amp;IF(BN$3="""",BN$2,BN$2&amp;"", ""&amp;BN$3)&amp;""]'!E1:E20""),
        IMPORTRANGE($F$8,""'Sensitivity [""&amp;IF(BN$3="""",BN$2,BN$2&amp;"", ""&amp;BN$3)&amp;""]'!A1:A20"")=$E13
      ),
    "&amp;"  """"
    )
  )
), ""-"")
"),7.690398661353102)</f>
        <v>7.690398661</v>
      </c>
      <c r="BQ13" s="972">
        <f>IFERROR(__xludf.DUMMYFUNCTION("Iferror(IF(
  IFNA(
    FILTER(
      IMPORTRANGE($F$8,""'Sensitivity [""&amp;IF(BQ$3="""",BQ$2,BQ$2&amp;"", ""&amp;BQ$3)&amp;""]'!D1:D20""),
      IMPORTRANGE($F$8,""'Sensitivity [""&amp;IF(BQ$3="""",BQ$2,BQ$2&amp;"", ""&amp;BQ$3)&amp;""]'!A1:A20"")=$E13
    ),
    """"
  ) = """",
  "&amp;"""-"",
  BQ$5 * ( 1 +
    IFNA(
      FILTER(
        IMPORTRANGE($F$8,""'Sensitivity [""&amp;IF(BQ$3="""",BQ$2,BQ$2&amp;"", ""&amp;BQ$3)&amp;""]'!D1:D20""),
        IMPORTRANGE($F$8,""'Sensitivity [""&amp;IF(BQ$3="""",BQ$2,BQ$2&amp;"", ""&amp;BQ$3)&amp;""]'!A1:A20"")=$E13
      ),
    "&amp;"  """"
    )
  )
), ""-"")
"),0.08129204793125043)</f>
        <v>0.08129204793</v>
      </c>
      <c r="BR13" s="993" t="s">
        <v>165</v>
      </c>
      <c r="BS13" s="974">
        <f>IFERROR(__xludf.DUMMYFUNCTION("iferror(IF(
  IFNA(
    FILTER(
      IMPORTRANGE($F$8,""'Sensitivity [""&amp;IF(BQ$3="""",BQ$2,BQ$2&amp;"", ""&amp;BQ$3)&amp;""]'!E1:E20""),
      IMPORTRANGE($F$8,""'Sensitivity [""&amp;IF(BQ$3="""",BQ$2,BQ$2&amp;"", ""&amp;BQ$3)&amp;""]'!A1:A20"")=$E13
    ),
    """"
  ) = """",
  "&amp;"""-"",
  BQ$5 * ( 1 +
    IFNA(
      FILTER(
        IMPORTRANGE($F$8,""'Sensitivity [""&amp;IF(BQ$3="""",BQ$2,BQ$2&amp;"", ""&amp;BQ$3)&amp;""]'!E1:E20""),
        IMPORTRANGE($F$8,""'Sensitivity [""&amp;IF(BQ$3="""",BQ$2,BQ$2&amp;"", ""&amp;BQ$3)&amp;""]'!A1:A20"")=$E13
      ),
    "&amp;"  """"
    )
  )
), ""-"")
"),3.820726252768799)</f>
        <v>3.820726253</v>
      </c>
      <c r="BT13" s="972">
        <f>IFERROR(__xludf.DUMMYFUNCTION("Iferror(IF(
  IFNA(
    FILTER(
      IMPORTRANGE($F$8,""'Sensitivity [""&amp;IF(BT$3="""",BT$2,BT$2&amp;"", ""&amp;BT$3)&amp;""]'!D1:D20""),
      IMPORTRANGE($F$8,""'Sensitivity [""&amp;IF(BT$3="""",BT$2,BT$2&amp;"", ""&amp;BT$3)&amp;""]'!A1:A20"")=$E13
    ),
    """"
  ) = """",
  "&amp;"""-"",
  BT$5 * ( 1 +
    IFNA(
      FILTER(
        IMPORTRANGE($F$8,""'Sensitivity [""&amp;IF(BT$3="""",BT$2,BT$2&amp;"", ""&amp;BT$3)&amp;""]'!D1:D20""),
        IMPORTRANGE($F$8,""'Sensitivity [""&amp;IF(BT$3="""",BT$2,BT$2&amp;"", ""&amp;BT$3)&amp;""]'!A1:A20"")=$E13
      ),
    "&amp;"  """"
    )
  )
), ""-"")
"),0.7494378900013307)</f>
        <v>0.74943789</v>
      </c>
      <c r="BU13" s="993" t="s">
        <v>165</v>
      </c>
      <c r="BV13" s="974">
        <f>IFERROR(__xludf.DUMMYFUNCTION("iferror(IF(
  IFNA(
    FILTER(
      IMPORTRANGE($F$8,""'Sensitivity [""&amp;IF(BT$3="""",BT$2,BT$2&amp;"", ""&amp;BT$3)&amp;""]'!E1:E20""),
      IMPORTRANGE($F$8,""'Sensitivity [""&amp;IF(BT$3="""",BT$2,BT$2&amp;"", ""&amp;BT$3)&amp;""]'!A1:A20"")=$E13
    ),
    """"
  ) = """",
  "&amp;"""-"",
  BT$5 * ( 1 +
    IFNA(
      FILTER(
        IMPORTRANGE($F$8,""'Sensitivity [""&amp;IF(BT$3="""",BT$2,BT$2&amp;"", ""&amp;BT$3)&amp;""]'!E1:E20""),
        IMPORTRANGE($F$8,""'Sensitivity [""&amp;IF(BT$3="""",BT$2,BT$2&amp;"", ""&amp;BT$3)&amp;""]'!A1:A20"")=$E13
      ),
    "&amp;"  """"
    )
  )
), ""-"")
"),12.178365712521646)</f>
        <v>12.17836571</v>
      </c>
      <c r="BW13" s="972">
        <f>IFERROR(__xludf.DUMMYFUNCTION("Iferror(IF(
  IFNA(
    FILTER(
      IMPORTRANGE($F$8,""'Sensitivity [""&amp;IF(BW$3="""",BW$2,BW$2&amp;"", ""&amp;BW$3)&amp;""]'!D1:D20""),
      IMPORTRANGE($F$8,""'Sensitivity [""&amp;IF(BW$3="""",BW$2,BW$2&amp;"", ""&amp;BW$3)&amp;""]'!A1:A20"")=$E13
    ),
    """"
  ) = """",
  "&amp;"""-"",
  BW$5 * ( 1 +
    IFNA(
      FILTER(
        IMPORTRANGE($F$8,""'Sensitivity [""&amp;IF(BW$3="""",BW$2,BW$2&amp;"", ""&amp;BW$3)&amp;""]'!D1:D20""),
        IMPORTRANGE($F$8,""'Sensitivity [""&amp;IF(BW$3="""",BW$2,BW$2&amp;"", ""&amp;BW$3)&amp;""]'!A1:A20"")=$E13
      ),
    "&amp;"  """"
    )
  )
), ""-"")
"),6.60780351753494)</f>
        <v>6.607803518</v>
      </c>
      <c r="BX13" s="993" t="s">
        <v>165</v>
      </c>
      <c r="BY13" s="974">
        <f>IFERROR(__xludf.DUMMYFUNCTION("iferror(IF(
  IFNA(
    FILTER(
      IMPORTRANGE($F$8,""'Sensitivity [""&amp;IF(BW$3="""",BW$2,BW$2&amp;"", ""&amp;BW$3)&amp;""]'!E1:E20""),
      IMPORTRANGE($F$8,""'Sensitivity [""&amp;IF(BW$3="""",BW$2,BW$2&amp;"", ""&amp;BW$3)&amp;""]'!A1:A20"")=$E13
    ),
    """"
  ) = """",
  "&amp;"""-"",
  BW$5 * ( 1 +
    IFNA(
      FILTER(
        IMPORTRANGE($F$8,""'Sensitivity [""&amp;IF(BW$3="""",BW$2,BW$2&amp;"", ""&amp;BW$3)&amp;""]'!E1:E20""),
        IMPORTRANGE($F$8,""'Sensitivity [""&amp;IF(BW$3="""",BW$2,BW$2&amp;"", ""&amp;BW$3)&amp;""]'!A1:A20"")=$E13
      ),
    "&amp;"  """"
    )
  )
), ""-"")
"),43.53376435081851)</f>
        <v>43.53376435</v>
      </c>
      <c r="BZ13" s="972">
        <f>IFERROR(__xludf.DUMMYFUNCTION("Iferror(IF(
  IFNA(
    FILTER(
      IMPORTRANGE($F$8,""'Sensitivity [""&amp;IF(BZ$3="""",BZ$2,BZ$2&amp;"", ""&amp;BZ$3)&amp;""]'!D1:D20""),
      IMPORTRANGE($F$8,""'Sensitivity [""&amp;IF(BZ$3="""",BZ$2,BZ$2&amp;"", ""&amp;BZ$3)&amp;""]'!A1:A20"")=$E13
    ),
    """"
  ) = """",
  "&amp;"""-"",
  BZ$5 * ( 1 +
    IFNA(
      FILTER(
        IMPORTRANGE($F$8,""'Sensitivity [""&amp;IF(BZ$3="""",BZ$2,BZ$2&amp;"", ""&amp;BZ$3)&amp;""]'!D1:D20""),
        IMPORTRANGE($F$8,""'Sensitivity [""&amp;IF(BZ$3="""",BZ$2,BZ$2&amp;"", ""&amp;BZ$3)&amp;""]'!A1:A20"")=$E13
      ),
    "&amp;"  """"
    )
  )
), ""-"")
"),1.2468278674709403)</f>
        <v>1.246827867</v>
      </c>
      <c r="CA13" s="993" t="s">
        <v>165</v>
      </c>
      <c r="CB13" s="974">
        <f>IFERROR(__xludf.DUMMYFUNCTION("iferror(IF(
  IFNA(
    FILTER(
      IMPORTRANGE($F$8,""'Sensitivity [""&amp;IF(BZ$3="""",BZ$2,BZ$2&amp;"", ""&amp;BZ$3)&amp;""]'!E1:E20""),
      IMPORTRANGE($F$8,""'Sensitivity [""&amp;IF(BZ$3="""",BZ$2,BZ$2&amp;"", ""&amp;BZ$3)&amp;""]'!A1:A20"")=$E13
    ),
    """"
  ) = """",
  "&amp;"""-"",
  BZ$5 * ( 1 +
    IFNA(
      FILTER(
        IMPORTRANGE($F$8,""'Sensitivity [""&amp;IF(BZ$3="""",BZ$2,BZ$2&amp;"", ""&amp;BZ$3)&amp;""]'!E1:E20""),
        IMPORTRANGE($F$8,""'Sensitivity [""&amp;IF(BZ$3="""",BZ$2,BZ$2&amp;"", ""&amp;BZ$3)&amp;""]'!A1:A20"")=$E13
      ),
    "&amp;"  """"
    )
  )
), ""-"")
"),8.416088105428837)</f>
        <v>8.416088105</v>
      </c>
      <c r="CC13" s="972">
        <f>IFERROR(__xludf.DUMMYFUNCTION("Iferror(IF(
  IFNA(
    FILTER(
      IMPORTRANGE($F$8,""'Sensitivity [""&amp;IF(CC$3="""",CC$2,CC$2&amp;"", ""&amp;CC$3)&amp;""]'!D1:D20""),
      IMPORTRANGE($F$8,""'Sensitivity [""&amp;IF(CC$3="""",CC$2,CC$2&amp;"", ""&amp;CC$3)&amp;""]'!A1:A20"")=$E13
    ),
    """"
  ) = """",
  "&amp;"""-"",
  CC$5 * ( 1 +
    IFNA(
      FILTER(
        IMPORTRANGE($F$8,""'Sensitivity [""&amp;IF(CC$3="""",CC$2,CC$2&amp;"", ""&amp;CC$3)&amp;""]'!D1:D20""),
        IMPORTRANGE($F$8,""'Sensitivity [""&amp;IF(CC$3="""",CC$2,CC$2&amp;"", ""&amp;CC$3)&amp;""]'!A1:A20"")=$E13
      ),
    "&amp;"  """"
    )
  )
), ""-"")
"),7.211073300102945)</f>
        <v>7.2110733</v>
      </c>
      <c r="CD13" s="993" t="s">
        <v>165</v>
      </c>
      <c r="CE13" s="974">
        <f>IFERROR(__xludf.DUMMYFUNCTION("iferror(IF(
  IFNA(
    FILTER(
      IMPORTRANGE($F$8,""'Sensitivity [""&amp;IF(CC$3="""",CC$2,CC$2&amp;"", ""&amp;CC$3)&amp;""]'!E1:E20""),
      IMPORTRANGE($F$8,""'Sensitivity [""&amp;IF(CC$3="""",CC$2,CC$2&amp;"", ""&amp;CC$3)&amp;""]'!A1:A20"")=$E13
    ),
    """"
  ) = """",
  "&amp;"""-"",
  CC$5 * ( 1 +
    IFNA(
      FILTER(
        IMPORTRANGE($F$8,""'Sensitivity [""&amp;IF(CC$3="""",CC$2,CC$2&amp;"", ""&amp;CC$3)&amp;""]'!E1:E20""),
        IMPORTRANGE($F$8,""'Sensitivity [""&amp;IF(CC$3="""",CC$2,CC$2&amp;"", ""&amp;CC$3)&amp;""]'!A1:A20"")=$E13
      ),
    "&amp;"  """"
    )
  )
), ""-"")
"),25.154906860824198)</f>
        <v>25.15490686</v>
      </c>
      <c r="CF13" s="972">
        <f>IFERROR(__xludf.DUMMYFUNCTION("Iferror(IF(
  IFNA(
    FILTER(
      IMPORTRANGE($F$8,""'Sensitivity [""&amp;IF(CF$3="""",CF$2,CF$2&amp;"", ""&amp;CF$3)&amp;""]'!D1:D20""),
      IMPORTRANGE($F$8,""'Sensitivity [""&amp;IF(CF$3="""",CF$2,CF$2&amp;"", ""&amp;CF$3)&amp;""]'!A1:A20"")=$E13
    ),
    """"
  ) = """",
  "&amp;"""-"",
  CF$5 * ( 1 +
    IFNA(
      FILTER(
        IMPORTRANGE($F$8,""'Sensitivity [""&amp;IF(CF$3="""",CF$2,CF$2&amp;"", ""&amp;CF$3)&amp;""]'!D1:D20""),
        IMPORTRANGE($F$8,""'Sensitivity [""&amp;IF(CF$3="""",CF$2,CF$2&amp;"", ""&amp;CF$3)&amp;""]'!A1:A20"")=$E13
      ),
    "&amp;"  """"
    )
  )
), ""-"")
"),4.608592648091961)</f>
        <v>4.608592648</v>
      </c>
      <c r="CG13" s="993" t="s">
        <v>165</v>
      </c>
      <c r="CH13" s="974">
        <f>IFERROR(__xludf.DUMMYFUNCTION("iferror(IF(
  IFNA(
    FILTER(
      IMPORTRANGE($F$8,""'Sensitivity [""&amp;IF(CF$3="""",CF$2,CF$2&amp;"", ""&amp;CF$3)&amp;""]'!E1:E20""),
      IMPORTRANGE($F$8,""'Sensitivity [""&amp;IF(CF$3="""",CF$2,CF$2&amp;"", ""&amp;CF$3)&amp;""]'!A1:A20"")=$E13
    ),
    """"
  ) = """",
  "&amp;"""-"",
  CF$5 * ( 1 +
    IFNA(
      FILTER(
        IMPORTRANGE($F$8,""'Sensitivity [""&amp;IF(CF$3="""",CF$2,CF$2&amp;"", ""&amp;CF$3)&amp;""]'!E1:E20""),
        IMPORTRANGE($F$8,""'Sensitivity [""&amp;IF(CF$3="""",CF$2,CF$2&amp;"", ""&amp;CF$3)&amp;""]'!A1:A20"")=$E13
      ),
    "&amp;"  """"
    )
  )
), ""-"")
"),19.75111134896549)</f>
        <v>19.75111135</v>
      </c>
      <c r="CI13" s="972">
        <f>IFERROR(__xludf.DUMMYFUNCTION("Iferror(IF(
  IFNA(
    FILTER(
      IMPORTRANGE($F$8,""'Sensitivity [""&amp;IF(CI$3="""",CI$2,CI$2&amp;"", ""&amp;CI$3)&amp;""]'!D1:D20""),
      IMPORTRANGE($F$8,""'Sensitivity [""&amp;IF(CI$3="""",CI$2,CI$2&amp;"", ""&amp;CI$3)&amp;""]'!A1:A20"")=$E13
    ),
    """"
  ) = """",
  "&amp;"""-"",
  CI$5 * ( 1 +
    IFNA(
      FILTER(
        IMPORTRANGE($F$8,""'Sensitivity [""&amp;IF(CI$3="""",CI$2,CI$2&amp;"", ""&amp;CI$3)&amp;""]'!D1:D20""),
        IMPORTRANGE($F$8,""'Sensitivity [""&amp;IF(CI$3="""",CI$2,CI$2&amp;"", ""&amp;CI$3)&amp;""]'!A1:A20"")=$E13
      ),
    "&amp;"  """"
    )
  )
), ""-"")
"),0.9882431417300844)</f>
        <v>0.9882431417</v>
      </c>
      <c r="CJ13" s="993" t="s">
        <v>165</v>
      </c>
      <c r="CK13" s="974">
        <f>IFERROR(__xludf.DUMMYFUNCTION("iferror(IF(
  IFNA(
    FILTER(
      IMPORTRANGE($F$8,""'Sensitivity [""&amp;IF(CI$3="""",CI$2,CI$2&amp;"", ""&amp;CI$3)&amp;""]'!E1:E20""),
      IMPORTRANGE($F$8,""'Sensitivity [""&amp;IF(CI$3="""",CI$2,CI$2&amp;"", ""&amp;CI$3)&amp;""]'!A1:A20"")=$E13
    ),
    """"
  ) = """",
  "&amp;"""-"",
  CI$5 * ( 1 +
    IFNA(
      FILTER(
        IMPORTRANGE($F$8,""'Sensitivity [""&amp;IF(CI$3="""",CI$2,CI$2&amp;"", ""&amp;CI$3)&amp;""]'!E1:E20""),
        IMPORTRANGE($F$8,""'Sensitivity [""&amp;IF(CI$3="""",CI$2,CI$2&amp;"", ""&amp;CI$3)&amp;""]'!A1:A20"")=$E13
      ),
    "&amp;"  """"
    )
  )
), ""-"")
"),9.553017036724134)</f>
        <v>9.553017037</v>
      </c>
      <c r="CL13" s="198"/>
    </row>
    <row r="14">
      <c r="A14" s="889"/>
      <c r="B14" s="890"/>
      <c r="C14" s="890"/>
      <c r="D14" s="890"/>
      <c r="E14" s="992" t="str">
        <f t="shared" si="1"/>
        <v>Adjustment to account for developmental benefits (long-term income increases)</v>
      </c>
      <c r="F14" s="972">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"),19.04444932162708)</f>
        <v>19.04444932</v>
      </c>
      <c r="G14" s="993" t="s">
        <v>165</v>
      </c>
      <c r="H14" s="974">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"),29.0201132520032)</f>
        <v>29.02011325</v>
      </c>
      <c r="I14" s="972">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"),13.38129945367699)</f>
        <v>13.38129945</v>
      </c>
      <c r="J14" s="993" t="s">
        <v>165</v>
      </c>
      <c r="K14" s="974">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"),20.390551548460195)</f>
        <v>20.39055155</v>
      </c>
      <c r="L14" s="972">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"),7.222003786311017)</f>
        <v>7.222003786</v>
      </c>
      <c r="M14" s="993" t="s">
        <v>165</v>
      </c>
      <c r="N14" s="974">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"),11.004958150569195)</f>
        <v>11.00495815</v>
      </c>
      <c r="O14" s="972">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"),14.26801147191133)</f>
        <v>14.26801147</v>
      </c>
      <c r="P14" s="993" t="s">
        <v>165</v>
      </c>
      <c r="Q14" s="974">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"),21.74173176672207)</f>
        <v>21.74173177</v>
      </c>
      <c r="R14" s="972">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"),9.204496231663194)</f>
        <v>9.204496232</v>
      </c>
      <c r="S14" s="993" t="s">
        <v>165</v>
      </c>
      <c r="T14" s="974">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"),14.025899019677286)</f>
        <v>14.02589902</v>
      </c>
      <c r="U14" s="972">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"),4.037547674659044)</f>
        <v>4.037547675</v>
      </c>
      <c r="V14" s="993" t="s">
        <v>165</v>
      </c>
      <c r="W14" s="974">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"),6.152453599480478)</f>
        <v>6.152453599</v>
      </c>
      <c r="X14" s="972">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"),13.435098625124953)</f>
        <v>13.43509863</v>
      </c>
      <c r="Y14" s="993" t="s">
        <v>165</v>
      </c>
      <c r="Z14" s="974">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"),20.47253123828558)</f>
        <v>20.47253124</v>
      </c>
      <c r="AA14" s="972">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"),27.74187033783637)</f>
        <v>27.74187034</v>
      </c>
      <c r="AB14" s="993" t="s">
        <v>165</v>
      </c>
      <c r="AC14" s="974">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"),42.27332622908408)</f>
        <v>42.27332623</v>
      </c>
      <c r="AD14" s="972">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"),49.98891634800503)</f>
        <v>49.98891635</v>
      </c>
      <c r="AE14" s="993" t="s">
        <v>165</v>
      </c>
      <c r="AF14" s="974">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"),76.17358681600786)</f>
        <v>76.17358682</v>
      </c>
      <c r="AG14" s="972">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"),18.16688158609518)</f>
        <v>18.16688159</v>
      </c>
      <c r="AH14" s="993" t="s">
        <v>165</v>
      </c>
      <c r="AI14" s="974">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"),27.68286717881165)</f>
        <v>27.68286718</v>
      </c>
      <c r="AJ14" s="972">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"),3.7213946083129206)</f>
        <v>3.721394608</v>
      </c>
      <c r="AK14" s="993" t="s">
        <v>165</v>
      </c>
      <c r="AL14" s="974">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"),5.670696546000655)</f>
        <v>5.670696546</v>
      </c>
      <c r="AM14" s="972">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"),1.9391252103988723)</f>
        <v>1.93912521</v>
      </c>
      <c r="AN14" s="993" t="s">
        <v>165</v>
      </c>
      <c r="AO14" s="974">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"),2.9548574634649394)</f>
        <v>2.954857463</v>
      </c>
      <c r="AP14" s="972">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"),8.017960575539563)</f>
        <v>8.017960576</v>
      </c>
      <c r="AQ14" s="993" t="s">
        <v>165</v>
      </c>
      <c r="AR14" s="974">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"),12.217844686536534)</f>
        <v>12.21784469</v>
      </c>
      <c r="AS14" s="972">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"),4.386730357860972)</f>
        <v>4.386730358</v>
      </c>
      <c r="AT14" s="993" t="s">
        <v>165</v>
      </c>
      <c r="AU14" s="974">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"),6.684541497692936)</f>
        <v>6.684541498</v>
      </c>
      <c r="AV14" s="972">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"),11.417341382829932)</f>
        <v>11.41734138</v>
      </c>
      <c r="AW14" s="993" t="s">
        <v>165</v>
      </c>
      <c r="AX14" s="974">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"),17.39785353574084)</f>
        <v>17.39785354</v>
      </c>
      <c r="AY14" s="972">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"),3.214667539413886)</f>
        <v>3.214667539</v>
      </c>
      <c r="AZ14" s="993" t="s">
        <v>165</v>
      </c>
      <c r="BA14" s="974">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"),4.898541012440192)</f>
        <v>4.898541012</v>
      </c>
      <c r="BB14" s="972">
        <f>IFERROR(__xludf.DUMMYFUNCTION("Iferror(IF(
  IFNA(
    FILTER(
      IMPORTRANGE($F$8,""'Sensitivity [""&amp;IF(BB$3="""",BB$2,BB$2&amp;"", ""&amp;BB$3)&amp;""]'!D1:D20""),
      IMPORTRANGE($F$8,""'Sensitivity [""&amp;IF(BB$3="""",BB$2,BB$2&amp;"", ""&amp;BB$3)&amp;""]'!A1:A20"")=$E14
    ),
    """"
  ) = """",
  "&amp;"""-"",
  BB$5 * ( 1 +
    IFNA(
      FILTER(
        IMPORTRANGE($F$8,""'Sensitivity [""&amp;IF(BB$3="""",BB$2,BB$2&amp;"", ""&amp;BB$3)&amp;""]'!D1:D20""),
        IMPORTRANGE($F$8,""'Sensitivity [""&amp;IF(BB$3="""",BB$2,BB$2&amp;"", ""&amp;BB$3)&amp;""]'!A1:A20"")=$E14
      ),
    "&amp;"  """"
    )
  )
), ""-"")
"),4.976356970545869)</f>
        <v>4.976356971</v>
      </c>
      <c r="BC14" s="993" t="s">
        <v>165</v>
      </c>
      <c r="BD14" s="974">
        <f>IFERROR(__xludf.DUMMYFUNCTION("iferror(IF(
  IFNA(
    FILTER(
      IMPORTRANGE($F$8,""'Sensitivity [""&amp;IF(BB$3="""",BB$2,BB$2&amp;"", ""&amp;BB$3)&amp;""]'!E1:E20""),
      IMPORTRANGE($F$8,""'Sensitivity [""&amp;IF(BB$3="""",BB$2,BB$2&amp;"", ""&amp;BB$3)&amp;""]'!A1:A20"")=$E14
    ),
    """"
  ) = """",
  "&amp;"""-"",
  BB$5 * ( 1 +
    IFNA(
      FILTER(
        IMPORTRANGE($F$8,""'Sensitivity [""&amp;IF(BB$3="""",BB$2,BB$2&amp;"", ""&amp;BB$3)&amp;""]'!E1:E20""),
        IMPORTRANGE($F$8,""'Sensitivity [""&amp;IF(BB$3="""",BB$2,BB$2&amp;"", ""&amp;BB$3)&amp;""]'!A1:A20"")=$E14
      ),
    "&amp;"  """"
    )
  )
), ""-"")
"),7.5830201455936646)</f>
        <v>7.583020146</v>
      </c>
      <c r="BE14" s="972">
        <f>IFERROR(__xludf.DUMMYFUNCTION("Iferror(IF(
  IFNA(
    FILTER(
      IMPORTRANGE($F$8,""'Sensitivity [""&amp;IF(BE$3="""",BE$2,BE$2&amp;"", ""&amp;BE$3)&amp;""]'!D1:D20""),
      IMPORTRANGE($F$8,""'Sensitivity [""&amp;IF(BE$3="""",BE$2,BE$2&amp;"", ""&amp;BE$3)&amp;""]'!A1:A20"")=$E14
    ),
    """"
  ) = """",
  "&amp;"""-"",
  BE$5 * ( 1 +
    IFNA(
      FILTER(
        IMPORTRANGE($F$8,""'Sensitivity [""&amp;IF(BE$3="""",BE$2,BE$2&amp;"", ""&amp;BE$3)&amp;""]'!D1:D20""),
        IMPORTRANGE($F$8,""'Sensitivity [""&amp;IF(BE$3="""",BE$2,BE$2&amp;"", ""&amp;BE$3)&amp;""]'!A1:A20"")=$E14
      ),
    "&amp;"  """"
    )
  )
), ""-"")
"),2.665441674495431)</f>
        <v>2.665441674</v>
      </c>
      <c r="BF14" s="993" t="s">
        <v>165</v>
      </c>
      <c r="BG14" s="974">
        <f>IFERROR(__xludf.DUMMYFUNCTION("iferror(IF(
  IFNA(
    FILTER(
      IMPORTRANGE($F$8,""'Sensitivity [""&amp;IF(BE$3="""",BE$2,BE$2&amp;"", ""&amp;BE$3)&amp;""]'!E1:E20""),
      IMPORTRANGE($F$8,""'Sensitivity [""&amp;IF(BE$3="""",BE$2,BE$2&amp;"", ""&amp;BE$3)&amp;""]'!A1:A20"")=$E14
    ),
    """"
  ) = """",
  "&amp;"""-"",
  BE$5 * ( 1 +
    IFNA(
      FILTER(
        IMPORTRANGE($F$8,""'Sensitivity [""&amp;IF(BE$3="""",BE$2,BE$2&amp;"", ""&amp;BE$3)&amp;""]'!E1:E20""),
        IMPORTRANGE($F$8,""'Sensitivity [""&amp;IF(BE$3="""",BE$2,BE$2&amp;"", ""&amp;BE$3)&amp;""]'!A1:A20"")=$E14
      ),
    "&amp;"  """"
    )
  )
), ""-"")
"),4.0616254087549555)</f>
        <v>4.061625409</v>
      </c>
      <c r="BH14" s="972">
        <f>IFERROR(__xludf.DUMMYFUNCTION("Iferror(IF(
  IFNA(
    FILTER(
      IMPORTRANGE($F$8,""'Sensitivity [""&amp;IF(BH$3="""",BH$2,BH$2&amp;"", ""&amp;BH$3)&amp;""]'!D1:D20""),
      IMPORTRANGE($F$8,""'Sensitivity [""&amp;IF(BH$3="""",BH$2,BH$2&amp;"", ""&amp;BH$3)&amp;""]'!A1:A20"")=$E14
    ),
    """"
  ) = """",
  "&amp;"""-"",
  BH$5 * ( 1 +
    IFNA(
      FILTER(
        IMPORTRANGE($F$8,""'Sensitivity [""&amp;IF(BH$3="""",BH$2,BH$2&amp;"", ""&amp;BH$3)&amp;""]'!D1:D20""),
        IMPORTRANGE($F$8,""'Sensitivity [""&amp;IF(BH$3="""",BH$2,BH$2&amp;"", ""&amp;BH$3)&amp;""]'!A1:A20"")=$E14
      ),
    "&amp;"  """"
    )
  )
), ""-"")
"),3.5232472469446856)</f>
        <v>3.523247247</v>
      </c>
      <c r="BI14" s="993" t="s">
        <v>165</v>
      </c>
      <c r="BJ14" s="974">
        <f>IFERROR(__xludf.DUMMYFUNCTION("iferror(IF(
  IFNA(
    FILTER(
      IMPORTRANGE($F$8,""'Sensitivity [""&amp;IF(BH$3="""",BH$2,BH$2&amp;"", ""&amp;BH$3)&amp;""]'!E1:E20""),
      IMPORTRANGE($F$8,""'Sensitivity [""&amp;IF(BH$3="""",BH$2,BH$2&amp;"", ""&amp;BH$3)&amp;""]'!A1:A20"")=$E14
    ),
    """"
  ) = """",
  "&amp;"""-"",
  BH$5 * ( 1 +
    IFNA(
      FILTER(
        IMPORTRANGE($F$8,""'Sensitivity [""&amp;IF(BH$3="""",BH$2,BH$2&amp;"", ""&amp;BH$3)&amp;""]'!E1:E20""),
        IMPORTRANGE($F$8,""'Sensitivity [""&amp;IF(BH$3="""",BH$2,BH$2&amp;"", ""&amp;BH$3)&amp;""]'!A1:A20"")=$E14
      ),
    "&amp;"  """"
    )
  )
), ""-"")
"),5.368757709629954)</f>
        <v>5.36875771</v>
      </c>
      <c r="BK14" s="972">
        <f>IFERROR(__xludf.DUMMYFUNCTION("Iferror(IF(
  IFNA(
    FILTER(
      IMPORTRANGE($F$8,""'Sensitivity [""&amp;IF(BK$3="""",BK$2,BK$2&amp;"", ""&amp;BK$3)&amp;""]'!D1:D20""),
      IMPORTRANGE($F$8,""'Sensitivity [""&amp;IF(BK$3="""",BK$2,BK$2&amp;"", ""&amp;BK$3)&amp;""]'!A1:A20"")=$E14
    ),
    """"
  ) = """",
  "&amp;"""-"",
  BK$5 * ( 1 +
    IFNA(
      FILTER(
        IMPORTRANGE($F$8,""'Sensitivity [""&amp;IF(BK$3="""",BK$2,BK$2&amp;"", ""&amp;BK$3)&amp;""]'!D1:D20""),
        IMPORTRANGE($F$8,""'Sensitivity [""&amp;IF(BK$3="""",BK$2,BK$2&amp;"", ""&amp;BK$3)&amp;""]'!A1:A20"")=$E14
      ),
    "&amp;"  """"
    )
  )
), ""-"")
"),10.101711700750483)</f>
        <v>10.1017117</v>
      </c>
      <c r="BL14" s="993" t="s">
        <v>165</v>
      </c>
      <c r="BM14" s="974">
        <f>IFERROR(__xludf.DUMMYFUNCTION("iferror(IF(
  IFNA(
    FILTER(
      IMPORTRANGE($F$8,""'Sensitivity [""&amp;IF(BK$3="""",BK$2,BK$2&amp;"", ""&amp;BK$3)&amp;""]'!E1:E20""),
      IMPORTRANGE($F$8,""'Sensitivity [""&amp;IF(BK$3="""",BK$2,BK$2&amp;"", ""&amp;BK$3)&amp;""]'!A1:A20"")=$E14
    ),
    """"
  ) = """",
  "&amp;"""-"",
  BK$5 * ( 1 +
    IFNA(
      FILTER(
        IMPORTRANGE($F$8,""'Sensitivity [""&amp;IF(BK$3="""",BK$2,BK$2&amp;"", ""&amp;BK$3)&amp;""]'!E1:E20""),
        IMPORTRANGE($F$8,""'Sensitivity [""&amp;IF(BK$3="""",BK$2,BK$2&amp;"", ""&amp;BK$3)&amp;""]'!A1:A20"")=$E14
      ),
    "&amp;"  """"
    )
  )
), ""-"")
"),15.393084496381682)</f>
        <v>15.3930845</v>
      </c>
      <c r="BN14" s="972">
        <f>IFERROR(__xludf.DUMMYFUNCTION("Iferror(IF(
  IFNA(
    FILTER(
      IMPORTRANGE($F$8,""'Sensitivity [""&amp;IF(BN$3="""",BN$2,BN$2&amp;"", ""&amp;BN$3)&amp;""]'!D1:D20""),
      IMPORTRANGE($F$8,""'Sensitivity [""&amp;IF(BN$3="""",BN$2,BN$2&amp;"", ""&amp;BN$3)&amp;""]'!A1:A20"")=$E14
    ),
    """"
  ) = """",
  "&amp;"""-"",
  BN$5 * ( 1 +
    IFNA(
      FILTER(
        IMPORTRANGE($F$8,""'Sensitivity [""&amp;IF(BN$3="""",BN$2,BN$2&amp;"", ""&amp;BN$3)&amp;""]'!D1:D20""),
        IMPORTRANGE($F$8,""'Sensitivity [""&amp;IF(BN$3="""",BN$2,BN$2&amp;"", ""&amp;BN$3)&amp;""]'!A1:A20"")=$E14
      ),
    "&amp;"  """"
    )
  )
), ""-"")
"),4.065113292672096)</f>
        <v>4.065113293</v>
      </c>
      <c r="BO14" s="993" t="s">
        <v>165</v>
      </c>
      <c r="BP14" s="974">
        <f>IFERROR(__xludf.DUMMYFUNCTION("iferror(IF(
  IFNA(
    FILTER(
      IMPORTRANGE($F$8,""'Sensitivity [""&amp;IF(BN$3="""",BN$2,BN$2&amp;"", ""&amp;BN$3)&amp;""]'!E1:E20""),
      IMPORTRANGE($F$8,""'Sensitivity [""&amp;IF(BN$3="""",BN$2,BN$2&amp;"", ""&amp;BN$3)&amp;""]'!A1:A20"")=$E14
    ),
    """"
  ) = """",
  "&amp;"""-"",
  BN$5 * ( 1 +
    IFNA(
      FILTER(
        IMPORTRANGE($F$8,""'Sensitivity [""&amp;IF(BN$3="""",BN$2,BN$2&amp;"", ""&amp;BN$3)&amp;""]'!E1:E20""),
        IMPORTRANGE($F$8,""'Sensitivity [""&amp;IF(BN$3="""",BN$2,BN$2&amp;"", ""&amp;BN$3)&amp;""]'!A1:A20"")=$E14
      ),
    "&amp;"  """"
    )
  )
), ""-"")
"),6.194458350738417)</f>
        <v>6.194458351</v>
      </c>
      <c r="BQ14" s="972">
        <f>IFERROR(__xludf.DUMMYFUNCTION("Iferror(IF(
  IFNA(
    FILTER(
      IMPORTRANGE($F$8,""'Sensitivity [""&amp;IF(BQ$3="""",BQ$2,BQ$2&amp;"", ""&amp;BQ$3)&amp;""]'!D1:D20""),
      IMPORTRANGE($F$8,""'Sensitivity [""&amp;IF(BQ$3="""",BQ$2,BQ$2&amp;"", ""&amp;BQ$3)&amp;""]'!A1:A20"")=$E14
    ),
    """"
  ) = """",
  "&amp;"""-"",
  BQ$5 * ( 1 +
    IFNA(
      FILTER(
        IMPORTRANGE($F$8,""'Sensitivity [""&amp;IF(BQ$3="""",BQ$2,BQ$2&amp;"", ""&amp;BQ$3)&amp;""]'!D1:D20""),
        IMPORTRANGE($F$8,""'Sensitivity [""&amp;IF(BQ$3="""",BQ$2,BQ$2&amp;"", ""&amp;BQ$3)&amp;""]'!A1:A20"")=$E14
      ),
    "&amp;"  """"
    )
  )
), ""-"")
"),1.9602238190601087)</f>
        <v>1.960223819</v>
      </c>
      <c r="BR14" s="993" t="s">
        <v>165</v>
      </c>
      <c r="BS14" s="974">
        <f>IFERROR(__xludf.DUMMYFUNCTION("iferror(IF(
  IFNA(
    FILTER(
      IMPORTRANGE($F$8,""'Sensitivity [""&amp;IF(BQ$3="""",BQ$2,BQ$2&amp;"", ""&amp;BQ$3)&amp;""]'!E1:E20""),
      IMPORTRANGE($F$8,""'Sensitivity [""&amp;IF(BQ$3="""",BQ$2,BQ$2&amp;"", ""&amp;BQ$3)&amp;""]'!A1:A20"")=$E14
    ),
    """"
  ) = """",
  "&amp;"""-"",
  BQ$5 * ( 1 +
    IFNA(
      FILTER(
        IMPORTRANGE($F$8,""'Sensitivity [""&amp;IF(BQ$3="""",BQ$2,BQ$2&amp;"", ""&amp;BQ$3)&amp;""]'!E1:E20""),
        IMPORTRANGE($F$8,""'Sensitivity [""&amp;IF(BQ$3="""",BQ$2,BQ$2&amp;"", ""&amp;BQ$3)&amp;""]'!A1:A20"")=$E14
      ),
    "&amp;"  """"
    )
  )
), ""-"")
"),2.987007724282069)</f>
        <v>2.987007724</v>
      </c>
      <c r="BT14" s="972">
        <f>IFERROR(__xludf.DUMMYFUNCTION("Iferror(IF(
  IFNA(
    FILTER(
      IMPORTRANGE($F$8,""'Sensitivity [""&amp;IF(BT$3="""",BT$2,BT$2&amp;"", ""&amp;BT$3)&amp;""]'!D1:D20""),
      IMPORTRANGE($F$8,""'Sensitivity [""&amp;IF(BT$3="""",BT$2,BT$2&amp;"", ""&amp;BT$3)&amp;""]'!A1:A20"")=$E14
    ),
    """"
  ) = """",
  "&amp;"""-"",
  BT$5 * ( 1 +
    IFNA(
      FILTER(
        IMPORTRANGE($F$8,""'Sensitivity [""&amp;IF(BT$3="""",BT$2,BT$2&amp;"", ""&amp;BT$3)&amp;""]'!D1:D20""),
        IMPORTRANGE($F$8,""'Sensitivity [""&amp;IF(BT$3="""",BT$2,BT$2&amp;"", ""&amp;BT$3)&amp;""]'!A1:A20"")=$E14
      ),
    "&amp;"  """"
    )
  )
), ""-"")
"),6.469507795152468)</f>
        <v>6.469507795</v>
      </c>
      <c r="BU14" s="993" t="s">
        <v>165</v>
      </c>
      <c r="BV14" s="974">
        <f>IFERROR(__xludf.DUMMYFUNCTION("iferror(IF(
  IFNA(
    FILTER(
      IMPORTRANGE($F$8,""'Sensitivity [""&amp;IF(BT$3="""",BT$2,BT$2&amp;"", ""&amp;BT$3)&amp;""]'!E1:E20""),
      IMPORTRANGE($F$8,""'Sensitivity [""&amp;IF(BT$3="""",BT$2,BT$2&amp;"", ""&amp;BT$3)&amp;""]'!A1:A20"")=$E14
    ),
    """"
  ) = """",
  "&amp;"""-"",
  BT$5 * ( 1 +
    IFNA(
      FILTER(
        IMPORTRANGE($F$8,""'Sensitivity [""&amp;IF(BT$3="""",BT$2,BT$2&amp;"", ""&amp;BT$3)&amp;""]'!E1:E20""),
        IMPORTRANGE($F$8,""'Sensitivity [""&amp;IF(BT$3="""",BT$2,BT$2&amp;"", ""&amp;BT$3)&amp;""]'!A1:A20"")=$E14
      ),
    "&amp;"  """"
    )
  )
), ""-"")
"),9.858297592613276)</f>
        <v>9.858297593</v>
      </c>
      <c r="BW14" s="972">
        <f>IFERROR(__xludf.DUMMYFUNCTION("Iferror(IF(
  IFNA(
    FILTER(
      IMPORTRANGE($F$8,""'Sensitivity [""&amp;IF(BW$3="""",BW$2,BW$2&amp;"", ""&amp;BW$3)&amp;""]'!D1:D20""),
      IMPORTRANGE($F$8,""'Sensitivity [""&amp;IF(BW$3="""",BW$2,BW$2&amp;"", ""&amp;BW$3)&amp;""]'!A1:A20"")=$E14
    ),
    """"
  ) = """",
  "&amp;"""-"",
  BW$5 * ( 1 +
    IFNA(
      FILTER(
        IMPORTRANGE($F$8,""'Sensitivity [""&amp;IF(BW$3="""",BW$2,BW$2&amp;"", ""&amp;BW$3)&amp;""]'!D1:D20""),
        IMPORTRANGE($F$8,""'Sensitivity [""&amp;IF(BW$3="""",BW$2,BW$2&amp;"", ""&amp;BW$3)&amp;""]'!A1:A20"")=$E14
      ),
    "&amp;"  """"
    )
  )
), ""-"")
"),24.397214770143506)</f>
        <v>24.39721477</v>
      </c>
      <c r="BX14" s="993" t="s">
        <v>165</v>
      </c>
      <c r="BY14" s="974">
        <f>IFERROR(__xludf.DUMMYFUNCTION("iferror(IF(
  IFNA(
    FILTER(
      IMPORTRANGE($F$8,""'Sensitivity [""&amp;IF(BW$3="""",BW$2,BW$2&amp;"", ""&amp;BW$3)&amp;""]'!E1:E20""),
      IMPORTRANGE($F$8,""'Sensitivity [""&amp;IF(BW$3="""",BW$2,BW$2&amp;"", ""&amp;BW$3)&amp;""]'!A1:A20"")=$E14
    ),
    """"
  ) = """",
  "&amp;"""-"",
  BW$5 * ( 1 +
    IFNA(
      FILTER(
        IMPORTRANGE($F$8,""'Sensitivity [""&amp;IF(BW$3="""",BW$2,BW$2&amp;"", ""&amp;BW$3)&amp;""]'!E1:E20""),
        IMPORTRANGE($F$8,""'Sensitivity [""&amp;IF(BW$3="""",BW$2,BW$2&amp;"", ""&amp;BW$3)&amp;""]'!A1:A20"")=$E14
      ),
    "&amp;"  """"
    )
  )
), ""-"")
"),37.17670822117106)</f>
        <v>37.17670822</v>
      </c>
      <c r="BZ14" s="972">
        <f>IFERROR(__xludf.DUMMYFUNCTION("Iferror(IF(
  IFNA(
    FILTER(
      IMPORTRANGE($F$8,""'Sensitivity [""&amp;IF(BZ$3="""",BZ$2,BZ$2&amp;"", ""&amp;BZ$3)&amp;""]'!D1:D20""),
      IMPORTRANGE($F$8,""'Sensitivity [""&amp;IF(BZ$3="""",BZ$2,BZ$2&amp;"", ""&amp;BZ$3)&amp;""]'!A1:A20"")=$E14
    ),
    """"
  ) = """",
  "&amp;"""-"",
  BZ$5 * ( 1 +
    IFNA(
      FILTER(
        IMPORTRANGE($F$8,""'Sensitivity [""&amp;IF(BZ$3="""",BZ$2,BZ$2&amp;"", ""&amp;BZ$3)&amp;""]'!D1:D20""),
        IMPORTRANGE($F$8,""'Sensitivity [""&amp;IF(BZ$3="""",BZ$2,BZ$2&amp;"", ""&amp;BZ$3)&amp;""]'!A1:A20"")=$E14
      ),
    "&amp;"  """"
    )
  )
), ""-"")
"),4.730957569739334)</f>
        <v>4.73095757</v>
      </c>
      <c r="CA14" s="993" t="s">
        <v>165</v>
      </c>
      <c r="CB14" s="974">
        <f>IFERROR(__xludf.DUMMYFUNCTION("iferror(IF(
  IFNA(
    FILTER(
      IMPORTRANGE($F$8,""'Sensitivity [""&amp;IF(BZ$3="""",BZ$2,BZ$2&amp;"", ""&amp;BZ$3)&amp;""]'!E1:E20""),
      IMPORTRANGE($F$8,""'Sensitivity [""&amp;IF(BZ$3="""",BZ$2,BZ$2&amp;"", ""&amp;BZ$3)&amp;""]'!A1:A20"")=$E14
    ),
    """"
  ) = """",
  "&amp;"""-"",
  BZ$5 * ( 1 +
    IFNA(
      FILTER(
        IMPORTRANGE($F$8,""'Sensitivity [""&amp;IF(BZ$3="""",BZ$2,BZ$2&amp;"", ""&amp;BZ$3)&amp;""]'!E1:E20""),
        IMPORTRANGE($F$8,""'Sensitivity [""&amp;IF(BZ$3="""",BZ$2,BZ$2&amp;"", ""&amp;BZ$3)&amp;""]'!A1:A20"")=$E14
      ),
    "&amp;"  """"
    )
  )
), ""-"")
"),7.209078201507531)</f>
        <v>7.209078202</v>
      </c>
      <c r="CC14" s="972">
        <f>IFERROR(__xludf.DUMMYFUNCTION("Iferror(IF(
  IFNA(
    FILTER(
      IMPORTRANGE($F$8,""'Sensitivity [""&amp;IF(CC$3="""",CC$2,CC$2&amp;"", ""&amp;CC$3)&amp;""]'!D1:D20""),
      IMPORTRANGE($F$8,""'Sensitivity [""&amp;IF(CC$3="""",CC$2,CC$2&amp;"", ""&amp;CC$3)&amp;""]'!A1:A20"")=$E14
    ),
    """"
  ) = """",
  "&amp;"""-"",
  CC$5 * ( 1 +
    IFNA(
      FILTER(
        IMPORTRANGE($F$8,""'Sensitivity [""&amp;IF(CC$3="""",CC$2,CC$2&amp;"", ""&amp;CC$3)&amp;""]'!D1:D20""),
        IMPORTRANGE($F$8,""'Sensitivity [""&amp;IF(CC$3="""",CC$2,CC$2&amp;"", ""&amp;CC$3)&amp;""]'!A1:A20"")=$E14
      ),
    "&amp;"  """"
    )
  )
), ""-"")
"),16.92152015676127)</f>
        <v>16.92152016</v>
      </c>
      <c r="CD14" s="993" t="s">
        <v>165</v>
      </c>
      <c r="CE14" s="974">
        <f>IFERROR(__xludf.DUMMYFUNCTION("iferror(IF(
  IFNA(
    FILTER(
      IMPORTRANGE($F$8,""'Sensitivity [""&amp;IF(CC$3="""",CC$2,CC$2&amp;"", ""&amp;CC$3)&amp;""]'!E1:E20""),
      IMPORTRANGE($F$8,""'Sensitivity [""&amp;IF(CC$3="""",CC$2,CC$2&amp;"", ""&amp;CC$3)&amp;""]'!A1:A20"")=$E14
    ),
    """"
  ) = """",
  "&amp;"""-"",
  CC$5 * ( 1 +
    IFNA(
      FILTER(
        IMPORTRANGE($F$8,""'Sensitivity [""&amp;IF(CC$3="""",CC$2,CC$2&amp;"", ""&amp;CC$3)&amp;""]'!E1:E20""),
        IMPORTRANGE($F$8,""'Sensitivity [""&amp;IF(CC$3="""",CC$2,CC$2&amp;"", ""&amp;CC$3)&amp;""]'!A1:A20"")=$E14
      ),
    "&amp;"  """"
    )
  )
), ""-"")
"),25.78517357220765)</f>
        <v>25.78517357</v>
      </c>
      <c r="CF14" s="972">
        <f>IFERROR(__xludf.DUMMYFUNCTION("Iferror(IF(
  IFNA(
    FILTER(
      IMPORTRANGE($F$8,""'Sensitivity [""&amp;IF(CF$3="""",CF$2,CF$2&amp;"", ""&amp;CF$3)&amp;""]'!D1:D20""),
      IMPORTRANGE($F$8,""'Sensitivity [""&amp;IF(CF$3="""",CF$2,CF$2&amp;"", ""&amp;CF$3)&amp;""]'!A1:A20"")=$E14
    ),
    """"
  ) = """",
  "&amp;"""-"",
  CF$5 * ( 1 +
    IFNA(
      FILTER(
        IMPORTRANGE($F$8,""'Sensitivity [""&amp;IF(CF$3="""",CF$2,CF$2&amp;"", ""&amp;CF$3)&amp;""]'!D1:D20""),
        IMPORTRANGE($F$8,""'Sensitivity [""&amp;IF(CF$3="""",CF$2,CF$2&amp;"", ""&amp;CF$3)&amp;""]'!A1:A20"")=$E14
      ),
    "&amp;"  """"
    )
  )
), ""-"")
"),12.57494579887222)</f>
        <v>12.5749458</v>
      </c>
      <c r="CG14" s="993" t="s">
        <v>165</v>
      </c>
      <c r="CH14" s="974">
        <f>IFERROR(__xludf.DUMMYFUNCTION("iferror(IF(
  IFNA(
    FILTER(
      IMPORTRANGE($F$8,""'Sensitivity [""&amp;IF(CF$3="""",CF$2,CF$2&amp;"", ""&amp;CF$3)&amp;""]'!E1:E20""),
      IMPORTRANGE($F$8,""'Sensitivity [""&amp;IF(CF$3="""",CF$2,CF$2&amp;"", ""&amp;CF$3)&amp;""]'!A1:A20"")=$E14
    ),
    """"
  ) = """",
  "&amp;"""-"",
  CF$5 * ( 1 +
    IFNA(
      FILTER(
        IMPORTRANGE($F$8,""'Sensitivity [""&amp;IF(CF$3="""",CF$2,CF$2&amp;"", ""&amp;CF$3)&amp;""]'!E1:E20""),
        IMPORTRANGE($F$8,""'Sensitivity [""&amp;IF(CF$3="""",CF$2,CF$2&amp;"", ""&amp;CF$3)&amp;""]'!A1:A20"")=$E14
      ),
    "&amp;"  """"
    )
  )
), ""-"")
"),19.161822169710074)</f>
        <v>19.16182217</v>
      </c>
      <c r="CI14" s="972">
        <f>IFERROR(__xludf.DUMMYFUNCTION("Iferror(IF(
  IFNA(
    FILTER(
      IMPORTRANGE($F$8,""'Sensitivity [""&amp;IF(CI$3="""",CI$2,CI$2&amp;"", ""&amp;CI$3)&amp;""]'!D1:D20""),
      IMPORTRANGE($F$8,""'Sensitivity [""&amp;IF(CI$3="""",CI$2,CI$2&amp;"", ""&amp;CI$3)&amp;""]'!A1:A20"")=$E14
    ),
    """"
  ) = """",
  "&amp;"""-"",
  CI$5 * ( 1 +
    IFNA(
      FILTER(
        IMPORTRANGE($F$8,""'Sensitivity [""&amp;IF(CI$3="""",CI$2,CI$2&amp;"", ""&amp;CI$3)&amp;""]'!D1:D20""),
        IMPORTRANGE($F$8,""'Sensitivity [""&amp;IF(CI$3="""",CI$2,CI$2&amp;"", ""&amp;CI$3)&amp;""]'!A1:A20"")=$E14
      ),
    "&amp;"  """"
    )
  )
), ""-"")
"),5.340574465669611)</f>
        <v>5.340574466</v>
      </c>
      <c r="CJ14" s="993" t="s">
        <v>165</v>
      </c>
      <c r="CK14" s="974">
        <f>IFERROR(__xludf.DUMMYFUNCTION("iferror(IF(
  IFNA(
    FILTER(
      IMPORTRANGE($F$8,""'Sensitivity [""&amp;IF(CI$3="""",CI$2,CI$2&amp;"", ""&amp;CI$3)&amp;""]'!E1:E20""),
      IMPORTRANGE($F$8,""'Sensitivity [""&amp;IF(CI$3="""",CI$2,CI$2&amp;"", ""&amp;CI$3)&amp;""]'!A1:A20"")=$E14
    ),
    """"
  ) = """",
  "&amp;"""-"",
  CI$5 * ( 1 +
    IFNA(
      FILTER(
        IMPORTRANGE($F$8,""'Sensitivity [""&amp;IF(CI$3="""",CI$2,CI$2&amp;"", ""&amp;CI$3)&amp;""]'!E1:E20""),
        IMPORTRANGE($F$8,""'Sensitivity [""&amp;IF(CI$3="""",CI$2,CI$2&amp;"", ""&amp;CI$3)&amp;""]'!A1:A20"")=$E14
      ),
    "&amp;"  """"
    )
  )
), ""-"")
"),8.138018233401286)</f>
        <v>8.138018233</v>
      </c>
      <c r="CL14" s="198"/>
    </row>
    <row r="15">
      <c r="A15" s="889"/>
      <c r="B15" s="890"/>
      <c r="C15" s="890"/>
      <c r="D15" s="890"/>
      <c r="E15" s="992" t="str">
        <f t="shared" si="1"/>
        <v>Adjustment for additional program benefits and downsides</v>
      </c>
      <c r="F15" s="972">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"),20.39536781660065)</f>
        <v>20.39536782</v>
      </c>
      <c r="G15" s="993" t="s">
        <v>165</v>
      </c>
      <c r="H15" s="974">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"),24.852633630824542)</f>
        <v>24.85263363</v>
      </c>
      <c r="I15" s="972">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"),14.247300703432968)</f>
        <v>14.2473007</v>
      </c>
      <c r="J15" s="993" t="s">
        <v>165</v>
      </c>
      <c r="K15" s="974">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"),17.78522101233911)</f>
        <v>17.78522101</v>
      </c>
      <c r="L15" s="972">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"),7.618587147298501)</f>
        <v>7.618587147</v>
      </c>
      <c r="M15" s="993" t="s">
        <v>165</v>
      </c>
      <c r="N15" s="974">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"),9.459319612417593)</f>
        <v>9.459319612</v>
      </c>
      <c r="O15" s="972">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"),15.19222051753956)</f>
        <v>15.19222052</v>
      </c>
      <c r="P15" s="993" t="s">
        <v>165</v>
      </c>
      <c r="Q15" s="974">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"),18.862824132515527)</f>
        <v>18.86282413</v>
      </c>
      <c r="R15" s="972">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"),9.690917358874081)</f>
        <v>9.690917359</v>
      </c>
      <c r="S15" s="993" t="s">
        <v>165</v>
      </c>
      <c r="T15" s="974">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"),12.04816752724883)</f>
        <v>12.04816753</v>
      </c>
      <c r="U15" s="972">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"),4.25737912094184)</f>
        <v>4.257379121</v>
      </c>
      <c r="V15" s="993" t="s">
        <v>165</v>
      </c>
      <c r="W15" s="974">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"),5.257434619149667)</f>
        <v>5.257434619</v>
      </c>
      <c r="X15" s="972">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"),14.248694814951762)</f>
        <v>14.24869481</v>
      </c>
      <c r="Y15" s="993" t="s">
        <v>165</v>
      </c>
      <c r="Z15" s="974">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"),17.69133248836292)</f>
        <v>17.69133249</v>
      </c>
      <c r="AA15" s="972">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"),29.550944787109973)</f>
        <v>29.55094479</v>
      </c>
      <c r="AB15" s="993" t="s">
        <v>165</v>
      </c>
      <c r="AC15" s="974">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"),36.249158938854805)</f>
        <v>36.24915894</v>
      </c>
      <c r="AD15" s="972">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"),52.59286060166909)</f>
        <v>52.5928606</v>
      </c>
      <c r="AE15" s="993" t="s">
        <v>165</v>
      </c>
      <c r="AF15" s="974">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"),65.74107575208639)</f>
        <v>65.74107575</v>
      </c>
      <c r="AG15" s="972">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"),19.358836756545173)</f>
        <v>19.35883676</v>
      </c>
      <c r="AH15" s="993" t="s">
        <v>165</v>
      </c>
      <c r="AI15" s="974">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"),23.875898666405764)</f>
        <v>23.87589867</v>
      </c>
      <c r="AJ15" s="972">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"),3.903170386216227)</f>
        <v>3.903170386</v>
      </c>
      <c r="AK15" s="993" t="s">
        <v>165</v>
      </c>
      <c r="AL15" s="974">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"),4.9121532071428495)</f>
        <v>4.912153207</v>
      </c>
      <c r="AM15" s="972">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"),2.063825828129447)</f>
        <v>2.063825828</v>
      </c>
      <c r="AN15" s="993" t="s">
        <v>165</v>
      </c>
      <c r="AO15" s="974">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"),2.562468310093609)</f>
        <v>2.56246831</v>
      </c>
      <c r="AP15" s="972">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"),8.64513373291348)</f>
        <v>8.645133733</v>
      </c>
      <c r="AQ15" s="993" t="s">
        <v>165</v>
      </c>
      <c r="AR15" s="974">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"),10.534467595073398)</f>
        <v>10.5344676</v>
      </c>
      <c r="AS15" s="972">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"),4.673913191871759)</f>
        <v>4.673913192</v>
      </c>
      <c r="AT15" s="993" t="s">
        <v>165</v>
      </c>
      <c r="AU15" s="974">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"),5.764492936641805)</f>
        <v>5.764492937</v>
      </c>
      <c r="AV15" s="972">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"),12.098481610803399)</f>
        <v>12.09848161</v>
      </c>
      <c r="AW15" s="993" t="s">
        <v>165</v>
      </c>
      <c r="AX15" s="974">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"),14.940406821394792)</f>
        <v>14.94040682</v>
      </c>
      <c r="AY15" s="972">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"),3.373314690596329)</f>
        <v>3.373314691</v>
      </c>
      <c r="AZ15" s="993" t="s">
        <v>165</v>
      </c>
      <c r="BA15" s="974">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"),4.1938506964170665)</f>
        <v>4.193850696</v>
      </c>
      <c r="BB15" s="972">
        <f>IFERROR(__xludf.DUMMYFUNCTION("Iferror(IF(
  IFNA(
    FILTER(
      IMPORTRANGE($F$8,""'Sensitivity [""&amp;IF(BB$3="""",BB$2,BB$2&amp;"", ""&amp;BB$3)&amp;""]'!D1:D20""),
      IMPORTRANGE($F$8,""'Sensitivity [""&amp;IF(BB$3="""",BB$2,BB$2&amp;"", ""&amp;BB$3)&amp;""]'!A1:A20"")=$E15
    ),
    """"
  ) = """",
  "&amp;"""-"",
  BB$5 * ( 1 +
    IFNA(
      FILTER(
        IMPORTRANGE($F$8,""'Sensitivity [""&amp;IF(BB$3="""",BB$2,BB$2&amp;"", ""&amp;BB$3)&amp;""]'!D1:D20""),
        IMPORTRANGE($F$8,""'Sensitivity [""&amp;IF(BB$3="""",BB$2,BB$2&amp;"", ""&amp;BB$3)&amp;""]'!A1:A20"")=$E15
      ),
    "&amp;"  """"
    )
  )
), ""-"")
"),5.222022346085459)</f>
        <v>5.222022346</v>
      </c>
      <c r="BC15" s="993" t="s">
        <v>165</v>
      </c>
      <c r="BD15" s="974">
        <f>IFERROR(__xludf.DUMMYFUNCTION("iferror(IF(
  IFNA(
    FILTER(
      IMPORTRANGE($F$8,""'Sensitivity [""&amp;IF(BB$3="""",BB$2,BB$2&amp;"", ""&amp;BB$3)&amp;""]'!E1:E20""),
      IMPORTRANGE($F$8,""'Sensitivity [""&amp;IF(BB$3="""",BB$2,BB$2&amp;"", ""&amp;BB$3)&amp;""]'!A1:A20"")=$E15
    ),
    """"
  ) = """",
  "&amp;"""-"",
  BB$5 * ( 1 +
    IFNA(
      FILTER(
        IMPORTRANGE($F$8,""'Sensitivity [""&amp;IF(BB$3="""",BB$2,BB$2&amp;"", ""&amp;BB$3)&amp;""]'!E1:E20""),
        IMPORTRANGE($F$8,""'Sensitivity [""&amp;IF(BB$3="""",BB$2,BB$2&amp;"", ""&amp;BB$3)&amp;""]'!A1:A20"")=$E15
      ),
    "&amp;"  """"
    )
  )
), ""-"")
"),6.492243997835934)</f>
        <v>6.492243998</v>
      </c>
      <c r="BE15" s="972">
        <f>IFERROR(__xludf.DUMMYFUNCTION("Iferror(IF(
  IFNA(
    FILTER(
      IMPORTRANGE($F$8,""'Sensitivity [""&amp;IF(BE$3="""",BE$2,BE$2&amp;"", ""&amp;BE$3)&amp;""]'!D1:D20""),
      IMPORTRANGE($F$8,""'Sensitivity [""&amp;IF(BE$3="""",BE$2,BE$2&amp;"", ""&amp;BE$3)&amp;""]'!A1:A20"")=$E15
    ),
    """"
  ) = """",
  "&amp;"""-"",
  BE$5 * ( 1 +
    IFNA(
      FILTER(
        IMPORTRANGE($F$8,""'Sensitivity [""&amp;IF(BE$3="""",BE$2,BE$2&amp;"", ""&amp;BE$3)&amp;""]'!D1:D20""),
        IMPORTRANGE($F$8,""'Sensitivity [""&amp;IF(BE$3="""",BE$2,BE$2&amp;"", ""&amp;BE$3)&amp;""]'!A1:A20"")=$E15
      ),
    "&amp;"  """"
    )
  )
), ""-"")
"),2.804198320276137)</f>
        <v>2.80419832</v>
      </c>
      <c r="BF15" s="993" t="s">
        <v>165</v>
      </c>
      <c r="BG15" s="974">
        <f>IFERROR(__xludf.DUMMYFUNCTION("iferror(IF(
  IFNA(
    FILTER(
      IMPORTRANGE($F$8,""'Sensitivity [""&amp;IF(BE$3="""",BE$2,BE$2&amp;"", ""&amp;BE$3)&amp;""]'!E1:E20""),
      IMPORTRANGE($F$8,""'Sensitivity [""&amp;IF(BE$3="""",BE$2,BE$2&amp;"", ""&amp;BE$3)&amp;""]'!A1:A20"")=$E15
    ),
    """"
  ) = """",
  "&amp;"""-"",
  BE$5 * ( 1 +
    IFNA(
      FILTER(
        IMPORTRANGE($F$8,""'Sensitivity [""&amp;IF(BE$3="""",BE$2,BE$2&amp;"", ""&amp;BE$3)&amp;""]'!E1:E20""),
        IMPORTRANGE($F$8,""'Sensitivity [""&amp;IF(BE$3="""",BE$2,BE$2&amp;"", ""&amp;BE$3)&amp;""]'!A1:A20"")=$E15
      ),
    "&amp;"  """"
    )
  )
), ""-"")
"),3.4863006143973516)</f>
        <v>3.486300614</v>
      </c>
      <c r="BH15" s="972">
        <f>IFERROR(__xludf.DUMMYFUNCTION("Iferror(IF(
  IFNA(
    FILTER(
      IMPORTRANGE($F$8,""'Sensitivity [""&amp;IF(BH$3="""",BH$2,BH$2&amp;"", ""&amp;BH$3)&amp;""]'!D1:D20""),
      IMPORTRANGE($F$8,""'Sensitivity [""&amp;IF(BH$3="""",BH$2,BH$2&amp;"", ""&amp;BH$3)&amp;""]'!A1:A20"")=$E15
    ),
    """"
  ) = """",
  "&amp;"""-"",
  BH$5 * ( 1 +
    IFNA(
      FILTER(
        IMPORTRANGE($F$8,""'Sensitivity [""&amp;IF(BH$3="""",BH$2,BH$2&amp;"", ""&amp;BH$3)&amp;""]'!D1:D20""),
        IMPORTRANGE($F$8,""'Sensitivity [""&amp;IF(BH$3="""",BH$2,BH$2&amp;"", ""&amp;BH$3)&amp;""]'!A1:A20"")=$E15
      ),
    "&amp;"  """"
    )
  )
), ""-"")
"),3.7513356205044497)</f>
        <v>3.751335621</v>
      </c>
      <c r="BI15" s="993" t="s">
        <v>165</v>
      </c>
      <c r="BJ15" s="974">
        <f>IFERROR(__xludf.DUMMYFUNCTION("iferror(IF(
  IFNA(
    FILTER(
      IMPORTRANGE($F$8,""'Sensitivity [""&amp;IF(BH$3="""",BH$2,BH$2&amp;"", ""&amp;BH$3)&amp;""]'!E1:E20""),
      IMPORTRANGE($F$8,""'Sensitivity [""&amp;IF(BH$3="""",BH$2,BH$2&amp;"", ""&amp;BH$3)&amp;""]'!A1:A20"")=$E15
    ),
    """"
  ) = """",
  "&amp;"""-"",
  BH$5 * ( 1 +
    IFNA(
      FILTER(
        IMPORTRANGE($F$8,""'Sensitivity [""&amp;IF(BH$3="""",BH$2,BH$2&amp;"", ""&amp;BH$3)&amp;""]'!E1:E20""),
        IMPORTRANGE($F$8,""'Sensitivity [""&amp;IF(BH$3="""",BH$2,BH$2&amp;"", ""&amp;BH$3)&amp;""]'!A1:A20"")=$E15
      ),
    "&amp;"  """"
    )
  )
), ""-"")
"),4.6325218400860075)</f>
        <v>4.63252184</v>
      </c>
      <c r="BK15" s="972">
        <f>IFERROR(__xludf.DUMMYFUNCTION("Iferror(IF(
  IFNA(
    FILTER(
      IMPORTRANGE($F$8,""'Sensitivity [""&amp;IF(BK$3="""",BK$2,BK$2&amp;"", ""&amp;BK$3)&amp;""]'!D1:D20""),
      IMPORTRANGE($F$8,""'Sensitivity [""&amp;IF(BK$3="""",BK$2,BK$2&amp;"", ""&amp;BK$3)&amp;""]'!A1:A20"")=$E15
    ),
    """"
  ) = """",
  "&amp;"""-"",
  BK$5 * ( 1 +
    IFNA(
      FILTER(
        IMPORTRANGE($F$8,""'Sensitivity [""&amp;IF(BK$3="""",BK$2,BK$2&amp;"", ""&amp;BK$3)&amp;""]'!D1:D20""),
        IMPORTRANGE($F$8,""'Sensitivity [""&amp;IF(BK$3="""",BK$2,BK$2&amp;"", ""&amp;BK$3)&amp;""]'!A1:A20"")=$E15
      ),
    "&amp;"  """"
    )
  )
), ""-"")
"),11.652138928743573)</f>
        <v>11.65213893</v>
      </c>
      <c r="BL15" s="993" t="s">
        <v>165</v>
      </c>
      <c r="BM15" s="974">
        <f>IFERROR(__xludf.DUMMYFUNCTION("iferror(IF(
  IFNA(
    FILTER(
      IMPORTRANGE($F$8,""'Sensitivity [""&amp;IF(BK$3="""",BK$2,BK$2&amp;"", ""&amp;BK$3)&amp;""]'!E1:E20""),
      IMPORTRANGE($F$8,""'Sensitivity [""&amp;IF(BK$3="""",BK$2,BK$2&amp;"", ""&amp;BK$3)&amp;""]'!A1:A20"")=$E15
    ),
    """"
  ) = """",
  "&amp;"""-"",
  BK$5 * ( 1 +
    IFNA(
      FILTER(
        IMPORTRANGE($F$8,""'Sensitivity [""&amp;IF(BK$3="""",BK$2,BK$2&amp;"", ""&amp;BK$3)&amp;""]'!E1:E20""),
        IMPORTRANGE($F$8,""'Sensitivity [""&amp;IF(BK$3="""",BK$2,BK$2&amp;"", ""&amp;BK$3)&amp;""]'!A1:A20"")=$E15
      ),
    "&amp;"  """"
    )
  )
), ""-"")
"),13.953796001087929)</f>
        <v>13.953796</v>
      </c>
      <c r="BN15" s="972">
        <f>IFERROR(__xludf.DUMMYFUNCTION("Iferror(IF(
  IFNA(
    FILTER(
      IMPORTRANGE($F$8,""'Sensitivity [""&amp;IF(BN$3="""",BN$2,BN$2&amp;"", ""&amp;BN$3)&amp;""]'!D1:D20""),
      IMPORTRANGE($F$8,""'Sensitivity [""&amp;IF(BN$3="""",BN$2,BN$2&amp;"", ""&amp;BN$3)&amp;""]'!A1:A20"")=$E15
    ),
    """"
  ) = """",
  "&amp;"""-"",
  BN$5 * ( 1 +
    IFNA(
      FILTER(
        IMPORTRANGE($F$8,""'Sensitivity [""&amp;IF(BN$3="""",BN$2,BN$2&amp;"", ""&amp;BN$3)&amp;""]'!D1:D20""),
        IMPORTRANGE($F$8,""'Sensitivity [""&amp;IF(BN$3="""",BN$2,BN$2&amp;"", ""&amp;BN$3)&amp;""]'!A1:A20"")=$E15
      ),
    "&amp;"  """"
    )
  )
), ""-"")
"),4.700201825788524)</f>
        <v>4.700201826</v>
      </c>
      <c r="BO15" s="993" t="s">
        <v>165</v>
      </c>
      <c r="BP15" s="974">
        <f>IFERROR(__xludf.DUMMYFUNCTION("iferror(IF(
  IFNA(
    FILTER(
      IMPORTRANGE($F$8,""'Sensitivity [""&amp;IF(BN$3="""",BN$2,BN$2&amp;"", ""&amp;BN$3)&amp;""]'!E1:E20""),
      IMPORTRANGE($F$8,""'Sensitivity [""&amp;IF(BN$3="""",BN$2,BN$2&amp;"", ""&amp;BN$3)&amp;""]'!A1:A20"")=$E15
    ),
    """"
  ) = """",
  "&amp;"""-"",
  BN$5 * ( 1 +
    IFNA(
      FILTER(
        IMPORTRANGE($F$8,""'Sensitivity [""&amp;IF(BN$3="""",BN$2,BN$2&amp;"", ""&amp;BN$3)&amp;""]'!E1:E20""),
        IMPORTRANGE($F$8,""'Sensitivity [""&amp;IF(BN$3="""",BN$2,BN$2&amp;"", ""&amp;BN$3)&amp;""]'!A1:A20"")=$E15
      ),
    "&amp;"  """"
    )
  )
), ""-"")
"),5.599623162822119)</f>
        <v>5.599623163</v>
      </c>
      <c r="BQ15" s="972">
        <f>IFERROR(__xludf.DUMMYFUNCTION("Iferror(IF(
  IFNA(
    FILTER(
      IMPORTRANGE($F$8,""'Sensitivity [""&amp;IF(BQ$3="""",BQ$2,BQ$2&amp;"", ""&amp;BQ$3)&amp;""]'!D1:D20""),
      IMPORTRANGE($F$8,""'Sensitivity [""&amp;IF(BQ$3="""",BQ$2,BQ$2&amp;"", ""&amp;BQ$3)&amp;""]'!A1:A20"")=$E15
    ),
    """"
  ) = """",
  "&amp;"""-"",
  BQ$5 * ( 1 +
    IFNA(
      FILTER(
        IMPORTRANGE($F$8,""'Sensitivity [""&amp;IF(BQ$3="""",BQ$2,BQ$2&amp;"", ""&amp;BQ$3)&amp;""]'!D1:D20""),
        IMPORTRANGE($F$8,""'Sensitivity [""&amp;IF(BQ$3="""",BQ$2,BQ$2&amp;"", ""&amp;BQ$3)&amp;""]'!A1:A20"")=$E15
      ),
    "&amp;"  """"
    )
  )
), ""-"")
"),2.2815651333707536)</f>
        <v>2.281565133</v>
      </c>
      <c r="BR15" s="993" t="s">
        <v>165</v>
      </c>
      <c r="BS15" s="974">
        <f>IFERROR(__xludf.DUMMYFUNCTION("iferror(IF(
  IFNA(
    FILTER(
      IMPORTRANGE($F$8,""'Sensitivity [""&amp;IF(BQ$3="""",BQ$2,BQ$2&amp;"", ""&amp;BQ$3)&amp;""]'!E1:E20""),
      IMPORTRANGE($F$8,""'Sensitivity [""&amp;IF(BQ$3="""",BQ$2,BQ$2&amp;"", ""&amp;BQ$3)&amp;""]'!A1:A20"")=$E15
    ),
    """"
  ) = """",
  "&amp;"""-"",
  BQ$5 * ( 1 +
    IFNA(
      FILTER(
        IMPORTRANGE($F$8,""'Sensitivity [""&amp;IF(BQ$3="""",BQ$2,BQ$2&amp;"", ""&amp;BQ$3)&amp;""]'!E1:E20""),
        IMPORTRANGE($F$8,""'Sensitivity [""&amp;IF(BQ$3="""",BQ$2,BQ$2&amp;"", ""&amp;BQ$3)&amp;""]'!A1:A20"")=$E15
      ),
    "&amp;"  """"
    )
  )
), ""-"")
"),2.701485096567824)</f>
        <v>2.701485097</v>
      </c>
      <c r="BT15" s="972">
        <f>IFERROR(__xludf.DUMMYFUNCTION("Iferror(IF(
  IFNA(
    FILTER(
      IMPORTRANGE($F$8,""'Sensitivity [""&amp;IF(BT$3="""",BT$2,BT$2&amp;"", ""&amp;BT$3)&amp;""]'!D1:D20""),
      IMPORTRANGE($F$8,""'Sensitivity [""&amp;IF(BT$3="""",BT$2,BT$2&amp;"", ""&amp;BT$3)&amp;""]'!A1:A20"")=$E15
    ),
    """"
  ) = """",
  "&amp;"""-"",
  BT$5 * ( 1 +
    IFNA(
      FILTER(
        IMPORTRANGE($F$8,""'Sensitivity [""&amp;IF(BT$3="""",BT$2,BT$2&amp;"", ""&amp;BT$3)&amp;""]'!D1:D20""),
        IMPORTRANGE($F$8,""'Sensitivity [""&amp;IF(BT$3="""",BT$2,BT$2&amp;"", ""&amp;BT$3)&amp;""]'!A1:A20"")=$E15
      ),
    "&amp;"  """"
    )
  )
), ""-"")
"),7.430607742265935)</f>
        <v>7.430607742</v>
      </c>
      <c r="BU15" s="993" t="s">
        <v>165</v>
      </c>
      <c r="BV15" s="974">
        <f>IFERROR(__xludf.DUMMYFUNCTION("iferror(IF(
  IFNA(
    FILTER(
      IMPORTRANGE($F$8,""'Sensitivity [""&amp;IF(BT$3="""",BT$2,BT$2&amp;"", ""&amp;BT$3)&amp;""]'!E1:E20""),
      IMPORTRANGE($F$8,""'Sensitivity [""&amp;IF(BT$3="""",BT$2,BT$2&amp;"", ""&amp;BT$3)&amp;""]'!A1:A20"")=$E15
    ),
    """"
  ) = """",
  "&amp;"""-"",
  BT$5 * ( 1 +
    IFNA(
      FILTER(
        IMPORTRANGE($F$8,""'Sensitivity [""&amp;IF(BT$3="""",BT$2,BT$2&amp;"", ""&amp;BT$3)&amp;""]'!E1:E20""),
        IMPORTRANGE($F$8,""'Sensitivity [""&amp;IF(BT$3="""",BT$2,BT$2&amp;"", ""&amp;BT$3)&amp;""]'!A1:A20"")=$E15
      ),
    "&amp;"  """"
    )
  )
), ""-"")
"),8.907498722095225)</f>
        <v>8.907498722</v>
      </c>
      <c r="BW15" s="972">
        <f>IFERROR(__xludf.DUMMYFUNCTION("Iferror(IF(
  IFNA(
    FILTER(
      IMPORTRANGE($F$8,""'Sensitivity [""&amp;IF(BW$3="""",BW$2,BW$2&amp;"", ""&amp;BW$3)&amp;""]'!D1:D20""),
      IMPORTRANGE($F$8,""'Sensitivity [""&amp;IF(BW$3="""",BW$2,BW$2&amp;"", ""&amp;BW$3)&amp;""]'!A1:A20"")=$E15
    ),
    """"
  ) = """",
  "&amp;"""-"",
  BW$5 * ( 1 +
    IFNA(
      FILTER(
        IMPORTRANGE($F$8,""'Sensitivity [""&amp;IF(BW$3="""",BW$2,BW$2&amp;"", ""&amp;BW$3)&amp;""]'!D1:D20""),
        IMPORTRANGE($F$8,""'Sensitivity [""&amp;IF(BW$3="""",BW$2,BW$2&amp;"", ""&amp;BW$3)&amp;""]'!A1:A20"")=$E15
      ),
    "&amp;"  """"
    )
  )
), ""-"")
"),28.071119477443073)</f>
        <v>28.07111948</v>
      </c>
      <c r="BX15" s="993" t="s">
        <v>165</v>
      </c>
      <c r="BY15" s="974">
        <f>IFERROR(__xludf.DUMMYFUNCTION("iferror(IF(
  IFNA(
    FILTER(
      IMPORTRANGE($F$8,""'Sensitivity [""&amp;IF(BW$3="""",BW$2,BW$2&amp;"", ""&amp;BW$3)&amp;""]'!E1:E20""),
      IMPORTRANGE($F$8,""'Sensitivity [""&amp;IF(BW$3="""",BW$2,BW$2&amp;"", ""&amp;BW$3)&amp;""]'!A1:A20"")=$E15
    ),
    """"
  ) = """",
  "&amp;"""-"",
  BW$5 * ( 1 +
    IFNA(
      FILTER(
        IMPORTRANGE($F$8,""'Sensitivity [""&amp;IF(BW$3="""",BW$2,BW$2&amp;"", ""&amp;BW$3)&amp;""]'!E1:E20""),
        IMPORTRANGE($F$8,""'Sensitivity [""&amp;IF(BW$3="""",BW$2,BW$2&amp;"", ""&amp;BW$3)&amp;""]'!A1:A20"")=$E15
      ),
    "&amp;"  """"
    )
  )
), ""-"")
"),33.650472417058964)</f>
        <v>33.65047242</v>
      </c>
      <c r="BZ15" s="972">
        <f>IFERROR(__xludf.DUMMYFUNCTION("Iferror(IF(
  IFNA(
    FILTER(
      IMPORTRANGE($F$8,""'Sensitivity [""&amp;IF(BZ$3="""",BZ$2,BZ$2&amp;"", ""&amp;BZ$3)&amp;""]'!D1:D20""),
      IMPORTRANGE($F$8,""'Sensitivity [""&amp;IF(BZ$3="""",BZ$2,BZ$2&amp;"", ""&amp;BZ$3)&amp;""]'!A1:A20"")=$E15
    ),
    """"
  ) = """",
  "&amp;"""-"",
  BZ$5 * ( 1 +
    IFNA(
      FILTER(
        IMPORTRANGE($F$8,""'Sensitivity [""&amp;IF(BZ$3="""",BZ$2,BZ$2&amp;"", ""&amp;BZ$3)&amp;""]'!D1:D20""),
        IMPORTRANGE($F$8,""'Sensitivity [""&amp;IF(BZ$3="""",BZ$2,BZ$2&amp;"", ""&amp;BZ$3)&amp;""]'!A1:A20"")=$E15
      ),
    "&amp;"  """"
    )
  )
), ""-"")
"),5.432130524473792)</f>
        <v>5.432130524</v>
      </c>
      <c r="CA15" s="993" t="s">
        <v>165</v>
      </c>
      <c r="CB15" s="974">
        <f>IFERROR(__xludf.DUMMYFUNCTION("iferror(IF(
  IFNA(
    FILTER(
      IMPORTRANGE($F$8,""'Sensitivity [""&amp;IF(BZ$3="""",BZ$2,BZ$2&amp;"", ""&amp;BZ$3)&amp;""]'!E1:E20""),
      IMPORTRANGE($F$8,""'Sensitivity [""&amp;IF(BZ$3="""",BZ$2,BZ$2&amp;"", ""&amp;BZ$3)&amp;""]'!A1:A20"")=$E15
    ),
    """"
  ) = """",
  "&amp;"""-"",
  BZ$5 * ( 1 +
    IFNA(
      FILTER(
        IMPORTRANGE($F$8,""'Sensitivity [""&amp;IF(BZ$3="""",BZ$2,BZ$2&amp;"", ""&amp;BZ$3)&amp;""]'!E1:E20""),
        IMPORTRANGE($F$8,""'Sensitivity [""&amp;IF(BZ$3="""",BZ$2,BZ$2&amp;"", ""&amp;BZ$3)&amp;""]'!A1:A20"")=$E15
      ),
    "&amp;"  """"
    )
  )
), ""-"")
"),6.511808641139359)</f>
        <v>6.511808641</v>
      </c>
      <c r="CC15" s="972">
        <f>IFERROR(__xludf.DUMMYFUNCTION("Iferror(IF(
  IFNA(
    FILTER(
      IMPORTRANGE($F$8,""'Sensitivity [""&amp;IF(CC$3="""",CC$2,CC$2&amp;"", ""&amp;CC$3)&amp;""]'!D1:D20""),
      IMPORTRANGE($F$8,""'Sensitivity [""&amp;IF(CC$3="""",CC$2,CC$2&amp;"", ""&amp;CC$3)&amp;""]'!A1:A20"")=$E15
    ),
    """"
  ) = """",
  "&amp;"""-"",
  CC$5 * ( 1 +
    IFNA(
      FILTER(
        IMPORTRANGE($F$8,""'Sensitivity [""&amp;IF(CC$3="""",CC$2,CC$2&amp;"", ""&amp;CC$3)&amp;""]'!D1:D20""),
        IMPORTRANGE($F$8,""'Sensitivity [""&amp;IF(CC$3="""",CC$2,CC$2&amp;"", ""&amp;CC$3)&amp;""]'!A1:A20"")=$E15
      ),
    "&amp;"  """"
    )
  )
), ""-"")
"),19.547899799851095)</f>
        <v>19.5478998</v>
      </c>
      <c r="CD15" s="993" t="s">
        <v>165</v>
      </c>
      <c r="CE15" s="974">
        <f>IFERROR(__xludf.DUMMYFUNCTION("iferror(IF(
  IFNA(
    FILTER(
      IMPORTRANGE($F$8,""'Sensitivity [""&amp;IF(CC$3="""",CC$2,CC$2&amp;"", ""&amp;CC$3)&amp;""]'!E1:E20""),
      IMPORTRANGE($F$8,""'Sensitivity [""&amp;IF(CC$3="""",CC$2,CC$2&amp;"", ""&amp;CC$3)&amp;""]'!A1:A20"")=$E15
    ),
    """"
  ) = """",
  "&amp;"""-"",
  CC$5 * ( 1 +
    IFNA(
      FILTER(
        IMPORTRANGE($F$8,""'Sensitivity [""&amp;IF(CC$3="""",CC$2,CC$2&amp;"", ""&amp;CC$3)&amp;""]'!E1:E20""),
        IMPORTRANGE($F$8,""'Sensitivity [""&amp;IF(CC$3="""",CC$2,CC$2&amp;"", ""&amp;CC$3)&amp;""]'!A1:A20"")=$E15
      ),
    "&amp;"  """"
    )
  )
), ""-"")
"),23.409213340562445)</f>
        <v>23.40921334</v>
      </c>
      <c r="CF15" s="972">
        <f>IFERROR(__xludf.DUMMYFUNCTION("Iferror(IF(
  IFNA(
    FILTER(
      IMPORTRANGE($F$8,""'Sensitivity [""&amp;IF(CF$3="""",CF$2,CF$2&amp;"", ""&amp;CF$3)&amp;""]'!D1:D20""),
      IMPORTRANGE($F$8,""'Sensitivity [""&amp;IF(CF$3="""",CF$2,CF$2&amp;"", ""&amp;CF$3)&amp;""]'!A1:A20"")=$E15
    ),
    """"
  ) = """",
  "&amp;"""-"",
  CF$5 * ( 1 +
    IFNA(
      FILTER(
        IMPORTRANGE($F$8,""'Sensitivity [""&amp;IF(CF$3="""",CF$2,CF$2&amp;"", ""&amp;CF$3)&amp;""]'!D1:D20""),
        IMPORTRANGE($F$8,""'Sensitivity [""&amp;IF(CF$3="""",CF$2,CF$2&amp;"", ""&amp;CF$3)&amp;""]'!A1:A20"")=$E15
      ),
    "&amp;"  """"
    )
  )
), ""-"")
"),14.579288562483642)</f>
        <v>14.57928856</v>
      </c>
      <c r="CG15" s="993" t="s">
        <v>165</v>
      </c>
      <c r="CH15" s="974">
        <f>IFERROR(__xludf.DUMMYFUNCTION("iferror(IF(
  IFNA(
    FILTER(
      IMPORTRANGE($F$8,""'Sensitivity [""&amp;IF(CF$3="""",CF$2,CF$2&amp;"", ""&amp;CF$3)&amp;""]'!E1:E20""),
      IMPORTRANGE($F$8,""'Sensitivity [""&amp;IF(CF$3="""",CF$2,CF$2&amp;"", ""&amp;CF$3)&amp;""]'!A1:A20"")=$E15
    ),
    """"
  ) = """",
  "&amp;"""-"",
  CF$5 * ( 1 +
    IFNA(
      FILTER(
        IMPORTRANGE($F$8,""'Sensitivity [""&amp;IF(CF$3="""",CF$2,CF$2&amp;"", ""&amp;CF$3)&amp;""]'!E1:E20""),
        IMPORTRANGE($F$8,""'Sensitivity [""&amp;IF(CF$3="""",CF$2,CF$2&amp;"", ""&amp;CF$3)&amp;""]'!A1:A20"")=$E15
      ),
    "&amp;"  """"
    )
  )
), ""-"")
"),17.3520366939989)</f>
        <v>17.35203669</v>
      </c>
      <c r="CI15" s="972">
        <f>IFERROR(__xludf.DUMMYFUNCTION("Iferror(IF(
  IFNA(
    FILTER(
      IMPORTRANGE($F$8,""'Sensitivity [""&amp;IF(CI$3="""",CI$2,CI$2&amp;"", ""&amp;CI$3)&amp;""]'!D1:D20""),
      IMPORTRANGE($F$8,""'Sensitivity [""&amp;IF(CI$3="""",CI$2,CI$2&amp;"", ""&amp;CI$3)&amp;""]'!A1:A20"")=$E15
    ),
    """"
  ) = """",
  "&amp;"""-"",
  CI$5 * ( 1 +
    IFNA(
      FILTER(
        IMPORTRANGE($F$8,""'Sensitivity [""&amp;IF(CI$3="""",CI$2,CI$2&amp;"", ""&amp;CI$3)&amp;""]'!D1:D20""),
        IMPORTRANGE($F$8,""'Sensitivity [""&amp;IF(CI$3="""",CI$2,CI$2&amp;"", ""&amp;CI$3)&amp;""]'!A1:A20"")=$E15
      ),
    "&amp;"  """"
    )
  )
), ""-"")
"),5.63730620714431)</f>
        <v>5.637306207</v>
      </c>
      <c r="CJ15" s="993" t="s">
        <v>165</v>
      </c>
      <c r="CK15" s="974">
        <f>IFERROR(__xludf.DUMMYFUNCTION("iferror(IF(
  IFNA(
    FILTER(
      IMPORTRANGE($F$8,""'Sensitivity [""&amp;IF(CI$3="""",CI$2,CI$2&amp;"", ""&amp;CI$3)&amp;""]'!E1:E20""),
      IMPORTRANGE($F$8,""'Sensitivity [""&amp;IF(CI$3="""",CI$2,CI$2&amp;"", ""&amp;CI$3)&amp;""]'!A1:A20"")=$E15
    ),
    """"
  ) = """",
  "&amp;"""-"",
  CI$5 * ( 1 +
    IFNA(
      FILTER(
        IMPORTRANGE($F$8,""'Sensitivity [""&amp;IF(CI$3="""",CI$2,CI$2&amp;"", ""&amp;CI$3)&amp;""]'!E1:E20""),
        IMPORTRANGE($F$8,""'Sensitivity [""&amp;IF(CI$3="""",CI$2,CI$2&amp;"", ""&amp;CI$3)&amp;""]'!A1:A20"")=$E15
      ),
    "&amp;"  """"
    )
  )
), ""-"")
"),6.9615056517755)</f>
        <v>6.961505652</v>
      </c>
      <c r="CL15" s="198"/>
    </row>
    <row r="16">
      <c r="A16" s="889"/>
      <c r="B16" s="890"/>
      <c r="C16" s="890"/>
      <c r="D16" s="890"/>
      <c r="E16" s="992" t="str">
        <f t="shared" si="1"/>
        <v>Adjustment for grantee-level factors</v>
      </c>
      <c r="F16" s="972">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"),17.352867573081717)</f>
        <v>17.35286757</v>
      </c>
      <c r="G16" s="993" t="s">
        <v>165</v>
      </c>
      <c r="H16" s="974">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"),26.029301359622544)</f>
        <v>26.02930136</v>
      </c>
      <c r="I16" s="972">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"),12.273609377738985)</f>
        <v>12.27360938</v>
      </c>
      <c r="J16" s="993" t="s">
        <v>165</v>
      </c>
      <c r="K16" s="974">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"),18.410414066608492)</f>
        <v>18.41041407</v>
      </c>
      <c r="L16" s="972">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"),6.588819699807517)</f>
        <v>6.5888197</v>
      </c>
      <c r="M16" s="993" t="s">
        <v>165</v>
      </c>
      <c r="N16" s="974">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"),9.88322954971126)</f>
        <v>9.88322955</v>
      </c>
      <c r="O16" s="972">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"),13.058106968628156)</f>
        <v>13.05810697</v>
      </c>
      <c r="P16" s="993" t="s">
        <v>165</v>
      </c>
      <c r="Q16" s="974">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"),19.587160452942292)</f>
        <v>19.58716045</v>
      </c>
      <c r="R16" s="972">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"),8.434513742772051)</f>
        <v>8.434513743</v>
      </c>
      <c r="S16" s="993" t="s">
        <v>165</v>
      </c>
      <c r="T16" s="974">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"),12.65177061415808)</f>
        <v>12.65177061</v>
      </c>
      <c r="U16" s="972">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"),3.7107338522801143)</f>
        <v>3.710733852</v>
      </c>
      <c r="V16" s="993" t="s">
        <v>165</v>
      </c>
      <c r="W16" s="974">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"),5.566100778420162)</f>
        <v>5.566100778</v>
      </c>
      <c r="X16" s="972">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"),12.288260879426119)</f>
        <v>12.28826088</v>
      </c>
      <c r="Y16" s="993" t="s">
        <v>165</v>
      </c>
      <c r="Z16" s="974">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"),18.432391319139132)</f>
        <v>18.43239132</v>
      </c>
      <c r="AA16" s="972">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"),25.222303478683845)</f>
        <v>25.22230348</v>
      </c>
      <c r="AB16" s="993" t="s">
        <v>165</v>
      </c>
      <c r="AC16" s="974">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"),37.83345521802582)</f>
        <v>37.83345522</v>
      </c>
      <c r="AD16" s="972">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"),45.55274419705795)</f>
        <v>45.5527442</v>
      </c>
      <c r="AE16" s="993" t="s">
        <v>165</v>
      </c>
      <c r="AF16" s="974">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"),68.32911629558704)</f>
        <v>68.3291163</v>
      </c>
      <c r="AG16" s="972">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"),16.54457509311918)</f>
        <v>16.54457509</v>
      </c>
      <c r="AH16" s="993" t="s">
        <v>165</v>
      </c>
      <c r="AI16" s="974">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"),24.816862639678885)</f>
        <v>24.81686264</v>
      </c>
      <c r="AJ16" s="972">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"),3.3827934276407965)</f>
        <v>3.382793428</v>
      </c>
      <c r="AK16" s="993" t="s">
        <v>165</v>
      </c>
      <c r="AL16" s="974">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"),5.074190141461211)</f>
        <v>5.074190141</v>
      </c>
      <c r="AM16" s="972">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"),1.779436616751356)</f>
        <v>1.779436617</v>
      </c>
      <c r="AN16" s="993" t="s">
        <v>165</v>
      </c>
      <c r="AO16" s="974">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"),2.6691549251270317)</f>
        <v>2.669154925</v>
      </c>
      <c r="AP16" s="972">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"),7.345393476323785)</f>
        <v>7.345393476</v>
      </c>
      <c r="AQ16" s="993" t="s">
        <v>165</v>
      </c>
      <c r="AR16" s="974">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"),11.01809021448567)</f>
        <v>11.01809021</v>
      </c>
      <c r="AS16" s="972">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"),3.9989442885136097)</f>
        <v>3.998944289</v>
      </c>
      <c r="AT16" s="993" t="s">
        <v>165</v>
      </c>
      <c r="AU16" s="974">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"),5.998416432770392)</f>
        <v>5.998416433</v>
      </c>
      <c r="AV16" s="972">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"),10.416523953645743)</f>
        <v>10.41652395</v>
      </c>
      <c r="AW16" s="993" t="s">
        <v>165</v>
      </c>
      <c r="AX16" s="974">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"),15.624785930468677)</f>
        <v>15.62478593</v>
      </c>
      <c r="AY16" s="972">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"),2.9278635716169745)</f>
        <v>2.927863572</v>
      </c>
      <c r="AZ16" s="993" t="s">
        <v>165</v>
      </c>
      <c r="BA16" s="974">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"),4.391795357425471)</f>
        <v>4.391795357</v>
      </c>
      <c r="BB16" s="972">
        <f>IFERROR(__xludf.DUMMYFUNCTION("Iferror(IF(
  IFNA(
    FILTER(
      IMPORTRANGE($F$8,""'Sensitivity [""&amp;IF(BB$3="""",BB$2,BB$2&amp;"", ""&amp;BB$3)&amp;""]'!D1:D20""),
      IMPORTRANGE($F$8,""'Sensitivity [""&amp;IF(BB$3="""",BB$2,BB$2&amp;"", ""&amp;BB$3)&amp;""]'!A1:A20"")=$E16
    ),
    """"
  ) = """",
  "&amp;"""-"",
  BB$5 * ( 1 +
    IFNA(
      FILTER(
        IMPORTRANGE($F$8,""'Sensitivity [""&amp;IF(BB$3="""",BB$2,BB$2&amp;"", ""&amp;BB$3)&amp;""]'!D1:D20""),
        IMPORTRANGE($F$8,""'Sensitivity [""&amp;IF(BB$3="""",BB$2,BB$2&amp;"", ""&amp;BB$3)&amp;""]'!A1:A20"")=$E16
      ),
    "&amp;"  """"
    )
  )
), ""-"")
"),4.534996058725601)</f>
        <v>4.534996059</v>
      </c>
      <c r="BC16" s="993" t="s">
        <v>165</v>
      </c>
      <c r="BD16" s="974">
        <f>IFERROR(__xludf.DUMMYFUNCTION("iferror(IF(
  IFNA(
    FILTER(
      IMPORTRANGE($F$8,""'Sensitivity [""&amp;IF(BB$3="""",BB$2,BB$2&amp;"", ""&amp;BB$3)&amp;""]'!E1:E20""),
      IMPORTRANGE($F$8,""'Sensitivity [""&amp;IF(BB$3="""",BB$2,BB$2&amp;"", ""&amp;BB$3)&amp;""]'!A1:A20"")=$E16
    ),
    """"
  ) = """",
  "&amp;"""-"",
  BB$5 * ( 1 +
    IFNA(
      FILTER(
        IMPORTRANGE($F$8,""'Sensitivity [""&amp;IF(BB$3="""",BB$2,BB$2&amp;"", ""&amp;BB$3)&amp;""]'!E1:E20""),
        IMPORTRANGE($F$8,""'Sensitivity [""&amp;IF(BB$3="""",BB$2,BB$2&amp;"", ""&amp;BB$3)&amp;""]'!A1:A20"")=$E16
      ),
    "&amp;"  """"
    )
  )
), ""-"")
"),6.802494088088373)</f>
        <v>6.802494088</v>
      </c>
      <c r="BE16" s="972">
        <f>IFERROR(__xludf.DUMMYFUNCTION("Iferror(IF(
  IFNA(
    FILTER(
      IMPORTRANGE($F$8,""'Sensitivity [""&amp;IF(BE$3="""",BE$2,BE$2&amp;"", ""&amp;BE$3)&amp;""]'!D1:D20""),
      IMPORTRANGE($F$8,""'Sensitivity [""&amp;IF(BE$3="""",BE$2,BE$2&amp;"", ""&amp;BE$3)&amp;""]'!A1:A20"")=$E16
    ),
    """"
  ) = """",
  "&amp;"""-"",
  BE$5 * ( 1 +
    IFNA(
      FILTER(
        IMPORTRANGE($F$8,""'Sensitivity [""&amp;IF(BE$3="""",BE$2,BE$2&amp;"", ""&amp;BE$3)&amp;""]'!D1:D20""),
        IMPORTRANGE($F$8,""'Sensitivity [""&amp;IF(BE$3="""",BE$2,BE$2&amp;"", ""&amp;BE$3)&amp;""]'!A1:A20"")=$E16
      ),
    "&amp;"  """"
    )
  )
), ""-"")
"),2.40745275972843)</f>
        <v>2.40745276</v>
      </c>
      <c r="BF16" s="993" t="s">
        <v>165</v>
      </c>
      <c r="BG16" s="974">
        <f>IFERROR(__xludf.DUMMYFUNCTION("iferror(IF(
  IFNA(
    FILTER(
      IMPORTRANGE($F$8,""'Sensitivity [""&amp;IF(BE$3="""",BE$2,BE$2&amp;"", ""&amp;BE$3)&amp;""]'!E1:E20""),
      IMPORTRANGE($F$8,""'Sensitivity [""&amp;IF(BE$3="""",BE$2,BE$2&amp;"", ""&amp;BE$3)&amp;""]'!A1:A20"")=$E16
    ),
    """"
  ) = """",
  "&amp;"""-"",
  BE$5 * ( 1 +
    IFNA(
      FILTER(
        IMPORTRANGE($F$8,""'Sensitivity [""&amp;IF(BE$3="""",BE$2,BE$2&amp;"", ""&amp;BE$3)&amp;""]'!E1:E20""),
        IMPORTRANGE($F$8,""'Sensitivity [""&amp;IF(BE$3="""",BE$2,BE$2&amp;"", ""&amp;BE$3)&amp;""]'!A1:A20"")=$E16
      ),
    "&amp;"  """"
    )
  )
), ""-"")
"),3.6111791395926303)</f>
        <v>3.61117914</v>
      </c>
      <c r="BH16" s="972">
        <f>IFERROR(__xludf.DUMMYFUNCTION("Iferror(IF(
  IFNA(
    FILTER(
      IMPORTRANGE($F$8,""'Sensitivity [""&amp;IF(BH$3="""",BH$2,BH$2&amp;"", ""&amp;BH$3)&amp;""]'!D1:D20""),
      IMPORTRANGE($F$8,""'Sensitivity [""&amp;IF(BH$3="""",BH$2,BH$2&amp;"", ""&amp;BH$3)&amp;""]'!A1:A20"")=$E16
    ),
    """"
  ) = """",
  "&amp;"""-"",
  BH$5 * ( 1 +
    IFNA(
      FILTER(
        IMPORTRANGE($F$8,""'Sensitivity [""&amp;IF(BH$3="""",BH$2,BH$2&amp;"", ""&amp;BH$3)&amp;""]'!D1:D20""),
        IMPORTRANGE($F$8,""'Sensitivity [""&amp;IF(BH$3="""",BH$2,BH$2&amp;"", ""&amp;BH$3)&amp;""]'!A1:A20"")=$E16
      ),
    "&amp;"  """"
    )
  )
), ""-"")
"),3.2191458051657444)</f>
        <v>3.219145805</v>
      </c>
      <c r="BI16" s="993" t="s">
        <v>165</v>
      </c>
      <c r="BJ16" s="974">
        <f>IFERROR(__xludf.DUMMYFUNCTION("iferror(IF(
  IFNA(
    FILTER(
      IMPORTRANGE($F$8,""'Sensitivity [""&amp;IF(BH$3="""",BH$2,BH$2&amp;"", ""&amp;BH$3)&amp;""]'!E1:E20""),
      IMPORTRANGE($F$8,""'Sensitivity [""&amp;IF(BH$3="""",BH$2,BH$2&amp;"", ""&amp;BH$3)&amp;""]'!A1:A20"")=$E16
    ),
    """"
  ) = """",
  "&amp;"""-"",
  BH$5 * ( 1 +
    IFNA(
      FILTER(
        IMPORTRANGE($F$8,""'Sensitivity [""&amp;IF(BH$3="""",BH$2,BH$2&amp;"", ""&amp;BH$3)&amp;""]'!E1:E20""),
        IMPORTRANGE($F$8,""'Sensitivity [""&amp;IF(BH$3="""",BH$2,BH$2&amp;"", ""&amp;BH$3)&amp;""]'!A1:A20"")=$E16
      ),
    "&amp;"  """"
    )
  )
), ""-"")
"),4.828718707748627)</f>
        <v>4.828718708</v>
      </c>
      <c r="BK16" s="972">
        <f>IFERROR(__xludf.DUMMYFUNCTION("Iferror(IF(
  IFNA(
    FILTER(
      IMPORTRANGE($F$8,""'Sensitivity [""&amp;IF(BK$3="""",BK$2,BK$2&amp;"", ""&amp;BK$3)&amp;""]'!D1:D20""),
      IMPORTRANGE($F$8,""'Sensitivity [""&amp;IF(BK$3="""",BK$2,BK$2&amp;"", ""&amp;BK$3)&amp;""]'!A1:A20"")=$E16
    ),
    """"
  ) = """",
  "&amp;"""-"",
  BK$5 * ( 1 +
    IFNA(
      FILTER(
        IMPORTRANGE($F$8,""'Sensitivity [""&amp;IF(BK$3="""",BK$2,BK$2&amp;"", ""&amp;BK$3)&amp;""]'!D1:D20""),
        IMPORTRANGE($F$8,""'Sensitivity [""&amp;IF(BK$3="""",BK$2,BK$2&amp;"", ""&amp;BK$3)&amp;""]'!A1:A20"")=$E16
      ),
    "&amp;"  """"
    )
  )
), ""-"")
"),9.195942938593479)</f>
        <v>9.195942939</v>
      </c>
      <c r="BL16" s="993" t="s">
        <v>165</v>
      </c>
      <c r="BM16" s="974">
        <f>IFERROR(__xludf.DUMMYFUNCTION("iferror(IF(
  IFNA(
    FILTER(
      IMPORTRANGE($F$8,""'Sensitivity [""&amp;IF(BK$3="""",BK$2,BK$2&amp;"", ""&amp;BK$3)&amp;""]'!E1:E20""),
      IMPORTRANGE($F$8,""'Sensitivity [""&amp;IF(BK$3="""",BK$2,BK$2&amp;"", ""&amp;BK$3)&amp;""]'!A1:A20"")=$E16
    ),
    """"
  ) = """",
  "&amp;"""-"",
  BK$5 * ( 1 +
    IFNA(
      FILTER(
        IMPORTRANGE($F$8,""'Sensitivity [""&amp;IF(BK$3="""",BK$2,BK$2&amp;"", ""&amp;BK$3)&amp;""]'!E1:E20""),
        IMPORTRANGE($F$8,""'Sensitivity [""&amp;IF(BK$3="""",BK$2,BK$2&amp;"", ""&amp;BK$3)&amp;""]'!A1:A20"")=$E16
      ),
    "&amp;"  """"
    )
  )
), ""-"")
"),13.793914407890144)</f>
        <v>13.79391441</v>
      </c>
      <c r="BN16" s="972">
        <f>IFERROR(__xludf.DUMMYFUNCTION("Iferror(IF(
  IFNA(
    FILTER(
      IMPORTRANGE($F$8,""'Sensitivity [""&amp;IF(BN$3="""",BN$2,BN$2&amp;"", ""&amp;BN$3)&amp;""]'!D1:D20""),
      IMPORTRANGE($F$8,""'Sensitivity [""&amp;IF(BN$3="""",BN$2,BN$2&amp;"", ""&amp;BN$3)&amp;""]'!A1:A20"")=$E16
    ),
    """"
  ) = """",
  "&amp;"""-"",
  BN$5 * ( 1 +
    IFNA(
      FILTER(
        IMPORTRANGE($F$8,""'Sensitivity [""&amp;IF(BN$3="""",BN$2,BN$2&amp;"", ""&amp;BN$3)&amp;""]'!D1:D20""),
        IMPORTRANGE($F$8,""'Sensitivity [""&amp;IF(BN$3="""",BN$2,BN$2&amp;"", ""&amp;BN$3)&amp;""]'!A1:A20"")=$E16
      ),
    "&amp;"  """"
    )
  )
), ""-"")
"),3.7118189888300552)</f>
        <v>3.711818989</v>
      </c>
      <c r="BO16" s="993" t="s">
        <v>165</v>
      </c>
      <c r="BP16" s="974">
        <f>IFERROR(__xludf.DUMMYFUNCTION("iferror(IF(
  IFNA(
    FILTER(
      IMPORTRANGE($F$8,""'Sensitivity [""&amp;IF(BN$3="""",BN$2,BN$2&amp;"", ""&amp;BN$3)&amp;""]'!E1:E20""),
      IMPORTRANGE($F$8,""'Sensitivity [""&amp;IF(BN$3="""",BN$2,BN$2&amp;"", ""&amp;BN$3)&amp;""]'!A1:A20"")=$E16
    ),
    """"
  ) = """",
  "&amp;"""-"",
  BN$5 * ( 1 +
    IFNA(
      FILTER(
        IMPORTRANGE($F$8,""'Sensitivity [""&amp;IF(BN$3="""",BN$2,BN$2&amp;"", ""&amp;BN$3)&amp;""]'!E1:E20""),
        IMPORTRANGE($F$8,""'Sensitivity [""&amp;IF(BN$3="""",BN$2,BN$2&amp;"", ""&amp;BN$3)&amp;""]'!A1:A20"")=$E16
      ),
    "&amp;"  """"
    )
  )
), ""-"")
"),5.567728483245094)</f>
        <v>5.567728483</v>
      </c>
      <c r="BQ16" s="972">
        <f>IFERROR(__xludf.DUMMYFUNCTION("Iferror(IF(
  IFNA(
    FILTER(
      IMPORTRANGE($F$8,""'Sensitivity [""&amp;IF(BQ$3="""",BQ$2,BQ$2&amp;"", ""&amp;BQ$3)&amp;""]'!D1:D20""),
      IMPORTRANGE($F$8,""'Sensitivity [""&amp;IF(BQ$3="""",BQ$2,BQ$2&amp;"", ""&amp;BQ$3)&amp;""]'!A1:A20"")=$E16
    ),
    """"
  ) = """",
  "&amp;"""-"",
  BQ$5 * ( 1 +
    IFNA(
      FILTER(
        IMPORTRANGE($F$8,""'Sensitivity [""&amp;IF(BQ$3="""",BQ$2,BQ$2&amp;"", ""&amp;BQ$3)&amp;""]'!D1:D20""),
        IMPORTRANGE($F$8,""'Sensitivity [""&amp;IF(BQ$3="""",BQ$2,BQ$2&amp;"", ""&amp;BQ$3)&amp;""]'!A1:A20"")=$E16
      ),
    "&amp;"  """"
    )
  )
), ""-"")
"),1.7935210648557052)</f>
        <v>1.793521065</v>
      </c>
      <c r="BR16" s="993" t="s">
        <v>165</v>
      </c>
      <c r="BS16" s="974">
        <f>IFERROR(__xludf.DUMMYFUNCTION("iferror(IF(
  IFNA(
    FILTER(
      IMPORTRANGE($F$8,""'Sensitivity [""&amp;IF(BQ$3="""",BQ$2,BQ$2&amp;"", ""&amp;BQ$3)&amp;""]'!E1:E20""),
      IMPORTRANGE($F$8,""'Sensitivity [""&amp;IF(BQ$3="""",BQ$2,BQ$2&amp;"", ""&amp;BQ$3)&amp;""]'!A1:A20"")=$E16
    ),
    """"
  ) = """",
  "&amp;"""-"",
  BQ$5 * ( 1 +
    IFNA(
      FILTER(
        IMPORTRANGE($F$8,""'Sensitivity [""&amp;IF(BQ$3="""",BQ$2,BQ$2&amp;"", ""&amp;BQ$3)&amp;""]'!E1:E20""),
        IMPORTRANGE($F$8,""'Sensitivity [""&amp;IF(BQ$3="""",BQ$2,BQ$2&amp;"", ""&amp;BQ$3)&amp;""]'!A1:A20"")=$E16
      ),
    "&amp;"  """"
    )
  )
), ""-"")
"),2.690281597283551)</f>
        <v>2.690281597</v>
      </c>
      <c r="BT16" s="972">
        <f>IFERROR(__xludf.DUMMYFUNCTION("Iferror(IF(
  IFNA(
    FILTER(
      IMPORTRANGE($F$8,""'Sensitivity [""&amp;IF(BT$3="""",BT$2,BT$2&amp;"", ""&amp;BT$3)&amp;""]'!D1:D20""),
      IMPORTRANGE($F$8,""'Sensitivity [""&amp;IF(BT$3="""",BT$2,BT$2&amp;"", ""&amp;BT$3)&amp;""]'!A1:A20"")=$E16
    ),
    """"
  ) = """",
  "&amp;"""-"",
  BT$5 * ( 1 +
    IFNA(
      FILTER(
        IMPORTRANGE($F$8,""'Sensitivity [""&amp;IF(BT$3="""",BT$2,BT$2&amp;"", ""&amp;BT$3)&amp;""]'!D1:D20""),
        IMPORTRANGE($F$8,""'Sensitivity [""&amp;IF(BT$3="""",BT$2,BT$2&amp;"", ""&amp;BT$3)&amp;""]'!A1:A20"")=$E16
      ),
    "&amp;"  """"
    )
  )
), ""-"")
"),5.91411555033512)</f>
        <v>5.91411555</v>
      </c>
      <c r="BU16" s="993" t="s">
        <v>165</v>
      </c>
      <c r="BV16" s="974">
        <f>IFERROR(__xludf.DUMMYFUNCTION("iferror(IF(
  IFNA(
    FILTER(
      IMPORTRANGE($F$8,""'Sensitivity [""&amp;IF(BT$3="""",BT$2,BT$2&amp;"", ""&amp;BT$3)&amp;""]'!E1:E20""),
      IMPORTRANGE($F$8,""'Sensitivity [""&amp;IF(BT$3="""",BT$2,BT$2&amp;"", ""&amp;BT$3)&amp;""]'!A1:A20"")=$E16
    ),
    """"
  ) = """",
  "&amp;"""-"",
  BT$5 * ( 1 +
    IFNA(
      FILTER(
        IMPORTRANGE($F$8,""'Sensitivity [""&amp;IF(BT$3="""",BT$2,BT$2&amp;"", ""&amp;BT$3)&amp;""]'!E1:E20""),
        IMPORTRANGE($F$8,""'Sensitivity [""&amp;IF(BT$3="""",BT$2,BT$2&amp;"", ""&amp;BT$3)&amp;""]'!A1:A20"")=$E16
      ),
    "&amp;"  """"
    )
  )
), ""-"")
"),8.871173325502653)</f>
        <v>8.871173326</v>
      </c>
      <c r="BW16" s="972">
        <f>IFERROR(__xludf.DUMMYFUNCTION("Iferror(IF(
  IFNA(
    FILTER(
      IMPORTRANGE($F$8,""'Sensitivity [""&amp;IF(BW$3="""",BW$2,BW$2&amp;"", ""&amp;BW$3)&amp;""]'!D1:D20""),
      IMPORTRANGE($F$8,""'Sensitivity [""&amp;IF(BW$3="""",BW$2,BW$2&amp;"", ""&amp;BW$3)&amp;""]'!A1:A20"")=$E16
    ),
    """"
  ) = """",
  "&amp;"""-"",
  BW$5 * ( 1 +
    IFNA(
      FILTER(
        IMPORTRANGE($F$8,""'Sensitivity [""&amp;IF(BW$3="""",BW$2,BW$2&amp;"", ""&amp;BW$3)&amp;""]'!D1:D20""),
        IMPORTRANGE($F$8,""'Sensitivity [""&amp;IF(BW$3="""",BW$2,BW$2&amp;"", ""&amp;BW$3)&amp;""]'!A1:A20"")=$E16
      ),
    "&amp;"  """"
    )
  )
), ""-"")
"),22.265538441771287)</f>
        <v>22.26553844</v>
      </c>
      <c r="BX16" s="993" t="s">
        <v>165</v>
      </c>
      <c r="BY16" s="974">
        <f>IFERROR(__xludf.DUMMYFUNCTION("iferror(IF(
  IFNA(
    FILTER(
      IMPORTRANGE($F$8,""'Sensitivity [""&amp;IF(BW$3="""",BW$2,BW$2&amp;"", ""&amp;BW$3)&amp;""]'!E1:E20""),
      IMPORTRANGE($F$8,""'Sensitivity [""&amp;IF(BW$3="""",BW$2,BW$2&amp;"", ""&amp;BW$3)&amp;""]'!A1:A20"")=$E16
    ),
    """"
  ) = """",
  "&amp;"""-"",
  BW$5 * ( 1 +
    IFNA(
      FILTER(
        IMPORTRANGE($F$8,""'Sensitivity [""&amp;IF(BW$3="""",BW$2,BW$2&amp;"", ""&amp;BW$3)&amp;""]'!E1:E20""),
        IMPORTRANGE($F$8,""'Sensitivity [""&amp;IF(BW$3="""",BW$2,BW$2&amp;"", ""&amp;BW$3)&amp;""]'!A1:A20"")=$E16
      ),
    "&amp;"  """"
    )
  )
), ""-"")
"),33.398307662656855)</f>
        <v>33.39830766</v>
      </c>
      <c r="BZ16" s="972">
        <f>IFERROR(__xludf.DUMMYFUNCTION("Iferror(IF(
  IFNA(
    FILTER(
      IMPORTRANGE($F$8,""'Sensitivity [""&amp;IF(BZ$3="""",BZ$2,BZ$2&amp;"", ""&amp;BZ$3)&amp;""]'!D1:D20""),
      IMPORTRANGE($F$8,""'Sensitivity [""&amp;IF(BZ$3="""",BZ$2,BZ$2&amp;"", ""&amp;BZ$3)&amp;""]'!A1:A20"")=$E16
    ),
    """"
  ) = """",
  "&amp;"""-"",
  BZ$5 * ( 1 +
    IFNA(
      FILTER(
        IMPORTRANGE($F$8,""'Sensitivity [""&amp;IF(BZ$3="""",BZ$2,BZ$2&amp;"", ""&amp;BZ$3)&amp;""]'!D1:D20""),
        IMPORTRANGE($F$8,""'Sensitivity [""&amp;IF(BZ$3="""",BZ$2,BZ$2&amp;"", ""&amp;BZ$3)&amp;""]'!A1:A20"")=$E16
      ),
    "&amp;"  """"
    )
  )
), ""-"")
"),4.204220144756879)</f>
        <v>4.204220145</v>
      </c>
      <c r="CA16" s="993" t="s">
        <v>165</v>
      </c>
      <c r="CB16" s="974">
        <f>IFERROR(__xludf.DUMMYFUNCTION("iferror(IF(
  IFNA(
    FILTER(
      IMPORTRANGE($F$8,""'Sensitivity [""&amp;IF(BZ$3="""",BZ$2,BZ$2&amp;"", ""&amp;BZ$3)&amp;""]'!E1:E20""),
      IMPORTRANGE($F$8,""'Sensitivity [""&amp;IF(BZ$3="""",BZ$2,BZ$2&amp;"", ""&amp;BZ$3)&amp;""]'!A1:A20"")=$E16
    ),
    """"
  ) = """",
  "&amp;"""-"",
  BZ$5 * ( 1 +
    IFNA(
      FILTER(
        IMPORTRANGE($F$8,""'Sensitivity [""&amp;IF(BZ$3="""",BZ$2,BZ$2&amp;"", ""&amp;BZ$3)&amp;""]'!E1:E20""),
        IMPORTRANGE($F$8,""'Sensitivity [""&amp;IF(BZ$3="""",BZ$2,BZ$2&amp;"", ""&amp;BZ$3)&amp;""]'!A1:A20"")=$E16
      ),
    "&amp;"  """"
    )
  )
), ""-"")
"),6.564484085672983)</f>
        <v>6.564484086</v>
      </c>
      <c r="CC16" s="972">
        <f>IFERROR(__xludf.DUMMYFUNCTION("Iferror(IF(
  IFNA(
    FILTER(
      IMPORTRANGE($F$8,""'Sensitivity [""&amp;IF(CC$3="""",CC$2,CC$2&amp;"", ""&amp;CC$3)&amp;""]'!D1:D20""),
      IMPORTRANGE($F$8,""'Sensitivity [""&amp;IF(CC$3="""",CC$2,CC$2&amp;"", ""&amp;CC$3)&amp;""]'!A1:A20"")=$E16
    ),
    """"
  ) = """",
  "&amp;"""-"",
  CC$5 * ( 1 +
    IFNA(
      FILTER(
        IMPORTRANGE($F$8,""'Sensitivity [""&amp;IF(CC$3="""",CC$2,CC$2&amp;"", ""&amp;CC$3)&amp;""]'!D1:D20""),
        IMPORTRANGE($F$8,""'Sensitivity [""&amp;IF(CC$3="""",CC$2,CC$2&amp;"", ""&amp;CC$3)&amp;""]'!A1:A20"")=$E16
      ),
    "&amp;"  """"
    )
  )
), ""-"")
"),15.0916174637884)</f>
        <v>15.09161746</v>
      </c>
      <c r="CD16" s="993" t="s">
        <v>165</v>
      </c>
      <c r="CE16" s="974">
        <f>IFERROR(__xludf.DUMMYFUNCTION("iferror(IF(
  IFNA(
    FILTER(
      IMPORTRANGE($F$8,""'Sensitivity [""&amp;IF(CC$3="""",CC$2,CC$2&amp;"", ""&amp;CC$3)&amp;""]'!E1:E20""),
      IMPORTRANGE($F$8,""'Sensitivity [""&amp;IF(CC$3="""",CC$2,CC$2&amp;"", ""&amp;CC$3)&amp;""]'!A1:A20"")=$E16
    ),
    """"
  ) = """",
  "&amp;"""-"",
  CC$5 * ( 1 +
    IFNA(
      FILTER(
        IMPORTRANGE($F$8,""'Sensitivity [""&amp;IF(CC$3="""",CC$2,CC$2&amp;"", ""&amp;CC$3)&amp;""]'!E1:E20""),
        IMPORTRANGE($F$8,""'Sensitivity [""&amp;IF(CC$3="""",CC$2,CC$2&amp;"", ""&amp;CC$3)&amp;""]'!A1:A20"")=$E16
      ),
    "&amp;"  """"
    )
  )
), ""-"")
"),23.564104461002966)</f>
        <v>23.56410446</v>
      </c>
      <c r="CF16" s="972">
        <f>IFERROR(__xludf.DUMMYFUNCTION("Iferror(IF(
  IFNA(
    FILTER(
      IMPORTRANGE($F$8,""'Sensitivity [""&amp;IF(CF$3="""",CF$2,CF$2&amp;"", ""&amp;CF$3)&amp;""]'!D1:D20""),
      IMPORTRANGE($F$8,""'Sensitivity [""&amp;IF(CF$3="""",CF$2,CF$2&amp;"", ""&amp;CF$3)&amp;""]'!A1:A20"")=$E16
    ),
    """"
  ) = """",
  "&amp;"""-"",
  CF$5 * ( 1 +
    IFNA(
      FILTER(
        IMPORTRANGE($F$8,""'Sensitivity [""&amp;IF(CF$3="""",CF$2,CF$2&amp;"", ""&amp;CF$3)&amp;""]'!D1:D20""),
        IMPORTRANGE($F$8,""'Sensitivity [""&amp;IF(CF$3="""",CF$2,CF$2&amp;"", ""&amp;CF$3)&amp;""]'!A1:A20"")=$E16
      ),
    "&amp;"  """"
    )
  )
), ""-"")
"),11.198368776254608)</f>
        <v>11.19836878</v>
      </c>
      <c r="CG16" s="993" t="s">
        <v>165</v>
      </c>
      <c r="CH16" s="974">
        <f>IFERROR(__xludf.DUMMYFUNCTION("iferror(IF(
  IFNA(
    FILTER(
      IMPORTRANGE($F$8,""'Sensitivity [""&amp;IF(CF$3="""",CF$2,CF$2&amp;"", ""&amp;CF$3)&amp;""]'!E1:E20""),
      IMPORTRANGE($F$8,""'Sensitivity [""&amp;IF(CF$3="""",CF$2,CF$2&amp;"", ""&amp;CF$3)&amp;""]'!A1:A20"")=$E16
    ),
    """"
  ) = """",
  "&amp;"""-"",
  CF$5 * ( 1 +
    IFNA(
      FILTER(
        IMPORTRANGE($F$8,""'Sensitivity [""&amp;IF(CF$3="""",CF$2,CF$2&amp;"", ""&amp;CF$3)&amp;""]'!E1:E20""),
        IMPORTRANGE($F$8,""'Sensitivity [""&amp;IF(CF$3="""",CF$2,CF$2&amp;"", ""&amp;CF$3)&amp;""]'!A1:A20"")=$E16
      ),
    "&amp;"  """"
    )
  )
), ""-"")
"),17.485172299765928)</f>
        <v>17.4851723</v>
      </c>
      <c r="CI16" s="972">
        <f>IFERROR(__xludf.DUMMYFUNCTION("Iferror(IF(
  IFNA(
    FILTER(
      IMPORTRANGE($F$8,""'Sensitivity [""&amp;IF(CI$3="""",CI$2,CI$2&amp;"", ""&amp;CI$3)&amp;""]'!D1:D20""),
      IMPORTRANGE($F$8,""'Sensitivity [""&amp;IF(CI$3="""",CI$2,CI$2&amp;"", ""&amp;CI$3)&amp;""]'!A1:A20"")=$E16
    ),
    """"
  ) = """",
  "&amp;"""-"",
  CI$5 * ( 1 +
    IFNA(
      FILTER(
        IMPORTRANGE($F$8,""'Sensitivity [""&amp;IF(CI$3="""",CI$2,CI$2&amp;"", ""&amp;CI$3)&amp;""]'!D1:D20""),
        IMPORTRANGE($F$8,""'Sensitivity [""&amp;IF(CI$3="""",CI$2,CI$2&amp;"", ""&amp;CI$3)&amp;""]'!A1:A20"")=$E16
      ),
    "&amp;"  """"
    )
  )
), ""-"")
"),4.745776575307895)</f>
        <v>4.745776575</v>
      </c>
      <c r="CJ16" s="993" t="s">
        <v>165</v>
      </c>
      <c r="CK16" s="974">
        <f>IFERROR(__xludf.DUMMYFUNCTION("iferror(IF(
  IFNA(
    FILTER(
      IMPORTRANGE($F$8,""'Sensitivity [""&amp;IF(CI$3="""",CI$2,CI$2&amp;"", ""&amp;CI$3)&amp;""]'!E1:E20""),
      IMPORTRANGE($F$8,""'Sensitivity [""&amp;IF(CI$3="""",CI$2,CI$2&amp;"", ""&amp;CI$3)&amp;""]'!A1:A20"")=$E16
    ),
    """"
  ) = """",
  "&amp;"""-"",
  CI$5 * ( 1 +
    IFNA(
      FILTER(
        IMPORTRANGE($F$8,""'Sensitivity [""&amp;IF(CI$3="""",CI$2,CI$2&amp;"", ""&amp;CI$3)&amp;""]'!E1:E20""),
        IMPORTRANGE($F$8,""'Sensitivity [""&amp;IF(CI$3="""",CI$2,CI$2&amp;"", ""&amp;CI$3)&amp;""]'!A1:A20"")=$E16
      ),
    "&amp;"  """"
    )
  )
), ""-"")
"),7.410072196533381)</f>
        <v>7.410072197</v>
      </c>
      <c r="CL16" s="198"/>
    </row>
    <row r="17">
      <c r="A17" s="889"/>
      <c r="B17" s="890"/>
      <c r="C17" s="890"/>
      <c r="D17" s="890"/>
      <c r="E17" s="992" t="str">
        <f t="shared" si="1"/>
        <v>Adjustment for leverage</v>
      </c>
      <c r="F17" s="972" t="str">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f>
        <v>-</v>
      </c>
      <c r="G17" s="993" t="s">
        <v>165</v>
      </c>
      <c r="H17" s="974" t="str">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f>
        <v>-</v>
      </c>
      <c r="I17" s="972" t="str">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f>
        <v>-</v>
      </c>
      <c r="J17" s="993" t="s">
        <v>165</v>
      </c>
      <c r="K17" s="974" t="str">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f>
        <v>-</v>
      </c>
      <c r="L17" s="972" t="str">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f>
        <v>-</v>
      </c>
      <c r="M17" s="993" t="s">
        <v>165</v>
      </c>
      <c r="N17" s="974" t="str">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f>
        <v>-</v>
      </c>
      <c r="O17" s="972" t="str">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f>
        <v>-</v>
      </c>
      <c r="P17" s="993" t="s">
        <v>165</v>
      </c>
      <c r="Q17" s="974" t="str">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f>
        <v>-</v>
      </c>
      <c r="R17" s="972" t="str">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f>
        <v>-</v>
      </c>
      <c r="S17" s="993" t="s">
        <v>165</v>
      </c>
      <c r="T17" s="974" t="str">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f>
        <v>-</v>
      </c>
      <c r="U17" s="972" t="str">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f>
        <v>-</v>
      </c>
      <c r="V17" s="993" t="s">
        <v>165</v>
      </c>
      <c r="W17" s="974" t="str">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f>
        <v>-</v>
      </c>
      <c r="X17" s="972" t="str">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f>
        <v>-</v>
      </c>
      <c r="Y17" s="993" t="s">
        <v>165</v>
      </c>
      <c r="Z17" s="974" t="str">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f>
        <v>-</v>
      </c>
      <c r="AA17" s="972" t="str">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f>
        <v>-</v>
      </c>
      <c r="AB17" s="993" t="s">
        <v>165</v>
      </c>
      <c r="AC17" s="974" t="str">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f>
        <v>-</v>
      </c>
      <c r="AD17" s="972" t="str">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f>
        <v>-</v>
      </c>
      <c r="AE17" s="993" t="s">
        <v>165</v>
      </c>
      <c r="AF17" s="974" t="str">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f>
        <v>-</v>
      </c>
      <c r="AG17" s="972" t="str">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f>
        <v>-</v>
      </c>
      <c r="AH17" s="993" t="s">
        <v>165</v>
      </c>
      <c r="AI17" s="974" t="str">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f>
        <v>-</v>
      </c>
      <c r="AJ17" s="972" t="str">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f>
        <v>-</v>
      </c>
      <c r="AK17" s="993" t="s">
        <v>165</v>
      </c>
      <c r="AL17" s="974" t="str">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f>
        <v>-</v>
      </c>
      <c r="AM17" s="972" t="str">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f>
        <v>-</v>
      </c>
      <c r="AN17" s="993" t="s">
        <v>165</v>
      </c>
      <c r="AO17" s="974" t="str">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f>
        <v>-</v>
      </c>
      <c r="AP17" s="972" t="str">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f>
        <v>-</v>
      </c>
      <c r="AQ17" s="993" t="s">
        <v>165</v>
      </c>
      <c r="AR17" s="974" t="str">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f>
        <v>-</v>
      </c>
      <c r="AS17" s="972" t="str">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f>
        <v>-</v>
      </c>
      <c r="AT17" s="993" t="s">
        <v>165</v>
      </c>
      <c r="AU17" s="974" t="str">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f>
        <v>-</v>
      </c>
      <c r="AV17" s="972" t="str">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f>
        <v>-</v>
      </c>
      <c r="AW17" s="993" t="s">
        <v>165</v>
      </c>
      <c r="AX17" s="974" t="str">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f>
        <v>-</v>
      </c>
      <c r="AY17" s="972" t="str">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f>
        <v>-</v>
      </c>
      <c r="AZ17" s="993" t="s">
        <v>165</v>
      </c>
      <c r="BA17" s="974" t="str">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f>
        <v>-</v>
      </c>
      <c r="BB17" s="972" t="str">
        <f>IFERROR(__xludf.DUMMYFUNCTION("Iferror(IF(
  IFNA(
    FILTER(
      IMPORTRANGE($F$8,""'Sensitivity [""&amp;IF(BB$3="""",BB$2,BB$2&amp;"", ""&amp;BB$3)&amp;""]'!D1:D20""),
      IMPORTRANGE($F$8,""'Sensitivity [""&amp;IF(BB$3="""",BB$2,BB$2&amp;"", ""&amp;BB$3)&amp;""]'!A1:A20"")=$E17
    ),
    """"
  ) = """",
  "&amp;"""-"",
  BB$5 * ( 1 +
    IFNA(
      FILTER(
        IMPORTRANGE($F$8,""'Sensitivity [""&amp;IF(BB$3="""",BB$2,BB$2&amp;"", ""&amp;BB$3)&amp;""]'!D1:D20""),
        IMPORTRANGE($F$8,""'Sensitivity [""&amp;IF(BB$3="""",BB$2,BB$2&amp;"", ""&amp;BB$3)&amp;""]'!A1:A20"")=$E17
      ),
    "&amp;"  """"
    )
  )
), ""-"")
"),"-")</f>
        <v>-</v>
      </c>
      <c r="BC17" s="993" t="s">
        <v>165</v>
      </c>
      <c r="BD17" s="974" t="str">
        <f>IFERROR(__xludf.DUMMYFUNCTION("iferror(IF(
  IFNA(
    FILTER(
      IMPORTRANGE($F$8,""'Sensitivity [""&amp;IF(BB$3="""",BB$2,BB$2&amp;"", ""&amp;BB$3)&amp;""]'!E1:E20""),
      IMPORTRANGE($F$8,""'Sensitivity [""&amp;IF(BB$3="""",BB$2,BB$2&amp;"", ""&amp;BB$3)&amp;""]'!A1:A20"")=$E17
    ),
    """"
  ) = """",
  "&amp;"""-"",
  BB$5 * ( 1 +
    IFNA(
      FILTER(
        IMPORTRANGE($F$8,""'Sensitivity [""&amp;IF(BB$3="""",BB$2,BB$2&amp;"", ""&amp;BB$3)&amp;""]'!E1:E20""),
        IMPORTRANGE($F$8,""'Sensitivity [""&amp;IF(BB$3="""",BB$2,BB$2&amp;"", ""&amp;BB$3)&amp;""]'!A1:A20"")=$E17
      ),
    "&amp;"  """"
    )
  )
), ""-"")
"),"-")</f>
        <v>-</v>
      </c>
      <c r="BE17" s="972" t="str">
        <f>IFERROR(__xludf.DUMMYFUNCTION("Iferror(IF(
  IFNA(
    FILTER(
      IMPORTRANGE($F$8,""'Sensitivity [""&amp;IF(BE$3="""",BE$2,BE$2&amp;"", ""&amp;BE$3)&amp;""]'!D1:D20""),
      IMPORTRANGE($F$8,""'Sensitivity [""&amp;IF(BE$3="""",BE$2,BE$2&amp;"", ""&amp;BE$3)&amp;""]'!A1:A20"")=$E17
    ),
    """"
  ) = """",
  "&amp;"""-"",
  BE$5 * ( 1 +
    IFNA(
      FILTER(
        IMPORTRANGE($F$8,""'Sensitivity [""&amp;IF(BE$3="""",BE$2,BE$2&amp;"", ""&amp;BE$3)&amp;""]'!D1:D20""),
        IMPORTRANGE($F$8,""'Sensitivity [""&amp;IF(BE$3="""",BE$2,BE$2&amp;"", ""&amp;BE$3)&amp;""]'!A1:A20"")=$E17
      ),
    "&amp;"  """"
    )
  )
), ""-"")
"),"-")</f>
        <v>-</v>
      </c>
      <c r="BF17" s="993" t="s">
        <v>165</v>
      </c>
      <c r="BG17" s="974" t="str">
        <f>IFERROR(__xludf.DUMMYFUNCTION("iferror(IF(
  IFNA(
    FILTER(
      IMPORTRANGE($F$8,""'Sensitivity [""&amp;IF(BE$3="""",BE$2,BE$2&amp;"", ""&amp;BE$3)&amp;""]'!E1:E20""),
      IMPORTRANGE($F$8,""'Sensitivity [""&amp;IF(BE$3="""",BE$2,BE$2&amp;"", ""&amp;BE$3)&amp;""]'!A1:A20"")=$E17
    ),
    """"
  ) = """",
  "&amp;"""-"",
  BE$5 * ( 1 +
    IFNA(
      FILTER(
        IMPORTRANGE($F$8,""'Sensitivity [""&amp;IF(BE$3="""",BE$2,BE$2&amp;"", ""&amp;BE$3)&amp;""]'!E1:E20""),
        IMPORTRANGE($F$8,""'Sensitivity [""&amp;IF(BE$3="""",BE$2,BE$2&amp;"", ""&amp;BE$3)&amp;""]'!A1:A20"")=$E17
      ),
    "&amp;"  """"
    )
  )
), ""-"")
"),"-")</f>
        <v>-</v>
      </c>
      <c r="BH17" s="972" t="str">
        <f>IFERROR(__xludf.DUMMYFUNCTION("Iferror(IF(
  IFNA(
    FILTER(
      IMPORTRANGE($F$8,""'Sensitivity [""&amp;IF(BH$3="""",BH$2,BH$2&amp;"", ""&amp;BH$3)&amp;""]'!D1:D20""),
      IMPORTRANGE($F$8,""'Sensitivity [""&amp;IF(BH$3="""",BH$2,BH$2&amp;"", ""&amp;BH$3)&amp;""]'!A1:A20"")=$E17
    ),
    """"
  ) = """",
  "&amp;"""-"",
  BH$5 * ( 1 +
    IFNA(
      FILTER(
        IMPORTRANGE($F$8,""'Sensitivity [""&amp;IF(BH$3="""",BH$2,BH$2&amp;"", ""&amp;BH$3)&amp;""]'!D1:D20""),
        IMPORTRANGE($F$8,""'Sensitivity [""&amp;IF(BH$3="""",BH$2,BH$2&amp;"", ""&amp;BH$3)&amp;""]'!A1:A20"")=$E17
      ),
    "&amp;"  """"
    )
  )
), ""-"")
"),"-")</f>
        <v>-</v>
      </c>
      <c r="BI17" s="993" t="s">
        <v>165</v>
      </c>
      <c r="BJ17" s="974" t="str">
        <f>IFERROR(__xludf.DUMMYFUNCTION("iferror(IF(
  IFNA(
    FILTER(
      IMPORTRANGE($F$8,""'Sensitivity [""&amp;IF(BH$3="""",BH$2,BH$2&amp;"", ""&amp;BH$3)&amp;""]'!E1:E20""),
      IMPORTRANGE($F$8,""'Sensitivity [""&amp;IF(BH$3="""",BH$2,BH$2&amp;"", ""&amp;BH$3)&amp;""]'!A1:A20"")=$E17
    ),
    """"
  ) = """",
  "&amp;"""-"",
  BH$5 * ( 1 +
    IFNA(
      FILTER(
        IMPORTRANGE($F$8,""'Sensitivity [""&amp;IF(BH$3="""",BH$2,BH$2&amp;"", ""&amp;BH$3)&amp;""]'!E1:E20""),
        IMPORTRANGE($F$8,""'Sensitivity [""&amp;IF(BH$3="""",BH$2,BH$2&amp;"", ""&amp;BH$3)&amp;""]'!A1:A20"")=$E17
      ),
    "&amp;"  """"
    )
  )
), ""-"")
"),"-")</f>
        <v>-</v>
      </c>
      <c r="BK17" s="972" t="str">
        <f>IFERROR(__xludf.DUMMYFUNCTION("Iferror(IF(
  IFNA(
    FILTER(
      IMPORTRANGE($F$8,""'Sensitivity [""&amp;IF(BK$3="""",BK$2,BK$2&amp;"", ""&amp;BK$3)&amp;""]'!D1:D20""),
      IMPORTRANGE($F$8,""'Sensitivity [""&amp;IF(BK$3="""",BK$2,BK$2&amp;"", ""&amp;BK$3)&amp;""]'!A1:A20"")=$E17
    ),
    """"
  ) = """",
  "&amp;"""-"",
  BK$5 * ( 1 +
    IFNA(
      FILTER(
        IMPORTRANGE($F$8,""'Sensitivity [""&amp;IF(BK$3="""",BK$2,BK$2&amp;"", ""&amp;BK$3)&amp;""]'!D1:D20""),
        IMPORTRANGE($F$8,""'Sensitivity [""&amp;IF(BK$3="""",BK$2,BK$2&amp;"", ""&amp;BK$3)&amp;""]'!A1:A20"")=$E17
      ),
    "&amp;"  """"
    )
  )
), ""-"")
"),"-")</f>
        <v>-</v>
      </c>
      <c r="BL17" s="993" t="s">
        <v>165</v>
      </c>
      <c r="BM17" s="974" t="str">
        <f>IFERROR(__xludf.DUMMYFUNCTION("iferror(IF(
  IFNA(
    FILTER(
      IMPORTRANGE($F$8,""'Sensitivity [""&amp;IF(BK$3="""",BK$2,BK$2&amp;"", ""&amp;BK$3)&amp;""]'!E1:E20""),
      IMPORTRANGE($F$8,""'Sensitivity [""&amp;IF(BK$3="""",BK$2,BK$2&amp;"", ""&amp;BK$3)&amp;""]'!A1:A20"")=$E17
    ),
    """"
  ) = """",
  "&amp;"""-"",
  BK$5 * ( 1 +
    IFNA(
      FILTER(
        IMPORTRANGE($F$8,""'Sensitivity [""&amp;IF(BK$3="""",BK$2,BK$2&amp;"", ""&amp;BK$3)&amp;""]'!E1:E20""),
        IMPORTRANGE($F$8,""'Sensitivity [""&amp;IF(BK$3="""",BK$2,BK$2&amp;"", ""&amp;BK$3)&amp;""]'!A1:A20"")=$E17
      ),
    "&amp;"  """"
    )
  )
), ""-"")
"),"-")</f>
        <v>-</v>
      </c>
      <c r="BN17" s="972" t="str">
        <f>IFERROR(__xludf.DUMMYFUNCTION("Iferror(IF(
  IFNA(
    FILTER(
      IMPORTRANGE($F$8,""'Sensitivity [""&amp;IF(BN$3="""",BN$2,BN$2&amp;"", ""&amp;BN$3)&amp;""]'!D1:D20""),
      IMPORTRANGE($F$8,""'Sensitivity [""&amp;IF(BN$3="""",BN$2,BN$2&amp;"", ""&amp;BN$3)&amp;""]'!A1:A20"")=$E17
    ),
    """"
  ) = """",
  "&amp;"""-"",
  BN$5 * ( 1 +
    IFNA(
      FILTER(
        IMPORTRANGE($F$8,""'Sensitivity [""&amp;IF(BN$3="""",BN$2,BN$2&amp;"", ""&amp;BN$3)&amp;""]'!D1:D20""),
        IMPORTRANGE($F$8,""'Sensitivity [""&amp;IF(BN$3="""",BN$2,BN$2&amp;"", ""&amp;BN$3)&amp;""]'!A1:A20"")=$E17
      ),
    "&amp;"  """"
    )
  )
), ""-"")
"),"-")</f>
        <v>-</v>
      </c>
      <c r="BO17" s="993" t="s">
        <v>165</v>
      </c>
      <c r="BP17" s="974" t="str">
        <f>IFERROR(__xludf.DUMMYFUNCTION("iferror(IF(
  IFNA(
    FILTER(
      IMPORTRANGE($F$8,""'Sensitivity [""&amp;IF(BN$3="""",BN$2,BN$2&amp;"", ""&amp;BN$3)&amp;""]'!E1:E20""),
      IMPORTRANGE($F$8,""'Sensitivity [""&amp;IF(BN$3="""",BN$2,BN$2&amp;"", ""&amp;BN$3)&amp;""]'!A1:A20"")=$E17
    ),
    """"
  ) = """",
  "&amp;"""-"",
  BN$5 * ( 1 +
    IFNA(
      FILTER(
        IMPORTRANGE($F$8,""'Sensitivity [""&amp;IF(BN$3="""",BN$2,BN$2&amp;"", ""&amp;BN$3)&amp;""]'!E1:E20""),
        IMPORTRANGE($F$8,""'Sensitivity [""&amp;IF(BN$3="""",BN$2,BN$2&amp;"", ""&amp;BN$3)&amp;""]'!A1:A20"")=$E17
      ),
    "&amp;"  """"
    )
  )
), ""-"")
"),"-")</f>
        <v>-</v>
      </c>
      <c r="BQ17" s="972" t="str">
        <f>IFERROR(__xludf.DUMMYFUNCTION("Iferror(IF(
  IFNA(
    FILTER(
      IMPORTRANGE($F$8,""'Sensitivity [""&amp;IF(BQ$3="""",BQ$2,BQ$2&amp;"", ""&amp;BQ$3)&amp;""]'!D1:D20""),
      IMPORTRANGE($F$8,""'Sensitivity [""&amp;IF(BQ$3="""",BQ$2,BQ$2&amp;"", ""&amp;BQ$3)&amp;""]'!A1:A20"")=$E17
    ),
    """"
  ) = """",
  "&amp;"""-"",
  BQ$5 * ( 1 +
    IFNA(
      FILTER(
        IMPORTRANGE($F$8,""'Sensitivity [""&amp;IF(BQ$3="""",BQ$2,BQ$2&amp;"", ""&amp;BQ$3)&amp;""]'!D1:D20""),
        IMPORTRANGE($F$8,""'Sensitivity [""&amp;IF(BQ$3="""",BQ$2,BQ$2&amp;"", ""&amp;BQ$3)&amp;""]'!A1:A20"")=$E17
      ),
    "&amp;"  """"
    )
  )
), ""-"")
"),"-")</f>
        <v>-</v>
      </c>
      <c r="BR17" s="993" t="s">
        <v>165</v>
      </c>
      <c r="BS17" s="974" t="str">
        <f>IFERROR(__xludf.DUMMYFUNCTION("iferror(IF(
  IFNA(
    FILTER(
      IMPORTRANGE($F$8,""'Sensitivity [""&amp;IF(BQ$3="""",BQ$2,BQ$2&amp;"", ""&amp;BQ$3)&amp;""]'!E1:E20""),
      IMPORTRANGE($F$8,""'Sensitivity [""&amp;IF(BQ$3="""",BQ$2,BQ$2&amp;"", ""&amp;BQ$3)&amp;""]'!A1:A20"")=$E17
    ),
    """"
  ) = """",
  "&amp;"""-"",
  BQ$5 * ( 1 +
    IFNA(
      FILTER(
        IMPORTRANGE($F$8,""'Sensitivity [""&amp;IF(BQ$3="""",BQ$2,BQ$2&amp;"", ""&amp;BQ$3)&amp;""]'!E1:E20""),
        IMPORTRANGE($F$8,""'Sensitivity [""&amp;IF(BQ$3="""",BQ$2,BQ$2&amp;"", ""&amp;BQ$3)&amp;""]'!A1:A20"")=$E17
      ),
    "&amp;"  """"
    )
  )
), ""-"")
"),"-")</f>
        <v>-</v>
      </c>
      <c r="BT17" s="972" t="str">
        <f>IFERROR(__xludf.DUMMYFUNCTION("Iferror(IF(
  IFNA(
    FILTER(
      IMPORTRANGE($F$8,""'Sensitivity [""&amp;IF(BT$3="""",BT$2,BT$2&amp;"", ""&amp;BT$3)&amp;""]'!D1:D20""),
      IMPORTRANGE($F$8,""'Sensitivity [""&amp;IF(BT$3="""",BT$2,BT$2&amp;"", ""&amp;BT$3)&amp;""]'!A1:A20"")=$E17
    ),
    """"
  ) = """",
  "&amp;"""-"",
  BT$5 * ( 1 +
    IFNA(
      FILTER(
        IMPORTRANGE($F$8,""'Sensitivity [""&amp;IF(BT$3="""",BT$2,BT$2&amp;"", ""&amp;BT$3)&amp;""]'!D1:D20""),
        IMPORTRANGE($F$8,""'Sensitivity [""&amp;IF(BT$3="""",BT$2,BT$2&amp;"", ""&amp;BT$3)&amp;""]'!A1:A20"")=$E17
      ),
    "&amp;"  """"
    )
  )
), ""-"")
"),"-")</f>
        <v>-</v>
      </c>
      <c r="BU17" s="993" t="s">
        <v>165</v>
      </c>
      <c r="BV17" s="974" t="str">
        <f>IFERROR(__xludf.DUMMYFUNCTION("iferror(IF(
  IFNA(
    FILTER(
      IMPORTRANGE($F$8,""'Sensitivity [""&amp;IF(BT$3="""",BT$2,BT$2&amp;"", ""&amp;BT$3)&amp;""]'!E1:E20""),
      IMPORTRANGE($F$8,""'Sensitivity [""&amp;IF(BT$3="""",BT$2,BT$2&amp;"", ""&amp;BT$3)&amp;""]'!A1:A20"")=$E17
    ),
    """"
  ) = """",
  "&amp;"""-"",
  BT$5 * ( 1 +
    IFNA(
      FILTER(
        IMPORTRANGE($F$8,""'Sensitivity [""&amp;IF(BT$3="""",BT$2,BT$2&amp;"", ""&amp;BT$3)&amp;""]'!E1:E20""),
        IMPORTRANGE($F$8,""'Sensitivity [""&amp;IF(BT$3="""",BT$2,BT$2&amp;"", ""&amp;BT$3)&amp;""]'!A1:A20"")=$E17
      ),
    "&amp;"  """"
    )
  )
), ""-"")
"),"-")</f>
        <v>-</v>
      </c>
      <c r="BW17" s="972" t="str">
        <f>IFERROR(__xludf.DUMMYFUNCTION("Iferror(IF(
  IFNA(
    FILTER(
      IMPORTRANGE($F$8,""'Sensitivity [""&amp;IF(BW$3="""",BW$2,BW$2&amp;"", ""&amp;BW$3)&amp;""]'!D1:D20""),
      IMPORTRANGE($F$8,""'Sensitivity [""&amp;IF(BW$3="""",BW$2,BW$2&amp;"", ""&amp;BW$3)&amp;""]'!A1:A20"")=$E17
    ),
    """"
  ) = """",
  "&amp;"""-"",
  BW$5 * ( 1 +
    IFNA(
      FILTER(
        IMPORTRANGE($F$8,""'Sensitivity [""&amp;IF(BW$3="""",BW$2,BW$2&amp;"", ""&amp;BW$3)&amp;""]'!D1:D20""),
        IMPORTRANGE($F$8,""'Sensitivity [""&amp;IF(BW$3="""",BW$2,BW$2&amp;"", ""&amp;BW$3)&amp;""]'!A1:A20"")=$E17
      ),
    "&amp;"  """"
    )
  )
), ""-"")
"),"-")</f>
        <v>-</v>
      </c>
      <c r="BX17" s="993" t="s">
        <v>165</v>
      </c>
      <c r="BY17" s="974" t="str">
        <f>IFERROR(__xludf.DUMMYFUNCTION("iferror(IF(
  IFNA(
    FILTER(
      IMPORTRANGE($F$8,""'Sensitivity [""&amp;IF(BW$3="""",BW$2,BW$2&amp;"", ""&amp;BW$3)&amp;""]'!E1:E20""),
      IMPORTRANGE($F$8,""'Sensitivity [""&amp;IF(BW$3="""",BW$2,BW$2&amp;"", ""&amp;BW$3)&amp;""]'!A1:A20"")=$E17
    ),
    """"
  ) = """",
  "&amp;"""-"",
  BW$5 * ( 1 +
    IFNA(
      FILTER(
        IMPORTRANGE($F$8,""'Sensitivity [""&amp;IF(BW$3="""",BW$2,BW$2&amp;"", ""&amp;BW$3)&amp;""]'!E1:E20""),
        IMPORTRANGE($F$8,""'Sensitivity [""&amp;IF(BW$3="""",BW$2,BW$2&amp;"", ""&amp;BW$3)&amp;""]'!A1:A20"")=$E17
      ),
    "&amp;"  """"
    )
  )
), ""-"")
"),"-")</f>
        <v>-</v>
      </c>
      <c r="BZ17" s="972" t="str">
        <f>IFERROR(__xludf.DUMMYFUNCTION("Iferror(IF(
  IFNA(
    FILTER(
      IMPORTRANGE($F$8,""'Sensitivity [""&amp;IF(BZ$3="""",BZ$2,BZ$2&amp;"", ""&amp;BZ$3)&amp;""]'!D1:D20""),
      IMPORTRANGE($F$8,""'Sensitivity [""&amp;IF(BZ$3="""",BZ$2,BZ$2&amp;"", ""&amp;BZ$3)&amp;""]'!A1:A20"")=$E17
    ),
    """"
  ) = """",
  "&amp;"""-"",
  BZ$5 * ( 1 +
    IFNA(
      FILTER(
        IMPORTRANGE($F$8,""'Sensitivity [""&amp;IF(BZ$3="""",BZ$2,BZ$2&amp;"", ""&amp;BZ$3)&amp;""]'!D1:D20""),
        IMPORTRANGE($F$8,""'Sensitivity [""&amp;IF(BZ$3="""",BZ$2,BZ$2&amp;"", ""&amp;BZ$3)&amp;""]'!A1:A20"")=$E17
      ),
    "&amp;"  """"
    )
  )
), ""-"")
"),"-")</f>
        <v>-</v>
      </c>
      <c r="CA17" s="993" t="s">
        <v>165</v>
      </c>
      <c r="CB17" s="974" t="str">
        <f>IFERROR(__xludf.DUMMYFUNCTION("iferror(IF(
  IFNA(
    FILTER(
      IMPORTRANGE($F$8,""'Sensitivity [""&amp;IF(BZ$3="""",BZ$2,BZ$2&amp;"", ""&amp;BZ$3)&amp;""]'!E1:E20""),
      IMPORTRANGE($F$8,""'Sensitivity [""&amp;IF(BZ$3="""",BZ$2,BZ$2&amp;"", ""&amp;BZ$3)&amp;""]'!A1:A20"")=$E17
    ),
    """"
  ) = """",
  "&amp;"""-"",
  BZ$5 * ( 1 +
    IFNA(
      FILTER(
        IMPORTRANGE($F$8,""'Sensitivity [""&amp;IF(BZ$3="""",BZ$2,BZ$2&amp;"", ""&amp;BZ$3)&amp;""]'!E1:E20""),
        IMPORTRANGE($F$8,""'Sensitivity [""&amp;IF(BZ$3="""",BZ$2,BZ$2&amp;"", ""&amp;BZ$3)&amp;""]'!A1:A20"")=$E17
      ),
    "&amp;"  """"
    )
  )
), ""-"")
"),"-")</f>
        <v>-</v>
      </c>
      <c r="CC17" s="972" t="str">
        <f>IFERROR(__xludf.DUMMYFUNCTION("Iferror(IF(
  IFNA(
    FILTER(
      IMPORTRANGE($F$8,""'Sensitivity [""&amp;IF(CC$3="""",CC$2,CC$2&amp;"", ""&amp;CC$3)&amp;""]'!D1:D20""),
      IMPORTRANGE($F$8,""'Sensitivity [""&amp;IF(CC$3="""",CC$2,CC$2&amp;"", ""&amp;CC$3)&amp;""]'!A1:A20"")=$E17
    ),
    """"
  ) = """",
  "&amp;"""-"",
  CC$5 * ( 1 +
    IFNA(
      FILTER(
        IMPORTRANGE($F$8,""'Sensitivity [""&amp;IF(CC$3="""",CC$2,CC$2&amp;"", ""&amp;CC$3)&amp;""]'!D1:D20""),
        IMPORTRANGE($F$8,""'Sensitivity [""&amp;IF(CC$3="""",CC$2,CC$2&amp;"", ""&amp;CC$3)&amp;""]'!A1:A20"")=$E17
      ),
    "&amp;"  """"
    )
  )
), ""-"")
"),"-")</f>
        <v>-</v>
      </c>
      <c r="CD17" s="993" t="s">
        <v>165</v>
      </c>
      <c r="CE17" s="974" t="str">
        <f>IFERROR(__xludf.DUMMYFUNCTION("iferror(IF(
  IFNA(
    FILTER(
      IMPORTRANGE($F$8,""'Sensitivity [""&amp;IF(CC$3="""",CC$2,CC$2&amp;"", ""&amp;CC$3)&amp;""]'!E1:E20""),
      IMPORTRANGE($F$8,""'Sensitivity [""&amp;IF(CC$3="""",CC$2,CC$2&amp;"", ""&amp;CC$3)&amp;""]'!A1:A20"")=$E17
    ),
    """"
  ) = """",
  "&amp;"""-"",
  CC$5 * ( 1 +
    IFNA(
      FILTER(
        IMPORTRANGE($F$8,""'Sensitivity [""&amp;IF(CC$3="""",CC$2,CC$2&amp;"", ""&amp;CC$3)&amp;""]'!E1:E20""),
        IMPORTRANGE($F$8,""'Sensitivity [""&amp;IF(CC$3="""",CC$2,CC$2&amp;"", ""&amp;CC$3)&amp;""]'!A1:A20"")=$E17
      ),
    "&amp;"  """"
    )
  )
), ""-"")
"),"-")</f>
        <v>-</v>
      </c>
      <c r="CF17" s="972" t="str">
        <f>IFERROR(__xludf.DUMMYFUNCTION("Iferror(IF(
  IFNA(
    FILTER(
      IMPORTRANGE($F$8,""'Sensitivity [""&amp;IF(CF$3="""",CF$2,CF$2&amp;"", ""&amp;CF$3)&amp;""]'!D1:D20""),
      IMPORTRANGE($F$8,""'Sensitivity [""&amp;IF(CF$3="""",CF$2,CF$2&amp;"", ""&amp;CF$3)&amp;""]'!A1:A20"")=$E17
    ),
    """"
  ) = """",
  "&amp;"""-"",
  CF$5 * ( 1 +
    IFNA(
      FILTER(
        IMPORTRANGE($F$8,""'Sensitivity [""&amp;IF(CF$3="""",CF$2,CF$2&amp;"", ""&amp;CF$3)&amp;""]'!D1:D20""),
        IMPORTRANGE($F$8,""'Sensitivity [""&amp;IF(CF$3="""",CF$2,CF$2&amp;"", ""&amp;CF$3)&amp;""]'!A1:A20"")=$E17
      ),
    "&amp;"  """"
    )
  )
), ""-"")
"),"-")</f>
        <v>-</v>
      </c>
      <c r="CG17" s="993" t="s">
        <v>165</v>
      </c>
      <c r="CH17" s="974" t="str">
        <f>IFERROR(__xludf.DUMMYFUNCTION("iferror(IF(
  IFNA(
    FILTER(
      IMPORTRANGE($F$8,""'Sensitivity [""&amp;IF(CF$3="""",CF$2,CF$2&amp;"", ""&amp;CF$3)&amp;""]'!E1:E20""),
      IMPORTRANGE($F$8,""'Sensitivity [""&amp;IF(CF$3="""",CF$2,CF$2&amp;"", ""&amp;CF$3)&amp;""]'!A1:A20"")=$E17
    ),
    """"
  ) = """",
  "&amp;"""-"",
  CF$5 * ( 1 +
    IFNA(
      FILTER(
        IMPORTRANGE($F$8,""'Sensitivity [""&amp;IF(CF$3="""",CF$2,CF$2&amp;"", ""&amp;CF$3)&amp;""]'!E1:E20""),
        IMPORTRANGE($F$8,""'Sensitivity [""&amp;IF(CF$3="""",CF$2,CF$2&amp;"", ""&amp;CF$3)&amp;""]'!A1:A20"")=$E17
      ),
    "&amp;"  """"
    )
  )
), ""-"")
"),"-")</f>
        <v>-</v>
      </c>
      <c r="CI17" s="972" t="str">
        <f>IFERROR(__xludf.DUMMYFUNCTION("Iferror(IF(
  IFNA(
    FILTER(
      IMPORTRANGE($F$8,""'Sensitivity [""&amp;IF(CI$3="""",CI$2,CI$2&amp;"", ""&amp;CI$3)&amp;""]'!D1:D20""),
      IMPORTRANGE($F$8,""'Sensitivity [""&amp;IF(CI$3="""",CI$2,CI$2&amp;"", ""&amp;CI$3)&amp;""]'!A1:A20"")=$E17
    ),
    """"
  ) = """",
  "&amp;"""-"",
  CI$5 * ( 1 +
    IFNA(
      FILTER(
        IMPORTRANGE($F$8,""'Sensitivity [""&amp;IF(CI$3="""",CI$2,CI$2&amp;"", ""&amp;CI$3)&amp;""]'!D1:D20""),
        IMPORTRANGE($F$8,""'Sensitivity [""&amp;IF(CI$3="""",CI$2,CI$2&amp;"", ""&amp;CI$3)&amp;""]'!A1:A20"")=$E17
      ),
    "&amp;"  """"
    )
  )
), ""-"")
"),"-")</f>
        <v>-</v>
      </c>
      <c r="CJ17" s="993" t="s">
        <v>165</v>
      </c>
      <c r="CK17" s="974" t="str">
        <f>IFERROR(__xludf.DUMMYFUNCTION("iferror(IF(
  IFNA(
    FILTER(
      IMPORTRANGE($F$8,""'Sensitivity [""&amp;IF(CI$3="""",CI$2,CI$2&amp;"", ""&amp;CI$3)&amp;""]'!E1:E20""),
      IMPORTRANGE($F$8,""'Sensitivity [""&amp;IF(CI$3="""",CI$2,CI$2&amp;"", ""&amp;CI$3)&amp;""]'!A1:A20"")=$E17
    ),
    """"
  ) = """",
  "&amp;"""-"",
  CI$5 * ( 1 +
    IFNA(
      FILTER(
        IMPORTRANGE($F$8,""'Sensitivity [""&amp;IF(CI$3="""",CI$2,CI$2&amp;"", ""&amp;CI$3)&amp;""]'!E1:E20""),
        IMPORTRANGE($F$8,""'Sensitivity [""&amp;IF(CI$3="""",CI$2,CI$2&amp;"", ""&amp;CI$3)&amp;""]'!A1:A20"")=$E17
      ),
    "&amp;"  """"
    )
  )
), ""-"")
"),"-")</f>
        <v>-</v>
      </c>
      <c r="CL17" s="198"/>
    </row>
    <row r="18">
      <c r="A18" s="889"/>
      <c r="B18" s="890"/>
      <c r="C18" s="890"/>
      <c r="D18" s="890"/>
      <c r="E18" s="992" t="str">
        <f t="shared" si="1"/>
        <v>Adjustment for funging</v>
      </c>
      <c r="F18" s="972">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"),19.80861650809947)</f>
        <v>19.80861651</v>
      </c>
      <c r="G18" s="993" t="s">
        <v>165</v>
      </c>
      <c r="H18" s="974">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"),29.38529477368516)</f>
        <v>29.38529477</v>
      </c>
      <c r="I18" s="972">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"),13.321709833213633)</f>
        <v>13.32170983</v>
      </c>
      <c r="J18" s="993" t="s">
        <v>165</v>
      </c>
      <c r="K18" s="974">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"),21.830937514115067)</f>
        <v>21.83093751</v>
      </c>
      <c r="L18" s="972">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"),6.9770016042559755)</f>
        <v>6.977001604</v>
      </c>
      <c r="M18" s="993" t="s">
        <v>165</v>
      </c>
      <c r="N18" s="974">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"),12.10157910081174)</f>
        <v>12.1015791</v>
      </c>
      <c r="O18" s="972">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"),15.537821467790243)</f>
        <v>15.53782147</v>
      </c>
      <c r="P18" s="993" t="s">
        <v>165</v>
      </c>
      <c r="Q18" s="974">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"),20.03235870731602)</f>
        <v>20.03235871</v>
      </c>
      <c r="R18" s="972">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"),8.884353331926137)</f>
        <v>8.884353332</v>
      </c>
      <c r="S18" s="993" t="s">
        <v>165</v>
      </c>
      <c r="T18" s="974">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"),15.706521691296233)</f>
        <v>15.70652169</v>
      </c>
      <c r="U18" s="972">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"),4.164772065921689)</f>
        <v>4.164772066</v>
      </c>
      <c r="V18" s="993" t="s">
        <v>165</v>
      </c>
      <c r="W18" s="974">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"),6.395415360236745)</f>
        <v>6.39541536</v>
      </c>
      <c r="X18" s="972">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"),14.508721093028507)</f>
        <v>14.50872109</v>
      </c>
      <c r="Y18" s="993" t="s">
        <v>165</v>
      </c>
      <c r="Z18" s="974">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"),19.57315216472192)</f>
        <v>19.57315216</v>
      </c>
      <c r="AA18" s="972">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"),27.57835372257816)</f>
        <v>27.57835372</v>
      </c>
      <c r="AB18" s="993" t="s">
        <v>165</v>
      </c>
      <c r="AC18" s="974">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"),45.20835673178696)</f>
        <v>45.20835673</v>
      </c>
      <c r="AD18" s="972">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"),52.05036652968225)</f>
        <v>52.05036653</v>
      </c>
      <c r="AE18" s="993" t="s">
        <v>165</v>
      </c>
      <c r="AF18" s="974">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"),79.25777168335364)</f>
        <v>79.25777168</v>
      </c>
      <c r="AG18" s="972">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"),19.132686191419257)</f>
        <v>19.13268619</v>
      </c>
      <c r="AH18" s="993" t="s">
        <v>165</v>
      </c>
      <c r="AI18" s="974">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"),27.001793868637773)</f>
        <v>27.00179387</v>
      </c>
      <c r="AJ18" s="972">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"),3.9316897019265213)</f>
        <v>3.931689702</v>
      </c>
      <c r="AK18" s="993" t="s">
        <v>165</v>
      </c>
      <c r="AL18" s="974">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"),5.365118235607771)</f>
        <v>5.365118236</v>
      </c>
      <c r="AM18" s="972">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"),2.1411552062238113)</f>
        <v>2.141155206</v>
      </c>
      <c r="AN18" s="993" t="s">
        <v>165</v>
      </c>
      <c r="AO18" s="974">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"),2.726542615125921)</f>
        <v>2.726542615</v>
      </c>
      <c r="AP18" s="972">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"),8.631324343152533)</f>
        <v>8.631324343</v>
      </c>
      <c r="AQ18" s="993" t="s">
        <v>165</v>
      </c>
      <c r="AR18" s="974">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"),11.91174574715018)</f>
        <v>11.91174575</v>
      </c>
      <c r="AS18" s="972">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"),4.711656877938557)</f>
        <v>4.711656878</v>
      </c>
      <c r="AT18" s="993" t="s">
        <v>165</v>
      </c>
      <c r="AU18" s="974">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"),6.387904666895439)</f>
        <v>6.387904667</v>
      </c>
      <c r="AV18" s="972">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"),12.001736065059148)</f>
        <v>12.00173607</v>
      </c>
      <c r="AW18" s="993" t="s">
        <v>165</v>
      </c>
      <c r="AX18" s="974">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"),16.964983654984493)</f>
        <v>16.96498365</v>
      </c>
      <c r="AY18" s="972">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"),3.450715389903283)</f>
        <v>3.45071539</v>
      </c>
      <c r="AZ18" s="993" t="s">
        <v>165</v>
      </c>
      <c r="BA18" s="974">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"),4.5922343469863325)</f>
        <v>4.592234347</v>
      </c>
      <c r="BB18" s="972">
        <f>IFERROR(__xludf.DUMMYFUNCTION("Iferror(IF(
  IFNA(
    FILTER(
      IMPORTRANGE($F$8,""'Sensitivity [""&amp;IF(BB$3="""",BB$2,BB$2&amp;"", ""&amp;BB$3)&amp;""]'!D1:D20""),
      IMPORTRANGE($F$8,""'Sensitivity [""&amp;IF(BB$3="""",BB$2,BB$2&amp;"", ""&amp;BB$3)&amp;""]'!A1:A20"")=$E18
    ),
    """"
  ) = """",
  "&amp;"""-"",
  BB$5 * ( 1 +
    IFNA(
      FILTER(
        IMPORTRANGE($F$8,""'Sensitivity [""&amp;IF(BB$3="""",BB$2,BB$2&amp;"", ""&amp;BB$3)&amp;""]'!D1:D20""),
        IMPORTRANGE($F$8,""'Sensitivity [""&amp;IF(BB$3="""",BB$2,BB$2&amp;"", ""&amp;BB$3)&amp;""]'!A1:A20"")=$E18
      ),
    "&amp;"  """"
    )
  )
), ""-"")
"),5.326539080698806)</f>
        <v>5.326539081</v>
      </c>
      <c r="BC18" s="993" t="s">
        <v>165</v>
      </c>
      <c r="BD18" s="974">
        <f>IFERROR(__xludf.DUMMYFUNCTION("iferror(IF(
  IFNA(
    FILTER(
      IMPORTRANGE($F$8,""'Sensitivity [""&amp;IF(BB$3="""",BB$2,BB$2&amp;"", ""&amp;BB$3)&amp;""]'!E1:E20""),
      IMPORTRANGE($F$8,""'Sensitivity [""&amp;IF(BB$3="""",BB$2,BB$2&amp;"", ""&amp;BB$3)&amp;""]'!A1:A20"")=$E18
    ),
    """"
  ) = """",
  "&amp;"""-"",
  BB$5 * ( 1 +
    IFNA(
      FILTER(
        IMPORTRANGE($F$8,""'Sensitivity [""&amp;IF(BB$3="""",BB$2,BB$2&amp;"", ""&amp;BB$3)&amp;""]'!E1:E20""),
        IMPORTRANGE($F$8,""'Sensitivity [""&amp;IF(BB$3="""",BB$2,BB$2&amp;"", ""&amp;BB$3)&amp;""]'!A1:A20"")=$E18
      ),
    "&amp;"  """"
    )
  )
), ""-"")
"),7.30222075073729)</f>
        <v>7.302220751</v>
      </c>
      <c r="BE18" s="972">
        <f>IFERROR(__xludf.DUMMYFUNCTION("Iferror(IF(
  IFNA(
    FILTER(
      IMPORTRANGE($F$8,""'Sensitivity [""&amp;IF(BE$3="""",BE$2,BE$2&amp;"", ""&amp;BE$3)&amp;""]'!D1:D20""),
      IMPORTRANGE($F$8,""'Sensitivity [""&amp;IF(BE$3="""",BE$2,BE$2&amp;"", ""&amp;BE$3)&amp;""]'!A1:A20"")=$E18
    ),
    """"
  ) = """",
  "&amp;"""-"",
  BE$5 * ( 1 +
    IFNA(
      FILTER(
        IMPORTRANGE($F$8,""'Sensitivity [""&amp;IF(BE$3="""",BE$2,BE$2&amp;"", ""&amp;BE$3)&amp;""]'!D1:D20""),
        IMPORTRANGE($F$8,""'Sensitivity [""&amp;IF(BE$3="""",BE$2,BE$2&amp;"", ""&amp;BE$3)&amp;""]'!A1:A20"")=$E18
      ),
    "&amp;"  """"
    )
  )
), ""-"")
"),2.8801670540307636)</f>
        <v>2.880167054</v>
      </c>
      <c r="BF18" s="993" t="s">
        <v>165</v>
      </c>
      <c r="BG18" s="974">
        <f>IFERROR(__xludf.DUMMYFUNCTION("iferror(IF(
  IFNA(
    FILTER(
      IMPORTRANGE($F$8,""'Sensitivity [""&amp;IF(BE$3="""",BE$2,BE$2&amp;"", ""&amp;BE$3)&amp;""]'!E1:E20""),
      IMPORTRANGE($F$8,""'Sensitivity [""&amp;IF(BE$3="""",BE$2,BE$2&amp;"", ""&amp;BE$3)&amp;""]'!A1:A20"")=$E18
    ),
    """"
  ) = """",
  "&amp;"""-"",
  BE$5 * ( 1 +
    IFNA(
      FILTER(
        IMPORTRANGE($F$8,""'Sensitivity [""&amp;IF(BE$3="""",BE$2,BE$2&amp;"", ""&amp;BE$3)&amp;""]'!E1:E20""),
        IMPORTRANGE($F$8,""'Sensitivity [""&amp;IF(BE$3="""",BE$2,BE$2&amp;"", ""&amp;BE$3)&amp;""]'!A1:A20"")=$E18
      ),
    "&amp;"  """"
    )
  )
), ""-"")
"),3.793252352509653)</f>
        <v>3.793252353</v>
      </c>
      <c r="BH18" s="972">
        <f>IFERROR(__xludf.DUMMYFUNCTION("Iferror(IF(
  IFNA(
    FILTER(
      IMPORTRANGE($F$8,""'Sensitivity [""&amp;IF(BH$3="""",BH$2,BH$2&amp;"", ""&amp;BH$3)&amp;""]'!D1:D20""),
      IMPORTRANGE($F$8,""'Sensitivity [""&amp;IF(BH$3="""",BH$2,BH$2&amp;"", ""&amp;BH$3)&amp;""]'!A1:A20"")=$E18
    ),
    """"
  ) = """",
  "&amp;"""-"",
  BH$5 * ( 1 +
    IFNA(
      FILTER(
        IMPORTRANGE($F$8,""'Sensitivity [""&amp;IF(BH$3="""",BH$2,BH$2&amp;"", ""&amp;BH$3)&amp;""]'!D1:D20""),
        IMPORTRANGE($F$8,""'Sensitivity [""&amp;IF(BH$3="""",BH$2,BH$2&amp;"", ""&amp;BH$3)&amp;""]'!A1:A20"")=$E18
      ),
    "&amp;"  """"
    )
  )
), ""-"")
"),3.8357875358782163)</f>
        <v>3.835787536</v>
      </c>
      <c r="BI18" s="993" t="s">
        <v>165</v>
      </c>
      <c r="BJ18" s="974">
        <f>IFERROR(__xludf.DUMMYFUNCTION("iferror(IF(
  IFNA(
    FILTER(
      IMPORTRANGE($F$8,""'Sensitivity [""&amp;IF(BH$3="""",BH$2,BH$2&amp;"", ""&amp;BH$3)&amp;""]'!E1:E20""),
      IMPORTRANGE($F$8,""'Sensitivity [""&amp;IF(BH$3="""",BH$2,BH$2&amp;"", ""&amp;BH$3)&amp;""]'!A1:A20"")=$E18
    ),
    """"
  ) = """",
  "&amp;"""-"",
  BH$5 * ( 1 +
    IFNA(
      FILTER(
        IMPORTRANGE($F$8,""'Sensitivity [""&amp;IF(BH$3="""",BH$2,BH$2&amp;"", ""&amp;BH$3)&amp;""]'!E1:E20""),
        IMPORTRANGE($F$8,""'Sensitivity [""&amp;IF(BH$3="""",BH$2,BH$2&amp;"", ""&amp;BH$3)&amp;""]'!A1:A20"")=$E18
      ),
    "&amp;"  """"
    )
  )
), ""-"")
"),5.08398736962826)</f>
        <v>5.08398737</v>
      </c>
      <c r="BK18" s="972">
        <f>IFERROR(__xludf.DUMMYFUNCTION("Iferror(IF(
  IFNA(
    FILTER(
      IMPORTRANGE($F$8,""'Sensitivity [""&amp;IF(BK$3="""",BK$2,BK$2&amp;"", ""&amp;BK$3)&amp;""]'!D1:D20""),
      IMPORTRANGE($F$8,""'Sensitivity [""&amp;IF(BK$3="""",BK$2,BK$2&amp;"", ""&amp;BK$3)&amp;""]'!A1:A20"")=$E18
    ),
    """"
  ) = """",
  "&amp;"""-"",
  BK$5 * ( 1 +
    IFNA(
      FILTER(
        IMPORTRANGE($F$8,""'Sensitivity [""&amp;IF(BK$3="""",BK$2,BK$2&amp;"", ""&amp;BK$3)&amp;""]'!D1:D20""),
        IMPORTRANGE($F$8,""'Sensitivity [""&amp;IF(BK$3="""",BK$2,BK$2&amp;"", ""&amp;BK$3)&amp;""]'!A1:A20"")=$E18
      ),
    "&amp;"  """"
    )
  )
), ""-"")
"),10.597563529053533)</f>
        <v>10.59756353</v>
      </c>
      <c r="BL18" s="993" t="s">
        <v>165</v>
      </c>
      <c r="BM18" s="974">
        <f>IFERROR(__xludf.DUMMYFUNCTION("iferror(IF(
  IFNA(
    FILTER(
      IMPORTRANGE($F$8,""'Sensitivity [""&amp;IF(BK$3="""",BK$2,BK$2&amp;"", ""&amp;BK$3)&amp;""]'!E1:E20""),
      IMPORTRANGE($F$8,""'Sensitivity [""&amp;IF(BK$3="""",BK$2,BK$2&amp;"", ""&amp;BK$3)&amp;""]'!A1:A20"")=$E18
    ),
    """"
  ) = """",
  "&amp;"""-"",
  BK$5 * ( 1 +
    IFNA(
      FILTER(
        IMPORTRANGE($F$8,""'Sensitivity [""&amp;IF(BK$3="""",BK$2,BK$2&amp;"", ""&amp;BK$3)&amp;""]'!E1:E20""),
        IMPORTRANGE($F$8,""'Sensitivity [""&amp;IF(BK$3="""",BK$2,BK$2&amp;"", ""&amp;BK$3)&amp;""]'!A1:A20"")=$E18
      ),
    "&amp;"  """"
    )
  )
), ""-"")
"),15.011716166853963)</f>
        <v>15.01171617</v>
      </c>
      <c r="BN18" s="972">
        <f>IFERROR(__xludf.DUMMYFUNCTION("Iferror(IF(
  IFNA(
    FILTER(
      IMPORTRANGE($F$8,""'Sensitivity [""&amp;IF(BN$3="""",BN$2,BN$2&amp;"", ""&amp;BN$3)&amp;""]'!D1:D20""),
      IMPORTRANGE($F$8,""'Sensitivity [""&amp;IF(BN$3="""",BN$2,BN$2&amp;"", ""&amp;BN$3)&amp;""]'!A1:A20"")=$E18
    ),
    """"
  ) = """",
  "&amp;"""-"",
  BN$5 * ( 1 +
    IFNA(
      FILTER(
        IMPORTRANGE($F$8,""'Sensitivity [""&amp;IF(BN$3="""",BN$2,BN$2&amp;"", ""&amp;BN$3)&amp;""]'!D1:D20""),
        IMPORTRANGE($F$8,""'Sensitivity [""&amp;IF(BN$3="""",BN$2,BN$2&amp;"", ""&amp;BN$3)&amp;""]'!A1:A20"")=$E18
      ),
    "&amp;"  """"
    )
  )
), ""-"")
"),4.356802938939173)</f>
        <v>4.356802939</v>
      </c>
      <c r="BO18" s="993" t="s">
        <v>165</v>
      </c>
      <c r="BP18" s="974">
        <f>IFERROR(__xludf.DUMMYFUNCTION("iferror(IF(
  IFNA(
    FILTER(
      IMPORTRANGE($F$8,""'Sensitivity [""&amp;IF(BN$3="""",BN$2,BN$2&amp;"", ""&amp;BN$3)&amp;""]'!E1:E20""),
      IMPORTRANGE($F$8,""'Sensitivity [""&amp;IF(BN$3="""",BN$2,BN$2&amp;"", ""&amp;BN$3)&amp;""]'!A1:A20"")=$E18
    ),
    """"
  ) = """",
  "&amp;"""-"",
  BN$5 * ( 1 +
    IFNA(
      FILTER(
        IMPORTRANGE($F$8,""'Sensitivity [""&amp;IF(BN$3="""",BN$2,BN$2&amp;"", ""&amp;BN$3)&amp;""]'!E1:E20""),
        IMPORTRANGE($F$8,""'Sensitivity [""&amp;IF(BN$3="""",BN$2,BN$2&amp;"", ""&amp;BN$3)&amp;""]'!A1:A20"")=$E18
      ),
    "&amp;"  """"
    )
  )
), ""-"")
"),5.92321581216459)</f>
        <v>5.923215812</v>
      </c>
      <c r="BQ18" s="972">
        <f>IFERROR(__xludf.DUMMYFUNCTION("Iferror(IF(
  IFNA(
    FILTER(
      IMPORTRANGE($F$8,""'Sensitivity [""&amp;IF(BQ$3="""",BQ$2,BQ$2&amp;"", ""&amp;BQ$3)&amp;""]'!D1:D20""),
      IMPORTRANGE($F$8,""'Sensitivity [""&amp;IF(BQ$3="""",BQ$2,BQ$2&amp;"", ""&amp;BQ$3)&amp;""]'!A1:A20"")=$E18
    ),
    """"
  ) = """",
  "&amp;"""-"",
  BQ$5 * ( 1 +
    IFNA(
      FILTER(
        IMPORTRANGE($F$8,""'Sensitivity [""&amp;IF(BQ$3="""",BQ$2,BQ$2&amp;"", ""&amp;BQ$3)&amp;""]'!D1:D20""),
        IMPORTRANGE($F$8,""'Sensitivity [""&amp;IF(BQ$3="""",BQ$2,BQ$2&amp;"", ""&amp;BQ$3)&amp;""]'!A1:A20"")=$E18
      ),
    "&amp;"  """"
    )
  )
), ""-"")
"),2.167612296752396)</f>
        <v>2.167612297</v>
      </c>
      <c r="BR18" s="993" t="s">
        <v>165</v>
      </c>
      <c r="BS18" s="974">
        <f>IFERROR(__xludf.DUMMYFUNCTION("iferror(IF(
  IFNA(
    FILTER(
      IMPORTRANGE($F$8,""'Sensitivity [""&amp;IF(BQ$3="""",BQ$2,BQ$2&amp;"", ""&amp;BQ$3)&amp;""]'!E1:E20""),
      IMPORTRANGE($F$8,""'Sensitivity [""&amp;IF(BQ$3="""",BQ$2,BQ$2&amp;"", ""&amp;BQ$3)&amp;""]'!A1:A20"")=$E18
    ),
    """"
  ) = """",
  "&amp;"""-"",
  BQ$5 * ( 1 +
    IFNA(
      FILTER(
        IMPORTRANGE($F$8,""'Sensitivity [""&amp;IF(BQ$3="""",BQ$2,BQ$2&amp;"", ""&amp;BQ$3)&amp;""]'!E1:E20""),
        IMPORTRANGE($F$8,""'Sensitivity [""&amp;IF(BQ$3="""",BQ$2,BQ$2&amp;"", ""&amp;BQ$3)&amp;""]'!A1:A20"")=$E18
      ),
    "&amp;"  """"
    )
  )
), ""-"")
"),2.758621674657079)</f>
        <v>2.758621675</v>
      </c>
      <c r="BT18" s="972">
        <f>IFERROR(__xludf.DUMMYFUNCTION("Iferror(IF(
  IFNA(
    FILTER(
      IMPORTRANGE($F$8,""'Sensitivity [""&amp;IF(BT$3="""",BT$2,BT$2&amp;"", ""&amp;BT$3)&amp;""]'!D1:D20""),
      IMPORTRANGE($F$8,""'Sensitivity [""&amp;IF(BT$3="""",BT$2,BT$2&amp;"", ""&amp;BT$3)&amp;""]'!A1:A20"")=$E18
    ),
    """"
  ) = """",
  "&amp;"""-"",
  BT$5 * ( 1 +
    IFNA(
      FILTER(
        IMPORTRANGE($F$8,""'Sensitivity [""&amp;IF(BT$3="""",BT$2,BT$2&amp;"", ""&amp;BT$3)&amp;""]'!D1:D20""),
        IMPORTRANGE($F$8,""'Sensitivity [""&amp;IF(BT$3="""",BT$2,BT$2&amp;"", ""&amp;BT$3)&amp;""]'!A1:A20"")=$E18
      ),
    "&amp;"  """"
    )
  )
), ""-"")
"),6.989695449478044)</f>
        <v>6.989695449</v>
      </c>
      <c r="BU18" s="993" t="s">
        <v>165</v>
      </c>
      <c r="BV18" s="974">
        <f>IFERROR(__xludf.DUMMYFUNCTION("iferror(IF(
  IFNA(
    FILTER(
      IMPORTRANGE($F$8,""'Sensitivity [""&amp;IF(BT$3="""",BT$2,BT$2&amp;"", ""&amp;BT$3)&amp;""]'!E1:E20""),
      IMPORTRANGE($F$8,""'Sensitivity [""&amp;IF(BT$3="""",BT$2,BT$2&amp;"", ""&amp;BT$3)&amp;""]'!A1:A20"")=$E18
    ),
    """"
  ) = """",
  "&amp;"""-"",
  BT$5 * ( 1 +
    IFNA(
      FILTER(
        IMPORTRANGE($F$8,""'Sensitivity [""&amp;IF(BT$3="""",BT$2,BT$2&amp;"", ""&amp;BT$3)&amp;""]'!E1:E20""),
        IMPORTRANGE($F$8,""'Sensitivity [""&amp;IF(BT$3="""",BT$2,BT$2&amp;"", ""&amp;BT$3)&amp;""]'!A1:A20"")=$E18
      ),
    "&amp;"  """"
    )
  )
), ""-"")
"),9.548027761635325)</f>
        <v>9.548027762</v>
      </c>
      <c r="BW18" s="972">
        <f>IFERROR(__xludf.DUMMYFUNCTION("Iferror(IF(
  IFNA(
    FILTER(
      IMPORTRANGE($F$8,""'Sensitivity [""&amp;IF(BW$3="""",BW$2,BW$2&amp;"", ""&amp;BW$3)&amp;""]'!D1:D20""),
      IMPORTRANGE($F$8,""'Sensitivity [""&amp;IF(BW$3="""",BW$2,BW$2&amp;"", ""&amp;BW$3)&amp;""]'!A1:A20"")=$E18
    ),
    """"
  ) = """",
  "&amp;"""-"",
  BW$5 * ( 1 +
    IFNA(
      FILTER(
        IMPORTRANGE($F$8,""'Sensitivity [""&amp;IF(BW$3="""",BW$2,BW$2&amp;"", ""&amp;BW$3)&amp;""]'!D1:D20""),
        IMPORTRANGE($F$8,""'Sensitivity [""&amp;IF(BW$3="""",BW$2,BW$2&amp;"", ""&amp;BW$3)&amp;""]'!A1:A20"")=$E18
      ),
    "&amp;"  """"
    )
  )
), ""-"")
"),25.910419294686548)</f>
        <v>25.91041929</v>
      </c>
      <c r="BX18" s="993" t="s">
        <v>165</v>
      </c>
      <c r="BY18" s="974">
        <f>IFERROR(__xludf.DUMMYFUNCTION("iferror(IF(
  IFNA(
    FILTER(
      IMPORTRANGE($F$8,""'Sensitivity [""&amp;IF(BW$3="""",BW$2,BW$2&amp;"", ""&amp;BW$3)&amp;""]'!E1:E20""),
      IMPORTRANGE($F$8,""'Sensitivity [""&amp;IF(BW$3="""",BW$2,BW$2&amp;"", ""&amp;BW$3)&amp;""]'!A1:A20"")=$E18
    ),
    """"
  ) = """",
  "&amp;"""-"",
  BW$5 * ( 1 +
    IFNA(
      FILTER(
        IMPORTRANGE($F$8,""'Sensitivity [""&amp;IF(BW$3="""",BW$2,BW$2&amp;"", ""&amp;BW$3)&amp;""]'!E1:E20""),
        IMPORTRANGE($F$8,""'Sensitivity [""&amp;IF(BW$3="""",BW$2,BW$2&amp;"", ""&amp;BW$3)&amp;""]'!A1:A20"")=$E18
      ),
    "&amp;"  """"
    )
  )
), ""-"")
"),36.47028277308232)</f>
        <v>36.47028277</v>
      </c>
      <c r="BZ18" s="972">
        <f>IFERROR(__xludf.DUMMYFUNCTION("Iferror(IF(
  IFNA(
    FILTER(
      IMPORTRANGE($F$8,""'Sensitivity [""&amp;IF(BZ$3="""",BZ$2,BZ$2&amp;"", ""&amp;BZ$3)&amp;""]'!D1:D20""),
      IMPORTRANGE($F$8,""'Sensitivity [""&amp;IF(BZ$3="""",BZ$2,BZ$2&amp;"", ""&amp;BZ$3)&amp;""]'!A1:A20"")=$E18
    ),
    """"
  ) = """",
  "&amp;"""-"",
  BZ$5 * ( 1 +
    IFNA(
      FILTER(
        IMPORTRANGE($F$8,""'Sensitivity [""&amp;IF(BZ$3="""",BZ$2,BZ$2&amp;"", ""&amp;BZ$3)&amp;""]'!D1:D20""),
        IMPORTRANGE($F$8,""'Sensitivity [""&amp;IF(BZ$3="""",BZ$2,BZ$2&amp;"", ""&amp;BZ$3)&amp;""]'!A1:A20"")=$E18
      ),
    "&amp;"  """"
    )
  )
), ""-"")
"),2.2119064948875047)</f>
        <v>2.211906495</v>
      </c>
      <c r="CA18" s="993" t="s">
        <v>165</v>
      </c>
      <c r="CB18" s="974">
        <f>IFERROR(__xludf.DUMMYFUNCTION("iferror(IF(
  IFNA(
    FILTER(
      IMPORTRANGE($F$8,""'Sensitivity [""&amp;IF(BZ$3="""",BZ$2,BZ$2&amp;"", ""&amp;BZ$3)&amp;""]'!E1:E20""),
      IMPORTRANGE($F$8,""'Sensitivity [""&amp;IF(BZ$3="""",BZ$2,BZ$2&amp;"", ""&amp;BZ$3)&amp;""]'!A1:A20"")=$E18
    ),
    """"
  ) = """",
  "&amp;"""-"",
  BZ$5 * ( 1 +
    IFNA(
      FILTER(
        IMPORTRANGE($F$8,""'Sensitivity [""&amp;IF(BZ$3="""",BZ$2,BZ$2&amp;"", ""&amp;BZ$3)&amp;""]'!E1:E20""),
        IMPORTRANGE($F$8,""'Sensitivity [""&amp;IF(BZ$3="""",BZ$2,BZ$2&amp;"", ""&amp;BZ$3)&amp;""]'!A1:A20"")=$E18
      ),
    "&amp;"  """"
    )
  )
), ""-"")
"),6.0724234341912275)</f>
        <v>6.072423434</v>
      </c>
      <c r="CC18" s="972">
        <f>IFERROR(__xludf.DUMMYFUNCTION("Iferror(IF(
  IFNA(
    FILTER(
      IMPORTRANGE($F$8,""'Sensitivity [""&amp;IF(CC$3="""",CC$2,CC$2&amp;"", ""&amp;CC$3)&amp;""]'!D1:D20""),
      IMPORTRANGE($F$8,""'Sensitivity [""&amp;IF(CC$3="""",CC$2,CC$2&amp;"", ""&amp;CC$3)&amp;""]'!A1:A20"")=$E18
    ),
    """"
  ) = """",
  "&amp;"""-"",
  CC$5 * ( 1 +
    IFNA(
      FILTER(
        IMPORTRANGE($F$8,""'Sensitivity [""&amp;IF(CC$3="""",CC$2,CC$2&amp;"", ""&amp;CC$3)&amp;""]'!D1:D20""),
        IMPORTRANGE($F$8,""'Sensitivity [""&amp;IF(CC$3="""",CC$2,CC$2&amp;"", ""&amp;CC$3)&amp;""]'!A1:A20"")=$E18
      ),
    "&amp;"  """"
    )
  )
), ""-"")
"),11.990823940693925)</f>
        <v>11.99082394</v>
      </c>
      <c r="CD18" s="993" t="s">
        <v>165</v>
      </c>
      <c r="CE18" s="974">
        <f>IFERROR(__xludf.DUMMYFUNCTION("iferror(IF(
  IFNA(
    FILTER(
      IMPORTRANGE($F$8,""'Sensitivity [""&amp;IF(CC$3="""",CC$2,CC$2&amp;"", ""&amp;CC$3)&amp;""]'!E1:E20""),
      IMPORTRANGE($F$8,""'Sensitivity [""&amp;IF(CC$3="""",CC$2,CC$2&amp;"", ""&amp;CC$3)&amp;""]'!A1:A20"")=$E18
    ),
    """"
  ) = """",
  "&amp;"""-"",
  CC$5 * ( 1 +
    IFNA(
      FILTER(
        IMPORTRANGE($F$8,""'Sensitivity [""&amp;IF(CC$3="""",CC$2,CC$2&amp;"", ""&amp;CC$3)&amp;""]'!E1:E20""),
        IMPORTRANGE($F$8,""'Sensitivity [""&amp;IF(CC$3="""",CC$2,CC$2&amp;"", ""&amp;CC$3)&amp;""]'!A1:A20"")=$E18
      ),
    "&amp;"  """"
    )
  )
), ""-"")
"),30.274406815826847)</f>
        <v>30.27440682</v>
      </c>
      <c r="CF18" s="972">
        <f>IFERROR(__xludf.DUMMYFUNCTION("Iferror(IF(
  IFNA(
    FILTER(
      IMPORTRANGE($F$8,""'Sensitivity [""&amp;IF(CF$3="""",CF$2,CF$2&amp;"", ""&amp;CF$3)&amp;""]'!D1:D20""),
      IMPORTRANGE($F$8,""'Sensitivity [""&amp;IF(CF$3="""",CF$2,CF$2&amp;"", ""&amp;CF$3)&amp;""]'!A1:A20"")=$E18
    ),
    """"
  ) = """",
  "&amp;"""-"",
  CF$5 * ( 1 +
    IFNA(
      FILTER(
        IMPORTRANGE($F$8,""'Sensitivity [""&amp;IF(CF$3="""",CF$2,CF$2&amp;"", ""&amp;CF$3)&amp;""]'!D1:D20""),
        IMPORTRANGE($F$8,""'Sensitivity [""&amp;IF(CF$3="""",CF$2,CF$2&amp;"", ""&amp;CF$3)&amp;""]'!A1:A20"")=$E18
      ),
    "&amp;"  """"
    )
  )
), ""-"")
"),7.3257378426215105)</f>
        <v>7.325737843</v>
      </c>
      <c r="CG18" s="993" t="s">
        <v>165</v>
      </c>
      <c r="CH18" s="974">
        <f>IFERROR(__xludf.DUMMYFUNCTION("iferror(IF(
  IFNA(
    FILTER(
      IMPORTRANGE($F$8,""'Sensitivity [""&amp;IF(CF$3="""",CF$2,CF$2&amp;"", ""&amp;CF$3)&amp;""]'!E1:E20""),
      IMPORTRANGE($F$8,""'Sensitivity [""&amp;IF(CF$3="""",CF$2,CF$2&amp;"", ""&amp;CF$3)&amp;""]'!A1:A20"")=$E18
    ),
    """"
  ) = """",
  "&amp;"""-"",
  CF$5 * ( 1 +
    IFNA(
      FILTER(
        IMPORTRANGE($F$8,""'Sensitivity [""&amp;IF(CF$3="""",CF$2,CF$2&amp;"", ""&amp;CF$3)&amp;""]'!E1:E20""),
        IMPORTRANGE($F$8,""'Sensitivity [""&amp;IF(CF$3="""",CF$2,CF$2&amp;"", ""&amp;CF$3)&amp;""]'!A1:A20"")=$E18
      ),
    "&amp;"  """"
    )
  )
), ""-"")
"),18.78342702867273)</f>
        <v>18.78342703</v>
      </c>
      <c r="CI18" s="972">
        <f>IFERROR(__xludf.DUMMYFUNCTION("Iferror(IF(
  IFNA(
    FILTER(
      IMPORTRANGE($F$8,""'Sensitivity [""&amp;IF(CI$3="""",CI$2,CI$2&amp;"", ""&amp;CI$3)&amp;""]'!D1:D20""),
      IMPORTRANGE($F$8,""'Sensitivity [""&amp;IF(CI$3="""",CI$2,CI$2&amp;"", ""&amp;CI$3)&amp;""]'!A1:A20"")=$E18
    ),
    """"
  ) = """",
  "&amp;"""-"",
  CI$5 * ( 1 +
    IFNA(
      FILTER(
        IMPORTRANGE($F$8,""'Sensitivity [""&amp;IF(CI$3="""",CI$2,CI$2&amp;"", ""&amp;CI$3)&amp;""]'!D1:D20""),
        IMPORTRANGE($F$8,""'Sensitivity [""&amp;IF(CI$3="""",CI$2,CI$2&amp;"", ""&amp;CI$3)&amp;""]'!A1:A20"")=$E18
      ),
    "&amp;"  """"
    )
  )
), ""-"")
"),5.240666094234256)</f>
        <v>5.240666094</v>
      </c>
      <c r="CJ18" s="993" t="s">
        <v>165</v>
      </c>
      <c r="CK18" s="974">
        <f>IFERROR(__xludf.DUMMYFUNCTION("iferror(IF(
  IFNA(
    FILTER(
      IMPORTRANGE($F$8,""'Sensitivity [""&amp;IF(CI$3="""",CI$2,CI$2&amp;"", ""&amp;CI$3)&amp;""]'!E1:E20""),
      IMPORTRANGE($F$8,""'Sensitivity [""&amp;IF(CI$3="""",CI$2,CI$2&amp;"", ""&amp;CI$3)&amp;""]'!A1:A20"")=$E18
    ),
    """"
  ) = """",
  "&amp;"""-"",
  CI$5 * ( 1 +
    IFNA(
      FILTER(
        IMPORTRANGE($F$8,""'Sensitivity [""&amp;IF(CI$3="""",CI$2,CI$2&amp;"", ""&amp;CI$3)&amp;""]'!E1:E20""),
        IMPORTRANGE($F$8,""'Sensitivity [""&amp;IF(CI$3="""",CI$2,CI$2&amp;"", ""&amp;CI$3)&amp;""]'!A1:A20"")=$E18
      ),
    "&amp;"  """"
    )
  )
), ""-"")
"),9.363088021382836)</f>
        <v>9.363088021</v>
      </c>
      <c r="CL18" s="890"/>
    </row>
    <row r="19">
      <c r="A19" s="889"/>
      <c r="B19" s="890"/>
      <c r="C19" s="890"/>
      <c r="D19" s="890"/>
      <c r="E19" s="992" t="str">
        <f t="shared" si="1"/>
        <v>Moral value of averting the death of a person under age five</v>
      </c>
      <c r="F19" s="972" t="str">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f>
        <v>-</v>
      </c>
      <c r="G19" s="993" t="s">
        <v>165</v>
      </c>
      <c r="H19" s="974"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972"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993" t="s">
        <v>165</v>
      </c>
      <c r="K19" s="974"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972"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993" t="s">
        <v>165</v>
      </c>
      <c r="N19" s="974"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972"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993" t="s">
        <v>165</v>
      </c>
      <c r="Q19" s="974"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972"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993" t="s">
        <v>165</v>
      </c>
      <c r="T19" s="974"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972"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993" t="s">
        <v>165</v>
      </c>
      <c r="W19" s="974"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972"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993" t="s">
        <v>165</v>
      </c>
      <c r="Z19" s="974"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972"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993" t="s">
        <v>165</v>
      </c>
      <c r="AC19" s="974"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972"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993" t="s">
        <v>165</v>
      </c>
      <c r="AF19" s="974"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972"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993" t="s">
        <v>165</v>
      </c>
      <c r="AI19" s="974"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972"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993" t="s">
        <v>165</v>
      </c>
      <c r="AL19" s="974"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972"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993" t="s">
        <v>165</v>
      </c>
      <c r="AO19" s="974"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972"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993" t="s">
        <v>165</v>
      </c>
      <c r="AR19" s="974"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972"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993" t="s">
        <v>165</v>
      </c>
      <c r="AU19" s="974"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972"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993" t="s">
        <v>165</v>
      </c>
      <c r="AX19" s="974"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972"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993" t="s">
        <v>165</v>
      </c>
      <c r="BA19" s="974"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972" t="str">
        <f>IFERROR(__xludf.DUMMYFUNCTION("Iferror(IF(
  IFNA(
    FILTER(
      IMPORTRANGE($F$8,""'Sensitivity [""&amp;IF(BB$3="""",BB$2,BB$2&amp;"", ""&amp;BB$3)&amp;""]'!D1:D20""),
      IMPORTRANGE($F$8,""'Sensitivity [""&amp;IF(BB$3="""",BB$2,BB$2&amp;"", ""&amp;BB$3)&amp;""]'!A1:A20"")=$E19
    ),
    """"
  ) = """",
  "&amp;"""-"",
  BB$5 * ( 1 +
    IFNA(
      FILTER(
        IMPORTRANGE($F$8,""'Sensitivity [""&amp;IF(BB$3="""",BB$2,BB$2&amp;"", ""&amp;BB$3)&amp;""]'!D1:D20""),
        IMPORTRANGE($F$8,""'Sensitivity [""&amp;IF(BB$3="""",BB$2,BB$2&amp;"", ""&amp;BB$3)&amp;""]'!A1:A20"")=$E19
      ),
    "&amp;"  """"
    )
  )
), ""-"")
"),"-")</f>
        <v>-</v>
      </c>
      <c r="BC19" s="993" t="s">
        <v>165</v>
      </c>
      <c r="BD19" s="974" t="str">
        <f>IFERROR(__xludf.DUMMYFUNCTION("iferror(IF(
  IFNA(
    FILTER(
      IMPORTRANGE($F$8,""'Sensitivity [""&amp;IF(BB$3="""",BB$2,BB$2&amp;"", ""&amp;BB$3)&amp;""]'!E1:E20""),
      IMPORTRANGE($F$8,""'Sensitivity [""&amp;IF(BB$3="""",BB$2,BB$2&amp;"", ""&amp;BB$3)&amp;""]'!A1:A20"")=$E19
    ),
    """"
  ) = """",
  "&amp;"""-"",
  BB$5 * ( 1 +
    IFNA(
      FILTER(
        IMPORTRANGE($F$8,""'Sensitivity [""&amp;IF(BB$3="""",BB$2,BB$2&amp;"", ""&amp;BB$3)&amp;""]'!E1:E20""),
        IMPORTRANGE($F$8,""'Sensitivity [""&amp;IF(BB$3="""",BB$2,BB$2&amp;"", ""&amp;BB$3)&amp;""]'!A1:A20"")=$E19
      ),
    "&amp;"  """"
    )
  )
), ""-"")
"),"-")</f>
        <v>-</v>
      </c>
      <c r="BE19" s="972" t="str">
        <f>IFERROR(__xludf.DUMMYFUNCTION("Iferror(IF(
  IFNA(
    FILTER(
      IMPORTRANGE($F$8,""'Sensitivity [""&amp;IF(BE$3="""",BE$2,BE$2&amp;"", ""&amp;BE$3)&amp;""]'!D1:D20""),
      IMPORTRANGE($F$8,""'Sensitivity [""&amp;IF(BE$3="""",BE$2,BE$2&amp;"", ""&amp;BE$3)&amp;""]'!A1:A20"")=$E19
    ),
    """"
  ) = """",
  "&amp;"""-"",
  BE$5 * ( 1 +
    IFNA(
      FILTER(
        IMPORTRANGE($F$8,""'Sensitivity [""&amp;IF(BE$3="""",BE$2,BE$2&amp;"", ""&amp;BE$3)&amp;""]'!D1:D20""),
        IMPORTRANGE($F$8,""'Sensitivity [""&amp;IF(BE$3="""",BE$2,BE$2&amp;"", ""&amp;BE$3)&amp;""]'!A1:A20"")=$E19
      ),
    "&amp;"  """"
    )
  )
), ""-"")
"),"-")</f>
        <v>-</v>
      </c>
      <c r="BF19" s="993" t="s">
        <v>165</v>
      </c>
      <c r="BG19" s="974" t="str">
        <f>IFERROR(__xludf.DUMMYFUNCTION("iferror(IF(
  IFNA(
    FILTER(
      IMPORTRANGE($F$8,""'Sensitivity [""&amp;IF(BE$3="""",BE$2,BE$2&amp;"", ""&amp;BE$3)&amp;""]'!E1:E20""),
      IMPORTRANGE($F$8,""'Sensitivity [""&amp;IF(BE$3="""",BE$2,BE$2&amp;"", ""&amp;BE$3)&amp;""]'!A1:A20"")=$E19
    ),
    """"
  ) = """",
  "&amp;"""-"",
  BE$5 * ( 1 +
    IFNA(
      FILTER(
        IMPORTRANGE($F$8,""'Sensitivity [""&amp;IF(BE$3="""",BE$2,BE$2&amp;"", ""&amp;BE$3)&amp;""]'!E1:E20""),
        IMPORTRANGE($F$8,""'Sensitivity [""&amp;IF(BE$3="""",BE$2,BE$2&amp;"", ""&amp;BE$3)&amp;""]'!A1:A20"")=$E19
      ),
    "&amp;"  """"
    )
  )
), ""-"")
"),"-")</f>
        <v>-</v>
      </c>
      <c r="BH19" s="972" t="str">
        <f>IFERROR(__xludf.DUMMYFUNCTION("Iferror(IF(
  IFNA(
    FILTER(
      IMPORTRANGE($F$8,""'Sensitivity [""&amp;IF(BH$3="""",BH$2,BH$2&amp;"", ""&amp;BH$3)&amp;""]'!D1:D20""),
      IMPORTRANGE($F$8,""'Sensitivity [""&amp;IF(BH$3="""",BH$2,BH$2&amp;"", ""&amp;BH$3)&amp;""]'!A1:A20"")=$E19
    ),
    """"
  ) = """",
  "&amp;"""-"",
  BH$5 * ( 1 +
    IFNA(
      FILTER(
        IMPORTRANGE($F$8,""'Sensitivity [""&amp;IF(BH$3="""",BH$2,BH$2&amp;"", ""&amp;BH$3)&amp;""]'!D1:D20""),
        IMPORTRANGE($F$8,""'Sensitivity [""&amp;IF(BH$3="""",BH$2,BH$2&amp;"", ""&amp;BH$3)&amp;""]'!A1:A20"")=$E19
      ),
    "&amp;"  """"
    )
  )
), ""-"")
"),"-")</f>
        <v>-</v>
      </c>
      <c r="BI19" s="993" t="s">
        <v>165</v>
      </c>
      <c r="BJ19" s="974" t="str">
        <f>IFERROR(__xludf.DUMMYFUNCTION("iferror(IF(
  IFNA(
    FILTER(
      IMPORTRANGE($F$8,""'Sensitivity [""&amp;IF(BH$3="""",BH$2,BH$2&amp;"", ""&amp;BH$3)&amp;""]'!E1:E20""),
      IMPORTRANGE($F$8,""'Sensitivity [""&amp;IF(BH$3="""",BH$2,BH$2&amp;"", ""&amp;BH$3)&amp;""]'!A1:A20"")=$E19
    ),
    """"
  ) = """",
  "&amp;"""-"",
  BH$5 * ( 1 +
    IFNA(
      FILTER(
        IMPORTRANGE($F$8,""'Sensitivity [""&amp;IF(BH$3="""",BH$2,BH$2&amp;"", ""&amp;BH$3)&amp;""]'!E1:E20""),
        IMPORTRANGE($F$8,""'Sensitivity [""&amp;IF(BH$3="""",BH$2,BH$2&amp;"", ""&amp;BH$3)&amp;""]'!A1:A20"")=$E19
      ),
    "&amp;"  """"
    )
  )
), ""-"")
"),"-")</f>
        <v>-</v>
      </c>
      <c r="BK19" s="972" t="str">
        <f>IFERROR(__xludf.DUMMYFUNCTION("Iferror(IF(
  IFNA(
    FILTER(
      IMPORTRANGE($F$8,""'Sensitivity [""&amp;IF(BK$3="""",BK$2,BK$2&amp;"", ""&amp;BK$3)&amp;""]'!D1:D20""),
      IMPORTRANGE($F$8,""'Sensitivity [""&amp;IF(BK$3="""",BK$2,BK$2&amp;"", ""&amp;BK$3)&amp;""]'!A1:A20"")=$E19
    ),
    """"
  ) = """",
  "&amp;"""-"",
  BK$5 * ( 1 +
    IFNA(
      FILTER(
        IMPORTRANGE($F$8,""'Sensitivity [""&amp;IF(BK$3="""",BK$2,BK$2&amp;"", ""&amp;BK$3)&amp;""]'!D1:D20""),
        IMPORTRANGE($F$8,""'Sensitivity [""&amp;IF(BK$3="""",BK$2,BK$2&amp;"", ""&amp;BK$3)&amp;""]'!A1:A20"")=$E19
      ),
    "&amp;"  """"
    )
  )
), ""-"")
"),"-")</f>
        <v>-</v>
      </c>
      <c r="BL19" s="993" t="s">
        <v>165</v>
      </c>
      <c r="BM19" s="974" t="str">
        <f>IFERROR(__xludf.DUMMYFUNCTION("iferror(IF(
  IFNA(
    FILTER(
      IMPORTRANGE($F$8,""'Sensitivity [""&amp;IF(BK$3="""",BK$2,BK$2&amp;"", ""&amp;BK$3)&amp;""]'!E1:E20""),
      IMPORTRANGE($F$8,""'Sensitivity [""&amp;IF(BK$3="""",BK$2,BK$2&amp;"", ""&amp;BK$3)&amp;""]'!A1:A20"")=$E19
    ),
    """"
  ) = """",
  "&amp;"""-"",
  BK$5 * ( 1 +
    IFNA(
      FILTER(
        IMPORTRANGE($F$8,""'Sensitivity [""&amp;IF(BK$3="""",BK$2,BK$2&amp;"", ""&amp;BK$3)&amp;""]'!E1:E20""),
        IMPORTRANGE($F$8,""'Sensitivity [""&amp;IF(BK$3="""",BK$2,BK$2&amp;"", ""&amp;BK$3)&amp;""]'!A1:A20"")=$E19
      ),
    "&amp;"  """"
    )
  )
), ""-"")
"),"-")</f>
        <v>-</v>
      </c>
      <c r="BN19" s="972" t="str">
        <f>IFERROR(__xludf.DUMMYFUNCTION("Iferror(IF(
  IFNA(
    FILTER(
      IMPORTRANGE($F$8,""'Sensitivity [""&amp;IF(BN$3="""",BN$2,BN$2&amp;"", ""&amp;BN$3)&amp;""]'!D1:D20""),
      IMPORTRANGE($F$8,""'Sensitivity [""&amp;IF(BN$3="""",BN$2,BN$2&amp;"", ""&amp;BN$3)&amp;""]'!A1:A20"")=$E19
    ),
    """"
  ) = """",
  "&amp;"""-"",
  BN$5 * ( 1 +
    IFNA(
      FILTER(
        IMPORTRANGE($F$8,""'Sensitivity [""&amp;IF(BN$3="""",BN$2,BN$2&amp;"", ""&amp;BN$3)&amp;""]'!D1:D20""),
        IMPORTRANGE($F$8,""'Sensitivity [""&amp;IF(BN$3="""",BN$2,BN$2&amp;"", ""&amp;BN$3)&amp;""]'!A1:A20"")=$E19
      ),
    "&amp;"  """"
    )
  )
), ""-"")
"),"-")</f>
        <v>-</v>
      </c>
      <c r="BO19" s="993" t="s">
        <v>165</v>
      </c>
      <c r="BP19" s="974" t="str">
        <f>IFERROR(__xludf.DUMMYFUNCTION("iferror(IF(
  IFNA(
    FILTER(
      IMPORTRANGE($F$8,""'Sensitivity [""&amp;IF(BN$3="""",BN$2,BN$2&amp;"", ""&amp;BN$3)&amp;""]'!E1:E20""),
      IMPORTRANGE($F$8,""'Sensitivity [""&amp;IF(BN$3="""",BN$2,BN$2&amp;"", ""&amp;BN$3)&amp;""]'!A1:A20"")=$E19
    ),
    """"
  ) = """",
  "&amp;"""-"",
  BN$5 * ( 1 +
    IFNA(
      FILTER(
        IMPORTRANGE($F$8,""'Sensitivity [""&amp;IF(BN$3="""",BN$2,BN$2&amp;"", ""&amp;BN$3)&amp;""]'!E1:E20""),
        IMPORTRANGE($F$8,""'Sensitivity [""&amp;IF(BN$3="""",BN$2,BN$2&amp;"", ""&amp;BN$3)&amp;""]'!A1:A20"")=$E19
      ),
    "&amp;"  """"
    )
  )
), ""-"")
"),"-")</f>
        <v>-</v>
      </c>
      <c r="BQ19" s="972" t="str">
        <f>IFERROR(__xludf.DUMMYFUNCTION("Iferror(IF(
  IFNA(
    FILTER(
      IMPORTRANGE($F$8,""'Sensitivity [""&amp;IF(BQ$3="""",BQ$2,BQ$2&amp;"", ""&amp;BQ$3)&amp;""]'!D1:D20""),
      IMPORTRANGE($F$8,""'Sensitivity [""&amp;IF(BQ$3="""",BQ$2,BQ$2&amp;"", ""&amp;BQ$3)&amp;""]'!A1:A20"")=$E19
    ),
    """"
  ) = """",
  "&amp;"""-"",
  BQ$5 * ( 1 +
    IFNA(
      FILTER(
        IMPORTRANGE($F$8,""'Sensitivity [""&amp;IF(BQ$3="""",BQ$2,BQ$2&amp;"", ""&amp;BQ$3)&amp;""]'!D1:D20""),
        IMPORTRANGE($F$8,""'Sensitivity [""&amp;IF(BQ$3="""",BQ$2,BQ$2&amp;"", ""&amp;BQ$3)&amp;""]'!A1:A20"")=$E19
      ),
    "&amp;"  """"
    )
  )
), ""-"")
"),"-")</f>
        <v>-</v>
      </c>
      <c r="BR19" s="993" t="s">
        <v>165</v>
      </c>
      <c r="BS19" s="974" t="str">
        <f>IFERROR(__xludf.DUMMYFUNCTION("iferror(IF(
  IFNA(
    FILTER(
      IMPORTRANGE($F$8,""'Sensitivity [""&amp;IF(BQ$3="""",BQ$2,BQ$2&amp;"", ""&amp;BQ$3)&amp;""]'!E1:E20""),
      IMPORTRANGE($F$8,""'Sensitivity [""&amp;IF(BQ$3="""",BQ$2,BQ$2&amp;"", ""&amp;BQ$3)&amp;""]'!A1:A20"")=$E19
    ),
    """"
  ) = """",
  "&amp;"""-"",
  BQ$5 * ( 1 +
    IFNA(
      FILTER(
        IMPORTRANGE($F$8,""'Sensitivity [""&amp;IF(BQ$3="""",BQ$2,BQ$2&amp;"", ""&amp;BQ$3)&amp;""]'!E1:E20""),
        IMPORTRANGE($F$8,""'Sensitivity [""&amp;IF(BQ$3="""",BQ$2,BQ$2&amp;"", ""&amp;BQ$3)&amp;""]'!A1:A20"")=$E19
      ),
    "&amp;"  """"
    )
  )
), ""-"")
"),"-")</f>
        <v>-</v>
      </c>
      <c r="BT19" s="972" t="str">
        <f>IFERROR(__xludf.DUMMYFUNCTION("Iferror(IF(
  IFNA(
    FILTER(
      IMPORTRANGE($F$8,""'Sensitivity [""&amp;IF(BT$3="""",BT$2,BT$2&amp;"", ""&amp;BT$3)&amp;""]'!D1:D20""),
      IMPORTRANGE($F$8,""'Sensitivity [""&amp;IF(BT$3="""",BT$2,BT$2&amp;"", ""&amp;BT$3)&amp;""]'!A1:A20"")=$E19
    ),
    """"
  ) = """",
  "&amp;"""-"",
  BT$5 * ( 1 +
    IFNA(
      FILTER(
        IMPORTRANGE($F$8,""'Sensitivity [""&amp;IF(BT$3="""",BT$2,BT$2&amp;"", ""&amp;BT$3)&amp;""]'!D1:D20""),
        IMPORTRANGE($F$8,""'Sensitivity [""&amp;IF(BT$3="""",BT$2,BT$2&amp;"", ""&amp;BT$3)&amp;""]'!A1:A20"")=$E19
      ),
    "&amp;"  """"
    )
  )
), ""-"")
"),"-")</f>
        <v>-</v>
      </c>
      <c r="BU19" s="993" t="s">
        <v>165</v>
      </c>
      <c r="BV19" s="974" t="str">
        <f>IFERROR(__xludf.DUMMYFUNCTION("iferror(IF(
  IFNA(
    FILTER(
      IMPORTRANGE($F$8,""'Sensitivity [""&amp;IF(BT$3="""",BT$2,BT$2&amp;"", ""&amp;BT$3)&amp;""]'!E1:E20""),
      IMPORTRANGE($F$8,""'Sensitivity [""&amp;IF(BT$3="""",BT$2,BT$2&amp;"", ""&amp;BT$3)&amp;""]'!A1:A20"")=$E19
    ),
    """"
  ) = """",
  "&amp;"""-"",
  BT$5 * ( 1 +
    IFNA(
      FILTER(
        IMPORTRANGE($F$8,""'Sensitivity [""&amp;IF(BT$3="""",BT$2,BT$2&amp;"", ""&amp;BT$3)&amp;""]'!E1:E20""),
        IMPORTRANGE($F$8,""'Sensitivity [""&amp;IF(BT$3="""",BT$2,BT$2&amp;"", ""&amp;BT$3)&amp;""]'!A1:A20"")=$E19
      ),
    "&amp;"  """"
    )
  )
), ""-"")
"),"-")</f>
        <v>-</v>
      </c>
      <c r="BW19" s="972" t="str">
        <f>IFERROR(__xludf.DUMMYFUNCTION("Iferror(IF(
  IFNA(
    FILTER(
      IMPORTRANGE($F$8,""'Sensitivity [""&amp;IF(BW$3="""",BW$2,BW$2&amp;"", ""&amp;BW$3)&amp;""]'!D1:D20""),
      IMPORTRANGE($F$8,""'Sensitivity [""&amp;IF(BW$3="""",BW$2,BW$2&amp;"", ""&amp;BW$3)&amp;""]'!A1:A20"")=$E19
    ),
    """"
  ) = """",
  "&amp;"""-"",
  BW$5 * ( 1 +
    IFNA(
      FILTER(
        IMPORTRANGE($F$8,""'Sensitivity [""&amp;IF(BW$3="""",BW$2,BW$2&amp;"", ""&amp;BW$3)&amp;""]'!D1:D20""),
        IMPORTRANGE($F$8,""'Sensitivity [""&amp;IF(BW$3="""",BW$2,BW$2&amp;"", ""&amp;BW$3)&amp;""]'!A1:A20"")=$E19
      ),
    "&amp;"  """"
    )
  )
), ""-"")
"),"-")</f>
        <v>-</v>
      </c>
      <c r="BX19" s="993" t="s">
        <v>165</v>
      </c>
      <c r="BY19" s="974" t="str">
        <f>IFERROR(__xludf.DUMMYFUNCTION("iferror(IF(
  IFNA(
    FILTER(
      IMPORTRANGE($F$8,""'Sensitivity [""&amp;IF(BW$3="""",BW$2,BW$2&amp;"", ""&amp;BW$3)&amp;""]'!E1:E20""),
      IMPORTRANGE($F$8,""'Sensitivity [""&amp;IF(BW$3="""",BW$2,BW$2&amp;"", ""&amp;BW$3)&amp;""]'!A1:A20"")=$E19
    ),
    """"
  ) = """",
  "&amp;"""-"",
  BW$5 * ( 1 +
    IFNA(
      FILTER(
        IMPORTRANGE($F$8,""'Sensitivity [""&amp;IF(BW$3="""",BW$2,BW$2&amp;"", ""&amp;BW$3)&amp;""]'!E1:E20""),
        IMPORTRANGE($F$8,""'Sensitivity [""&amp;IF(BW$3="""",BW$2,BW$2&amp;"", ""&amp;BW$3)&amp;""]'!A1:A20"")=$E19
      ),
    "&amp;"  """"
    )
  )
), ""-"")
"),"-")</f>
        <v>-</v>
      </c>
      <c r="BZ19" s="972" t="str">
        <f>IFERROR(__xludf.DUMMYFUNCTION("Iferror(IF(
  IFNA(
    FILTER(
      IMPORTRANGE($F$8,""'Sensitivity [""&amp;IF(BZ$3="""",BZ$2,BZ$2&amp;"", ""&amp;BZ$3)&amp;""]'!D1:D20""),
      IMPORTRANGE($F$8,""'Sensitivity [""&amp;IF(BZ$3="""",BZ$2,BZ$2&amp;"", ""&amp;BZ$3)&amp;""]'!A1:A20"")=$E19
    ),
    """"
  ) = """",
  "&amp;"""-"",
  BZ$5 * ( 1 +
    IFNA(
      FILTER(
        IMPORTRANGE($F$8,""'Sensitivity [""&amp;IF(BZ$3="""",BZ$2,BZ$2&amp;"", ""&amp;BZ$3)&amp;""]'!D1:D20""),
        IMPORTRANGE($F$8,""'Sensitivity [""&amp;IF(BZ$3="""",BZ$2,BZ$2&amp;"", ""&amp;BZ$3)&amp;""]'!A1:A20"")=$E19
      ),
    "&amp;"  """"
    )
  )
), ""-"")
"),"-")</f>
        <v>-</v>
      </c>
      <c r="CA19" s="993" t="s">
        <v>165</v>
      </c>
      <c r="CB19" s="974" t="str">
        <f>IFERROR(__xludf.DUMMYFUNCTION("iferror(IF(
  IFNA(
    FILTER(
      IMPORTRANGE($F$8,""'Sensitivity [""&amp;IF(BZ$3="""",BZ$2,BZ$2&amp;"", ""&amp;BZ$3)&amp;""]'!E1:E20""),
      IMPORTRANGE($F$8,""'Sensitivity [""&amp;IF(BZ$3="""",BZ$2,BZ$2&amp;"", ""&amp;BZ$3)&amp;""]'!A1:A20"")=$E19
    ),
    """"
  ) = """",
  "&amp;"""-"",
  BZ$5 * ( 1 +
    IFNA(
      FILTER(
        IMPORTRANGE($F$8,""'Sensitivity [""&amp;IF(BZ$3="""",BZ$2,BZ$2&amp;"", ""&amp;BZ$3)&amp;""]'!E1:E20""),
        IMPORTRANGE($F$8,""'Sensitivity [""&amp;IF(BZ$3="""",BZ$2,BZ$2&amp;"", ""&amp;BZ$3)&amp;""]'!A1:A20"")=$E19
      ),
    "&amp;"  """"
    )
  )
), ""-"")
"),"-")</f>
        <v>-</v>
      </c>
      <c r="CC19" s="972" t="str">
        <f>IFERROR(__xludf.DUMMYFUNCTION("Iferror(IF(
  IFNA(
    FILTER(
      IMPORTRANGE($F$8,""'Sensitivity [""&amp;IF(CC$3="""",CC$2,CC$2&amp;"", ""&amp;CC$3)&amp;""]'!D1:D20""),
      IMPORTRANGE($F$8,""'Sensitivity [""&amp;IF(CC$3="""",CC$2,CC$2&amp;"", ""&amp;CC$3)&amp;""]'!A1:A20"")=$E19
    ),
    """"
  ) = """",
  "&amp;"""-"",
  CC$5 * ( 1 +
    IFNA(
      FILTER(
        IMPORTRANGE($F$8,""'Sensitivity [""&amp;IF(CC$3="""",CC$2,CC$2&amp;"", ""&amp;CC$3)&amp;""]'!D1:D20""),
        IMPORTRANGE($F$8,""'Sensitivity [""&amp;IF(CC$3="""",CC$2,CC$2&amp;"", ""&amp;CC$3)&amp;""]'!A1:A20"")=$E19
      ),
    "&amp;"  """"
    )
  )
), ""-"")
"),"-")</f>
        <v>-</v>
      </c>
      <c r="CD19" s="993" t="s">
        <v>165</v>
      </c>
      <c r="CE19" s="974" t="str">
        <f>IFERROR(__xludf.DUMMYFUNCTION("iferror(IF(
  IFNA(
    FILTER(
      IMPORTRANGE($F$8,""'Sensitivity [""&amp;IF(CC$3="""",CC$2,CC$2&amp;"", ""&amp;CC$3)&amp;""]'!E1:E20""),
      IMPORTRANGE($F$8,""'Sensitivity [""&amp;IF(CC$3="""",CC$2,CC$2&amp;"", ""&amp;CC$3)&amp;""]'!A1:A20"")=$E19
    ),
    """"
  ) = """",
  "&amp;"""-"",
  CC$5 * ( 1 +
    IFNA(
      FILTER(
        IMPORTRANGE($F$8,""'Sensitivity [""&amp;IF(CC$3="""",CC$2,CC$2&amp;"", ""&amp;CC$3)&amp;""]'!E1:E20""),
        IMPORTRANGE($F$8,""'Sensitivity [""&amp;IF(CC$3="""",CC$2,CC$2&amp;"", ""&amp;CC$3)&amp;""]'!A1:A20"")=$E19
      ),
    "&amp;"  """"
    )
  )
), ""-"")
"),"-")</f>
        <v>-</v>
      </c>
      <c r="CF19" s="972" t="str">
        <f>IFERROR(__xludf.DUMMYFUNCTION("Iferror(IF(
  IFNA(
    FILTER(
      IMPORTRANGE($F$8,""'Sensitivity [""&amp;IF(CF$3="""",CF$2,CF$2&amp;"", ""&amp;CF$3)&amp;""]'!D1:D20""),
      IMPORTRANGE($F$8,""'Sensitivity [""&amp;IF(CF$3="""",CF$2,CF$2&amp;"", ""&amp;CF$3)&amp;""]'!A1:A20"")=$E19
    ),
    """"
  ) = """",
  "&amp;"""-"",
  CF$5 * ( 1 +
    IFNA(
      FILTER(
        IMPORTRANGE($F$8,""'Sensitivity [""&amp;IF(CF$3="""",CF$2,CF$2&amp;"", ""&amp;CF$3)&amp;""]'!D1:D20""),
        IMPORTRANGE($F$8,""'Sensitivity [""&amp;IF(CF$3="""",CF$2,CF$2&amp;"", ""&amp;CF$3)&amp;""]'!A1:A20"")=$E19
      ),
    "&amp;"  """"
    )
  )
), ""-"")
"),"-")</f>
        <v>-</v>
      </c>
      <c r="CG19" s="993" t="s">
        <v>165</v>
      </c>
      <c r="CH19" s="974" t="str">
        <f>IFERROR(__xludf.DUMMYFUNCTION("iferror(IF(
  IFNA(
    FILTER(
      IMPORTRANGE($F$8,""'Sensitivity [""&amp;IF(CF$3="""",CF$2,CF$2&amp;"", ""&amp;CF$3)&amp;""]'!E1:E20""),
      IMPORTRANGE($F$8,""'Sensitivity [""&amp;IF(CF$3="""",CF$2,CF$2&amp;"", ""&amp;CF$3)&amp;""]'!A1:A20"")=$E19
    ),
    """"
  ) = """",
  "&amp;"""-"",
  CF$5 * ( 1 +
    IFNA(
      FILTER(
        IMPORTRANGE($F$8,""'Sensitivity [""&amp;IF(CF$3="""",CF$2,CF$2&amp;"", ""&amp;CF$3)&amp;""]'!E1:E20""),
        IMPORTRANGE($F$8,""'Sensitivity [""&amp;IF(CF$3="""",CF$2,CF$2&amp;"", ""&amp;CF$3)&amp;""]'!A1:A20"")=$E19
      ),
    "&amp;"  """"
    )
  )
), ""-"")
"),"-")</f>
        <v>-</v>
      </c>
      <c r="CI19" s="972" t="str">
        <f>IFERROR(__xludf.DUMMYFUNCTION("Iferror(IF(
  IFNA(
    FILTER(
      IMPORTRANGE($F$8,""'Sensitivity [""&amp;IF(CI$3="""",CI$2,CI$2&amp;"", ""&amp;CI$3)&amp;""]'!D1:D20""),
      IMPORTRANGE($F$8,""'Sensitivity [""&amp;IF(CI$3="""",CI$2,CI$2&amp;"", ""&amp;CI$3)&amp;""]'!A1:A20"")=$E19
    ),
    """"
  ) = """",
  "&amp;"""-"",
  CI$5 * ( 1 +
    IFNA(
      FILTER(
        IMPORTRANGE($F$8,""'Sensitivity [""&amp;IF(CI$3="""",CI$2,CI$2&amp;"", ""&amp;CI$3)&amp;""]'!D1:D20""),
        IMPORTRANGE($F$8,""'Sensitivity [""&amp;IF(CI$3="""",CI$2,CI$2&amp;"", ""&amp;CI$3)&amp;""]'!A1:A20"")=$E19
      ),
    "&amp;"  """"
    )
  )
), ""-"")
"),"-")</f>
        <v>-</v>
      </c>
      <c r="CJ19" s="993" t="s">
        <v>165</v>
      </c>
      <c r="CK19" s="974" t="str">
        <f>IFERROR(__xludf.DUMMYFUNCTION("iferror(IF(
  IFNA(
    FILTER(
      IMPORTRANGE($F$8,""'Sensitivity [""&amp;IF(CI$3="""",CI$2,CI$2&amp;"", ""&amp;CI$3)&amp;""]'!E1:E20""),
      IMPORTRANGE($F$8,""'Sensitivity [""&amp;IF(CI$3="""",CI$2,CI$2&amp;"", ""&amp;CI$3)&amp;""]'!A1:A20"")=$E19
    ),
    """"
  ) = """",
  "&amp;"""-"",
  CI$5 * ( 1 +
    IFNA(
      FILTER(
        IMPORTRANGE($F$8,""'Sensitivity [""&amp;IF(CI$3="""",CI$2,CI$2&amp;"", ""&amp;CI$3)&amp;""]'!E1:E20""),
        IMPORTRANGE($F$8,""'Sensitivity [""&amp;IF(CI$3="""",CI$2,CI$2&amp;"", ""&amp;CI$3)&amp;""]'!A1:A20"")=$E19
      ),
    "&amp;"  """"
    )
  )
), ""-"")
"),"-")</f>
        <v>-</v>
      </c>
      <c r="CL19" s="198"/>
    </row>
    <row r="20">
      <c r="A20" s="889"/>
      <c r="B20" s="890"/>
      <c r="C20" s="890"/>
      <c r="D20" s="890"/>
      <c r="E20" s="598" t="s">
        <v>339</v>
      </c>
      <c r="F20" s="972" t="str">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f>
        <v>-</v>
      </c>
      <c r="G20" s="993" t="s">
        <v>165</v>
      </c>
      <c r="H20" s="974" t="str">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f>
        <v>-</v>
      </c>
      <c r="I20" s="972" t="str">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f>
        <v>-</v>
      </c>
      <c r="J20" s="993" t="s">
        <v>165</v>
      </c>
      <c r="K20" s="974" t="str">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f>
        <v>-</v>
      </c>
      <c r="L20" s="972" t="str">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f>
        <v>-</v>
      </c>
      <c r="M20" s="993" t="s">
        <v>165</v>
      </c>
      <c r="N20" s="974" t="str">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f>
        <v>-</v>
      </c>
      <c r="O20" s="972" t="str">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f>
        <v>-</v>
      </c>
      <c r="P20" s="993" t="s">
        <v>165</v>
      </c>
      <c r="Q20" s="974" t="str">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f>
        <v>-</v>
      </c>
      <c r="R20" s="972" t="str">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f>
        <v>-</v>
      </c>
      <c r="S20" s="993" t="s">
        <v>165</v>
      </c>
      <c r="T20" s="974" t="str">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f>
        <v>-</v>
      </c>
      <c r="U20" s="972" t="str">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f>
        <v>-</v>
      </c>
      <c r="V20" s="993" t="s">
        <v>165</v>
      </c>
      <c r="W20" s="974" t="str">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f>
        <v>-</v>
      </c>
      <c r="X20" s="972" t="str">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f>
        <v>-</v>
      </c>
      <c r="Y20" s="993" t="s">
        <v>165</v>
      </c>
      <c r="Z20" s="974" t="str">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f>
        <v>-</v>
      </c>
      <c r="AA20" s="972" t="str">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f>
        <v>-</v>
      </c>
      <c r="AB20" s="993" t="s">
        <v>165</v>
      </c>
      <c r="AC20" s="974" t="str">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f>
        <v>-</v>
      </c>
      <c r="AD20" s="972" t="str">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f>
        <v>-</v>
      </c>
      <c r="AE20" s="993" t="s">
        <v>165</v>
      </c>
      <c r="AF20" s="974" t="str">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f>
        <v>-</v>
      </c>
      <c r="AG20" s="972" t="str">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f>
        <v>-</v>
      </c>
      <c r="AH20" s="993" t="s">
        <v>165</v>
      </c>
      <c r="AI20" s="974" t="str">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f>
        <v>-</v>
      </c>
      <c r="AJ20" s="972" t="str">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f>
        <v>-</v>
      </c>
      <c r="AK20" s="993" t="s">
        <v>165</v>
      </c>
      <c r="AL20" s="974" t="str">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f>
        <v>-</v>
      </c>
      <c r="AM20" s="972" t="str">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f>
        <v>-</v>
      </c>
      <c r="AN20" s="993" t="s">
        <v>165</v>
      </c>
      <c r="AO20" s="974" t="str">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f>
        <v>-</v>
      </c>
      <c r="AP20" s="972" t="str">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f>
        <v>-</v>
      </c>
      <c r="AQ20" s="993" t="s">
        <v>165</v>
      </c>
      <c r="AR20" s="974" t="str">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f>
        <v>-</v>
      </c>
      <c r="AS20" s="972" t="str">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f>
        <v>-</v>
      </c>
      <c r="AT20" s="993" t="s">
        <v>165</v>
      </c>
      <c r="AU20" s="974" t="str">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f>
        <v>-</v>
      </c>
      <c r="AV20" s="972" t="str">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f>
        <v>-</v>
      </c>
      <c r="AW20" s="993" t="s">
        <v>165</v>
      </c>
      <c r="AX20" s="974" t="str">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f>
        <v>-</v>
      </c>
      <c r="AY20" s="972" t="str">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f>
        <v>-</v>
      </c>
      <c r="AZ20" s="993" t="s">
        <v>165</v>
      </c>
      <c r="BA20" s="974" t="str">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f>
        <v>-</v>
      </c>
      <c r="BB20" s="972" t="str">
        <f>IFERROR(__xludf.DUMMYFUNCTION("Iferror(IF(
  IFNA(
    FILTER(
      IMPORTRANGE($F$8,""'Sensitivity [""&amp;IF(BB$3="""",BB$2,BB$2&amp;"", ""&amp;BB$3)&amp;""]'!D1:D20""),
      IMPORTRANGE($F$8,""'Sensitivity [""&amp;IF(BB$3="""",BB$2,BB$2&amp;"", ""&amp;BB$3)&amp;""]'!A1:A20"")=$E20
    ),
    """"
  ) = """",
  "&amp;"""-"",
  BB$5 * ( 1 +
    IFNA(
      FILTER(
        IMPORTRANGE($F$8,""'Sensitivity [""&amp;IF(BB$3="""",BB$2,BB$2&amp;"", ""&amp;BB$3)&amp;""]'!D1:D20""),
        IMPORTRANGE($F$8,""'Sensitivity [""&amp;IF(BB$3="""",BB$2,BB$2&amp;"", ""&amp;BB$3)&amp;""]'!A1:A20"")=$E20
      ),
    "&amp;"  """"
    )
  )
), ""-"")
"),"-")</f>
        <v>-</v>
      </c>
      <c r="BC20" s="993" t="s">
        <v>165</v>
      </c>
      <c r="BD20" s="974" t="str">
        <f>IFERROR(__xludf.DUMMYFUNCTION("iferror(IF(
  IFNA(
    FILTER(
      IMPORTRANGE($F$8,""'Sensitivity [""&amp;IF(BB$3="""",BB$2,BB$2&amp;"", ""&amp;BB$3)&amp;""]'!E1:E20""),
      IMPORTRANGE($F$8,""'Sensitivity [""&amp;IF(BB$3="""",BB$2,BB$2&amp;"", ""&amp;BB$3)&amp;""]'!A1:A20"")=$E20
    ),
    """"
  ) = """",
  "&amp;"""-"",
  BB$5 * ( 1 +
    IFNA(
      FILTER(
        IMPORTRANGE($F$8,""'Sensitivity [""&amp;IF(BB$3="""",BB$2,BB$2&amp;"", ""&amp;BB$3)&amp;""]'!E1:E20""),
        IMPORTRANGE($F$8,""'Sensitivity [""&amp;IF(BB$3="""",BB$2,BB$2&amp;"", ""&amp;BB$3)&amp;""]'!A1:A20"")=$E20
      ),
    "&amp;"  """"
    )
  )
), ""-"")
"),"-")</f>
        <v>-</v>
      </c>
      <c r="BE20" s="972" t="str">
        <f>IFERROR(__xludf.DUMMYFUNCTION("Iferror(IF(
  IFNA(
    FILTER(
      IMPORTRANGE($F$8,""'Sensitivity [""&amp;IF(BE$3="""",BE$2,BE$2&amp;"", ""&amp;BE$3)&amp;""]'!D1:D20""),
      IMPORTRANGE($F$8,""'Sensitivity [""&amp;IF(BE$3="""",BE$2,BE$2&amp;"", ""&amp;BE$3)&amp;""]'!A1:A20"")=$E20
    ),
    """"
  ) = """",
  "&amp;"""-"",
  BE$5 * ( 1 +
    IFNA(
      FILTER(
        IMPORTRANGE($F$8,""'Sensitivity [""&amp;IF(BE$3="""",BE$2,BE$2&amp;"", ""&amp;BE$3)&amp;""]'!D1:D20""),
        IMPORTRANGE($F$8,""'Sensitivity [""&amp;IF(BE$3="""",BE$2,BE$2&amp;"", ""&amp;BE$3)&amp;""]'!A1:A20"")=$E20
      ),
    "&amp;"  """"
    )
  )
), ""-"")
"),"-")</f>
        <v>-</v>
      </c>
      <c r="BF20" s="993" t="s">
        <v>165</v>
      </c>
      <c r="BG20" s="974" t="str">
        <f>IFERROR(__xludf.DUMMYFUNCTION("iferror(IF(
  IFNA(
    FILTER(
      IMPORTRANGE($F$8,""'Sensitivity [""&amp;IF(BE$3="""",BE$2,BE$2&amp;"", ""&amp;BE$3)&amp;""]'!E1:E20""),
      IMPORTRANGE($F$8,""'Sensitivity [""&amp;IF(BE$3="""",BE$2,BE$2&amp;"", ""&amp;BE$3)&amp;""]'!A1:A20"")=$E20
    ),
    """"
  ) = """",
  "&amp;"""-"",
  BE$5 * ( 1 +
    IFNA(
      FILTER(
        IMPORTRANGE($F$8,""'Sensitivity [""&amp;IF(BE$3="""",BE$2,BE$2&amp;"", ""&amp;BE$3)&amp;""]'!E1:E20""),
        IMPORTRANGE($F$8,""'Sensitivity [""&amp;IF(BE$3="""",BE$2,BE$2&amp;"", ""&amp;BE$3)&amp;""]'!A1:A20"")=$E20
      ),
    "&amp;"  """"
    )
  )
), ""-"")
"),"-")</f>
        <v>-</v>
      </c>
      <c r="BH20" s="972" t="str">
        <f>IFERROR(__xludf.DUMMYFUNCTION("Iferror(IF(
  IFNA(
    FILTER(
      IMPORTRANGE($F$8,""'Sensitivity [""&amp;IF(BH$3="""",BH$2,BH$2&amp;"", ""&amp;BH$3)&amp;""]'!D1:D20""),
      IMPORTRANGE($F$8,""'Sensitivity [""&amp;IF(BH$3="""",BH$2,BH$2&amp;"", ""&amp;BH$3)&amp;""]'!A1:A20"")=$E20
    ),
    """"
  ) = """",
  "&amp;"""-"",
  BH$5 * ( 1 +
    IFNA(
      FILTER(
        IMPORTRANGE($F$8,""'Sensitivity [""&amp;IF(BH$3="""",BH$2,BH$2&amp;"", ""&amp;BH$3)&amp;""]'!D1:D20""),
        IMPORTRANGE($F$8,""'Sensitivity [""&amp;IF(BH$3="""",BH$2,BH$2&amp;"", ""&amp;BH$3)&amp;""]'!A1:A20"")=$E20
      ),
    "&amp;"  """"
    )
  )
), ""-"")
"),"-")</f>
        <v>-</v>
      </c>
      <c r="BI20" s="993" t="s">
        <v>165</v>
      </c>
      <c r="BJ20" s="974" t="str">
        <f>IFERROR(__xludf.DUMMYFUNCTION("iferror(IF(
  IFNA(
    FILTER(
      IMPORTRANGE($F$8,""'Sensitivity [""&amp;IF(BH$3="""",BH$2,BH$2&amp;"", ""&amp;BH$3)&amp;""]'!E1:E20""),
      IMPORTRANGE($F$8,""'Sensitivity [""&amp;IF(BH$3="""",BH$2,BH$2&amp;"", ""&amp;BH$3)&amp;""]'!A1:A20"")=$E20
    ),
    """"
  ) = """",
  "&amp;"""-"",
  BH$5 * ( 1 +
    IFNA(
      FILTER(
        IMPORTRANGE($F$8,""'Sensitivity [""&amp;IF(BH$3="""",BH$2,BH$2&amp;"", ""&amp;BH$3)&amp;""]'!E1:E20""),
        IMPORTRANGE($F$8,""'Sensitivity [""&amp;IF(BH$3="""",BH$2,BH$2&amp;"", ""&amp;BH$3)&amp;""]'!A1:A20"")=$E20
      ),
    "&amp;"  """"
    )
  )
), ""-"")
"),"-")</f>
        <v>-</v>
      </c>
      <c r="BK20" s="972" t="str">
        <f>IFERROR(__xludf.DUMMYFUNCTION("Iferror(IF(
  IFNA(
    FILTER(
      IMPORTRANGE($F$8,""'Sensitivity [""&amp;IF(BK$3="""",BK$2,BK$2&amp;"", ""&amp;BK$3)&amp;""]'!D1:D20""),
      IMPORTRANGE($F$8,""'Sensitivity [""&amp;IF(BK$3="""",BK$2,BK$2&amp;"", ""&amp;BK$3)&amp;""]'!A1:A20"")=$E20
    ),
    """"
  ) = """",
  "&amp;"""-"",
  BK$5 * ( 1 +
    IFNA(
      FILTER(
        IMPORTRANGE($F$8,""'Sensitivity [""&amp;IF(BK$3="""",BK$2,BK$2&amp;"", ""&amp;BK$3)&amp;""]'!D1:D20""),
        IMPORTRANGE($F$8,""'Sensitivity [""&amp;IF(BK$3="""",BK$2,BK$2&amp;"", ""&amp;BK$3)&amp;""]'!A1:A20"")=$E20
      ),
    "&amp;"  """"
    )
  )
), ""-"")
"),"-")</f>
        <v>-</v>
      </c>
      <c r="BL20" s="993" t="s">
        <v>165</v>
      </c>
      <c r="BM20" s="974" t="str">
        <f>IFERROR(__xludf.DUMMYFUNCTION("iferror(IF(
  IFNA(
    FILTER(
      IMPORTRANGE($F$8,""'Sensitivity [""&amp;IF(BK$3="""",BK$2,BK$2&amp;"", ""&amp;BK$3)&amp;""]'!E1:E20""),
      IMPORTRANGE($F$8,""'Sensitivity [""&amp;IF(BK$3="""",BK$2,BK$2&amp;"", ""&amp;BK$3)&amp;""]'!A1:A20"")=$E20
    ),
    """"
  ) = """",
  "&amp;"""-"",
  BK$5 * ( 1 +
    IFNA(
      FILTER(
        IMPORTRANGE($F$8,""'Sensitivity [""&amp;IF(BK$3="""",BK$2,BK$2&amp;"", ""&amp;BK$3)&amp;""]'!E1:E20""),
        IMPORTRANGE($F$8,""'Sensitivity [""&amp;IF(BK$3="""",BK$2,BK$2&amp;"", ""&amp;BK$3)&amp;""]'!A1:A20"")=$E20
      ),
    "&amp;"  """"
    )
  )
), ""-"")
"),"-")</f>
        <v>-</v>
      </c>
      <c r="BN20" s="972" t="str">
        <f>IFERROR(__xludf.DUMMYFUNCTION("Iferror(IF(
  IFNA(
    FILTER(
      IMPORTRANGE($F$8,""'Sensitivity [""&amp;IF(BN$3="""",BN$2,BN$2&amp;"", ""&amp;BN$3)&amp;""]'!D1:D20""),
      IMPORTRANGE($F$8,""'Sensitivity [""&amp;IF(BN$3="""",BN$2,BN$2&amp;"", ""&amp;BN$3)&amp;""]'!A1:A20"")=$E20
    ),
    """"
  ) = """",
  "&amp;"""-"",
  BN$5 * ( 1 +
    IFNA(
      FILTER(
        IMPORTRANGE($F$8,""'Sensitivity [""&amp;IF(BN$3="""",BN$2,BN$2&amp;"", ""&amp;BN$3)&amp;""]'!D1:D20""),
        IMPORTRANGE($F$8,""'Sensitivity [""&amp;IF(BN$3="""",BN$2,BN$2&amp;"", ""&amp;BN$3)&amp;""]'!A1:A20"")=$E20
      ),
    "&amp;"  """"
    )
  )
), ""-"")
"),"-")</f>
        <v>-</v>
      </c>
      <c r="BO20" s="993" t="s">
        <v>165</v>
      </c>
      <c r="BP20" s="974" t="str">
        <f>IFERROR(__xludf.DUMMYFUNCTION("iferror(IF(
  IFNA(
    FILTER(
      IMPORTRANGE($F$8,""'Sensitivity [""&amp;IF(BN$3="""",BN$2,BN$2&amp;"", ""&amp;BN$3)&amp;""]'!E1:E20""),
      IMPORTRANGE($F$8,""'Sensitivity [""&amp;IF(BN$3="""",BN$2,BN$2&amp;"", ""&amp;BN$3)&amp;""]'!A1:A20"")=$E20
    ),
    """"
  ) = """",
  "&amp;"""-"",
  BN$5 * ( 1 +
    IFNA(
      FILTER(
        IMPORTRANGE($F$8,""'Sensitivity [""&amp;IF(BN$3="""",BN$2,BN$2&amp;"", ""&amp;BN$3)&amp;""]'!E1:E20""),
        IMPORTRANGE($F$8,""'Sensitivity [""&amp;IF(BN$3="""",BN$2,BN$2&amp;"", ""&amp;BN$3)&amp;""]'!A1:A20"")=$E20
      ),
    "&amp;"  """"
    )
  )
), ""-"")
"),"-")</f>
        <v>-</v>
      </c>
      <c r="BQ20" s="972" t="str">
        <f>IFERROR(__xludf.DUMMYFUNCTION("Iferror(IF(
  IFNA(
    FILTER(
      IMPORTRANGE($F$8,""'Sensitivity [""&amp;IF(BQ$3="""",BQ$2,BQ$2&amp;"", ""&amp;BQ$3)&amp;""]'!D1:D20""),
      IMPORTRANGE($F$8,""'Sensitivity [""&amp;IF(BQ$3="""",BQ$2,BQ$2&amp;"", ""&amp;BQ$3)&amp;""]'!A1:A20"")=$E20
    ),
    """"
  ) = """",
  "&amp;"""-"",
  BQ$5 * ( 1 +
    IFNA(
      FILTER(
        IMPORTRANGE($F$8,""'Sensitivity [""&amp;IF(BQ$3="""",BQ$2,BQ$2&amp;"", ""&amp;BQ$3)&amp;""]'!D1:D20""),
        IMPORTRANGE($F$8,""'Sensitivity [""&amp;IF(BQ$3="""",BQ$2,BQ$2&amp;"", ""&amp;BQ$3)&amp;""]'!A1:A20"")=$E20
      ),
    "&amp;"  """"
    )
  )
), ""-"")
"),"-")</f>
        <v>-</v>
      </c>
      <c r="BR20" s="993" t="s">
        <v>165</v>
      </c>
      <c r="BS20" s="974" t="str">
        <f>IFERROR(__xludf.DUMMYFUNCTION("iferror(IF(
  IFNA(
    FILTER(
      IMPORTRANGE($F$8,""'Sensitivity [""&amp;IF(BQ$3="""",BQ$2,BQ$2&amp;"", ""&amp;BQ$3)&amp;""]'!E1:E20""),
      IMPORTRANGE($F$8,""'Sensitivity [""&amp;IF(BQ$3="""",BQ$2,BQ$2&amp;"", ""&amp;BQ$3)&amp;""]'!A1:A20"")=$E20
    ),
    """"
  ) = """",
  "&amp;"""-"",
  BQ$5 * ( 1 +
    IFNA(
      FILTER(
        IMPORTRANGE($F$8,""'Sensitivity [""&amp;IF(BQ$3="""",BQ$2,BQ$2&amp;"", ""&amp;BQ$3)&amp;""]'!E1:E20""),
        IMPORTRANGE($F$8,""'Sensitivity [""&amp;IF(BQ$3="""",BQ$2,BQ$2&amp;"", ""&amp;BQ$3)&amp;""]'!A1:A20"")=$E20
      ),
    "&amp;"  """"
    )
  )
), ""-"")
"),"-")</f>
        <v>-</v>
      </c>
      <c r="BT20" s="972" t="str">
        <f>IFERROR(__xludf.DUMMYFUNCTION("Iferror(IF(
  IFNA(
    FILTER(
      IMPORTRANGE($F$8,""'Sensitivity [""&amp;IF(BT$3="""",BT$2,BT$2&amp;"", ""&amp;BT$3)&amp;""]'!D1:D20""),
      IMPORTRANGE($F$8,""'Sensitivity [""&amp;IF(BT$3="""",BT$2,BT$2&amp;"", ""&amp;BT$3)&amp;""]'!A1:A20"")=$E20
    ),
    """"
  ) = """",
  "&amp;"""-"",
  BT$5 * ( 1 +
    IFNA(
      FILTER(
        IMPORTRANGE($F$8,""'Sensitivity [""&amp;IF(BT$3="""",BT$2,BT$2&amp;"", ""&amp;BT$3)&amp;""]'!D1:D20""),
        IMPORTRANGE($F$8,""'Sensitivity [""&amp;IF(BT$3="""",BT$2,BT$2&amp;"", ""&amp;BT$3)&amp;""]'!A1:A20"")=$E20
      ),
    "&amp;"  """"
    )
  )
), ""-"")
"),"-")</f>
        <v>-</v>
      </c>
      <c r="BU20" s="993" t="s">
        <v>165</v>
      </c>
      <c r="BV20" s="974" t="str">
        <f>IFERROR(__xludf.DUMMYFUNCTION("iferror(IF(
  IFNA(
    FILTER(
      IMPORTRANGE($F$8,""'Sensitivity [""&amp;IF(BT$3="""",BT$2,BT$2&amp;"", ""&amp;BT$3)&amp;""]'!E1:E20""),
      IMPORTRANGE($F$8,""'Sensitivity [""&amp;IF(BT$3="""",BT$2,BT$2&amp;"", ""&amp;BT$3)&amp;""]'!A1:A20"")=$E20
    ),
    """"
  ) = """",
  "&amp;"""-"",
  BT$5 * ( 1 +
    IFNA(
      FILTER(
        IMPORTRANGE($F$8,""'Sensitivity [""&amp;IF(BT$3="""",BT$2,BT$2&amp;"", ""&amp;BT$3)&amp;""]'!E1:E20""),
        IMPORTRANGE($F$8,""'Sensitivity [""&amp;IF(BT$3="""",BT$2,BT$2&amp;"", ""&amp;BT$3)&amp;""]'!A1:A20"")=$E20
      ),
    "&amp;"  """"
    )
  )
), ""-"")
"),"-")</f>
        <v>-</v>
      </c>
      <c r="BW20" s="972" t="str">
        <f>IFERROR(__xludf.DUMMYFUNCTION("Iferror(IF(
  IFNA(
    FILTER(
      IMPORTRANGE($F$8,""'Sensitivity [""&amp;IF(BW$3="""",BW$2,BW$2&amp;"", ""&amp;BW$3)&amp;""]'!D1:D20""),
      IMPORTRANGE($F$8,""'Sensitivity [""&amp;IF(BW$3="""",BW$2,BW$2&amp;"", ""&amp;BW$3)&amp;""]'!A1:A20"")=$E20
    ),
    """"
  ) = """",
  "&amp;"""-"",
  BW$5 * ( 1 +
    IFNA(
      FILTER(
        IMPORTRANGE($F$8,""'Sensitivity [""&amp;IF(BW$3="""",BW$2,BW$2&amp;"", ""&amp;BW$3)&amp;""]'!D1:D20""),
        IMPORTRANGE($F$8,""'Sensitivity [""&amp;IF(BW$3="""",BW$2,BW$2&amp;"", ""&amp;BW$3)&amp;""]'!A1:A20"")=$E20
      ),
    "&amp;"  """"
    )
  )
), ""-"")
"),"-")</f>
        <v>-</v>
      </c>
      <c r="BX20" s="993" t="s">
        <v>165</v>
      </c>
      <c r="BY20" s="974" t="str">
        <f>IFERROR(__xludf.DUMMYFUNCTION("iferror(IF(
  IFNA(
    FILTER(
      IMPORTRANGE($F$8,""'Sensitivity [""&amp;IF(BW$3="""",BW$2,BW$2&amp;"", ""&amp;BW$3)&amp;""]'!E1:E20""),
      IMPORTRANGE($F$8,""'Sensitivity [""&amp;IF(BW$3="""",BW$2,BW$2&amp;"", ""&amp;BW$3)&amp;""]'!A1:A20"")=$E20
    ),
    """"
  ) = """",
  "&amp;"""-"",
  BW$5 * ( 1 +
    IFNA(
      FILTER(
        IMPORTRANGE($F$8,""'Sensitivity [""&amp;IF(BW$3="""",BW$2,BW$2&amp;"", ""&amp;BW$3)&amp;""]'!E1:E20""),
        IMPORTRANGE($F$8,""'Sensitivity [""&amp;IF(BW$3="""",BW$2,BW$2&amp;"", ""&amp;BW$3)&amp;""]'!A1:A20"")=$E20
      ),
    "&amp;"  """"
    )
  )
), ""-"")
"),"-")</f>
        <v>-</v>
      </c>
      <c r="BZ20" s="972" t="str">
        <f>IFERROR(__xludf.DUMMYFUNCTION("Iferror(IF(
  IFNA(
    FILTER(
      IMPORTRANGE($F$8,""'Sensitivity [""&amp;IF(BZ$3="""",BZ$2,BZ$2&amp;"", ""&amp;BZ$3)&amp;""]'!D1:D20""),
      IMPORTRANGE($F$8,""'Sensitivity [""&amp;IF(BZ$3="""",BZ$2,BZ$2&amp;"", ""&amp;BZ$3)&amp;""]'!A1:A20"")=$E20
    ),
    """"
  ) = """",
  "&amp;"""-"",
  BZ$5 * ( 1 +
    IFNA(
      FILTER(
        IMPORTRANGE($F$8,""'Sensitivity [""&amp;IF(BZ$3="""",BZ$2,BZ$2&amp;"", ""&amp;BZ$3)&amp;""]'!D1:D20""),
        IMPORTRANGE($F$8,""'Sensitivity [""&amp;IF(BZ$3="""",BZ$2,BZ$2&amp;"", ""&amp;BZ$3)&amp;""]'!A1:A20"")=$E20
      ),
    "&amp;"  """"
    )
  )
), ""-"")
"),"-")</f>
        <v>-</v>
      </c>
      <c r="CA20" s="993" t="s">
        <v>165</v>
      </c>
      <c r="CB20" s="974" t="str">
        <f>IFERROR(__xludf.DUMMYFUNCTION("iferror(IF(
  IFNA(
    FILTER(
      IMPORTRANGE($F$8,""'Sensitivity [""&amp;IF(BZ$3="""",BZ$2,BZ$2&amp;"", ""&amp;BZ$3)&amp;""]'!E1:E20""),
      IMPORTRANGE($F$8,""'Sensitivity [""&amp;IF(BZ$3="""",BZ$2,BZ$2&amp;"", ""&amp;BZ$3)&amp;""]'!A1:A20"")=$E20
    ),
    """"
  ) = """",
  "&amp;"""-"",
  BZ$5 * ( 1 +
    IFNA(
      FILTER(
        IMPORTRANGE($F$8,""'Sensitivity [""&amp;IF(BZ$3="""",BZ$2,BZ$2&amp;"", ""&amp;BZ$3)&amp;""]'!E1:E20""),
        IMPORTRANGE($F$8,""'Sensitivity [""&amp;IF(BZ$3="""",BZ$2,BZ$2&amp;"", ""&amp;BZ$3)&amp;""]'!A1:A20"")=$E20
      ),
    "&amp;"  """"
    )
  )
), ""-"")
"),"-")</f>
        <v>-</v>
      </c>
      <c r="CC20" s="972" t="str">
        <f>IFERROR(__xludf.DUMMYFUNCTION("Iferror(IF(
  IFNA(
    FILTER(
      IMPORTRANGE($F$8,""'Sensitivity [""&amp;IF(CC$3="""",CC$2,CC$2&amp;"", ""&amp;CC$3)&amp;""]'!D1:D20""),
      IMPORTRANGE($F$8,""'Sensitivity [""&amp;IF(CC$3="""",CC$2,CC$2&amp;"", ""&amp;CC$3)&amp;""]'!A1:A20"")=$E20
    ),
    """"
  ) = """",
  "&amp;"""-"",
  CC$5 * ( 1 +
    IFNA(
      FILTER(
        IMPORTRANGE($F$8,""'Sensitivity [""&amp;IF(CC$3="""",CC$2,CC$2&amp;"", ""&amp;CC$3)&amp;""]'!D1:D20""),
        IMPORTRANGE($F$8,""'Sensitivity [""&amp;IF(CC$3="""",CC$2,CC$2&amp;"", ""&amp;CC$3)&amp;""]'!A1:A20"")=$E20
      ),
    "&amp;"  """"
    )
  )
), ""-"")
"),"-")</f>
        <v>-</v>
      </c>
      <c r="CD20" s="993" t="s">
        <v>165</v>
      </c>
      <c r="CE20" s="974" t="str">
        <f>IFERROR(__xludf.DUMMYFUNCTION("iferror(IF(
  IFNA(
    FILTER(
      IMPORTRANGE($F$8,""'Sensitivity [""&amp;IF(CC$3="""",CC$2,CC$2&amp;"", ""&amp;CC$3)&amp;""]'!E1:E20""),
      IMPORTRANGE($F$8,""'Sensitivity [""&amp;IF(CC$3="""",CC$2,CC$2&amp;"", ""&amp;CC$3)&amp;""]'!A1:A20"")=$E20
    ),
    """"
  ) = """",
  "&amp;"""-"",
  CC$5 * ( 1 +
    IFNA(
      FILTER(
        IMPORTRANGE($F$8,""'Sensitivity [""&amp;IF(CC$3="""",CC$2,CC$2&amp;"", ""&amp;CC$3)&amp;""]'!E1:E20""),
        IMPORTRANGE($F$8,""'Sensitivity [""&amp;IF(CC$3="""",CC$2,CC$2&amp;"", ""&amp;CC$3)&amp;""]'!A1:A20"")=$E20
      ),
    "&amp;"  """"
    )
  )
), ""-"")
"),"-")</f>
        <v>-</v>
      </c>
      <c r="CF20" s="972" t="str">
        <f>IFERROR(__xludf.DUMMYFUNCTION("Iferror(IF(
  IFNA(
    FILTER(
      IMPORTRANGE($F$8,""'Sensitivity [""&amp;IF(CF$3="""",CF$2,CF$2&amp;"", ""&amp;CF$3)&amp;""]'!D1:D20""),
      IMPORTRANGE($F$8,""'Sensitivity [""&amp;IF(CF$3="""",CF$2,CF$2&amp;"", ""&amp;CF$3)&amp;""]'!A1:A20"")=$E20
    ),
    """"
  ) = """",
  "&amp;"""-"",
  CF$5 * ( 1 +
    IFNA(
      FILTER(
        IMPORTRANGE($F$8,""'Sensitivity [""&amp;IF(CF$3="""",CF$2,CF$2&amp;"", ""&amp;CF$3)&amp;""]'!D1:D20""),
        IMPORTRANGE($F$8,""'Sensitivity [""&amp;IF(CF$3="""",CF$2,CF$2&amp;"", ""&amp;CF$3)&amp;""]'!A1:A20"")=$E20
      ),
    "&amp;"  """"
    )
  )
), ""-"")
"),"-")</f>
        <v>-</v>
      </c>
      <c r="CG20" s="993" t="s">
        <v>165</v>
      </c>
      <c r="CH20" s="974" t="str">
        <f>IFERROR(__xludf.DUMMYFUNCTION("iferror(IF(
  IFNA(
    FILTER(
      IMPORTRANGE($F$8,""'Sensitivity [""&amp;IF(CF$3="""",CF$2,CF$2&amp;"", ""&amp;CF$3)&amp;""]'!E1:E20""),
      IMPORTRANGE($F$8,""'Sensitivity [""&amp;IF(CF$3="""",CF$2,CF$2&amp;"", ""&amp;CF$3)&amp;""]'!A1:A20"")=$E20
    ),
    """"
  ) = """",
  "&amp;"""-"",
  CF$5 * ( 1 +
    IFNA(
      FILTER(
        IMPORTRANGE($F$8,""'Sensitivity [""&amp;IF(CF$3="""",CF$2,CF$2&amp;"", ""&amp;CF$3)&amp;""]'!E1:E20""),
        IMPORTRANGE($F$8,""'Sensitivity [""&amp;IF(CF$3="""",CF$2,CF$2&amp;"", ""&amp;CF$3)&amp;""]'!A1:A20"")=$E20
      ),
    "&amp;"  """"
    )
  )
), ""-"")
"),"-")</f>
        <v>-</v>
      </c>
      <c r="CI20" s="972" t="str">
        <f>IFERROR(__xludf.DUMMYFUNCTION("Iferror(IF(
  IFNA(
    FILTER(
      IMPORTRANGE($F$8,""'Sensitivity [""&amp;IF(CI$3="""",CI$2,CI$2&amp;"", ""&amp;CI$3)&amp;""]'!D1:D20""),
      IMPORTRANGE($F$8,""'Sensitivity [""&amp;IF(CI$3="""",CI$2,CI$2&amp;"", ""&amp;CI$3)&amp;""]'!A1:A20"")=$E20
    ),
    """"
  ) = """",
  "&amp;"""-"",
  CI$5 * ( 1 +
    IFNA(
      FILTER(
        IMPORTRANGE($F$8,""'Sensitivity [""&amp;IF(CI$3="""",CI$2,CI$2&amp;"", ""&amp;CI$3)&amp;""]'!D1:D20""),
        IMPORTRANGE($F$8,""'Sensitivity [""&amp;IF(CI$3="""",CI$2,CI$2&amp;"", ""&amp;CI$3)&amp;""]'!A1:A20"")=$E20
      ),
    "&amp;"  """"
    )
  )
), ""-"")
"),"-")</f>
        <v>-</v>
      </c>
      <c r="CJ20" s="993" t="s">
        <v>165</v>
      </c>
      <c r="CK20" s="974" t="str">
        <f>IFERROR(__xludf.DUMMYFUNCTION("iferror(IF(
  IFNA(
    FILTER(
      IMPORTRANGE($F$8,""'Sensitivity [""&amp;IF(CI$3="""",CI$2,CI$2&amp;"", ""&amp;CI$3)&amp;""]'!E1:E20""),
      IMPORTRANGE($F$8,""'Sensitivity [""&amp;IF(CI$3="""",CI$2,CI$2&amp;"", ""&amp;CI$3)&amp;""]'!A1:A20"")=$E20
    ),
    """"
  ) = """",
  "&amp;"""-"",
  CI$5 * ( 1 +
    IFNA(
      FILTER(
        IMPORTRANGE($F$8,""'Sensitivity [""&amp;IF(CI$3="""",CI$2,CI$2&amp;"", ""&amp;CI$3)&amp;""]'!E1:E20""),
        IMPORTRANGE($F$8,""'Sensitivity [""&amp;IF(CI$3="""",CI$2,CI$2&amp;"", ""&amp;CI$3)&amp;""]'!A1:A20"")=$E20
      ),
    "&amp;"  """"
    )
  )
), ""-"")
"),"-")</f>
        <v>-</v>
      </c>
      <c r="CL20" s="198"/>
    </row>
    <row r="21">
      <c r="A21" s="890"/>
      <c r="B21" s="890"/>
      <c r="C21" s="890"/>
      <c r="D21" s="890"/>
      <c r="E21" s="890"/>
      <c r="F21" s="890"/>
      <c r="G21" s="890"/>
      <c r="H21" s="890"/>
      <c r="I21" s="890"/>
      <c r="J21" s="890"/>
      <c r="K21" s="890"/>
      <c r="L21" s="890"/>
      <c r="M21" s="890"/>
      <c r="N21" s="890"/>
      <c r="O21" s="890"/>
      <c r="P21" s="890"/>
      <c r="Q21" s="890"/>
      <c r="R21" s="890"/>
      <c r="S21" s="890"/>
      <c r="T21" s="890"/>
      <c r="U21" s="890"/>
      <c r="V21" s="890"/>
      <c r="W21" s="890"/>
      <c r="X21" s="890"/>
      <c r="Y21" s="890"/>
      <c r="Z21" s="890"/>
      <c r="AA21" s="890"/>
      <c r="AB21" s="890"/>
      <c r="AC21" s="890"/>
      <c r="AD21" s="890"/>
      <c r="AE21" s="890"/>
      <c r="AF21" s="890"/>
      <c r="AG21" s="890"/>
      <c r="AH21" s="890"/>
      <c r="AI21" s="890"/>
      <c r="AJ21" s="890"/>
      <c r="AK21" s="890"/>
      <c r="AL21" s="890"/>
      <c r="AM21" s="890"/>
      <c r="AN21" s="890"/>
      <c r="AO21" s="890"/>
      <c r="AP21" s="890"/>
      <c r="AQ21" s="890"/>
      <c r="AR21" s="890"/>
      <c r="AS21" s="890"/>
      <c r="AT21" s="890"/>
      <c r="AU21" s="890"/>
      <c r="AV21" s="890"/>
      <c r="AW21" s="890"/>
      <c r="AX21" s="890"/>
      <c r="AY21" s="890"/>
      <c r="AZ21" s="890"/>
      <c r="BA21" s="890"/>
      <c r="BB21" s="890"/>
      <c r="BC21" s="890"/>
      <c r="BD21" s="890"/>
      <c r="BE21" s="890"/>
      <c r="BF21" s="890"/>
      <c r="BG21" s="890"/>
      <c r="BH21" s="890"/>
      <c r="BI21" s="890"/>
      <c r="BJ21" s="890"/>
      <c r="BK21" s="890"/>
      <c r="BL21" s="890"/>
      <c r="BM21" s="890"/>
      <c r="BN21" s="890"/>
      <c r="BO21" s="890"/>
      <c r="BP21" s="890"/>
      <c r="BQ21" s="890"/>
      <c r="BR21" s="890"/>
      <c r="BS21" s="890"/>
      <c r="BT21" s="890"/>
      <c r="BU21" s="890"/>
      <c r="BV21" s="890"/>
      <c r="BW21" s="890"/>
      <c r="BX21" s="890"/>
      <c r="BY21" s="890"/>
      <c r="BZ21" s="890"/>
      <c r="CA21" s="890"/>
      <c r="CB21" s="890"/>
      <c r="CC21" s="890"/>
      <c r="CD21" s="890"/>
      <c r="CE21" s="890"/>
      <c r="CF21" s="890"/>
      <c r="CG21" s="890"/>
      <c r="CH21" s="890"/>
      <c r="CI21" s="890"/>
      <c r="CJ21" s="890"/>
      <c r="CK21" s="890"/>
      <c r="CL21" s="198"/>
    </row>
    <row r="22">
      <c r="A22" s="1011" t="s">
        <v>638</v>
      </c>
      <c r="B22" s="12"/>
      <c r="C22" s="12"/>
      <c r="D22" s="12"/>
      <c r="E22" s="12"/>
      <c r="F22" s="1012"/>
      <c r="G22" s="1013"/>
      <c r="H22" s="1014"/>
      <c r="I22" s="1012"/>
      <c r="J22" s="1013"/>
      <c r="K22" s="1014"/>
      <c r="L22" s="1012"/>
      <c r="M22" s="1013"/>
      <c r="N22" s="1014"/>
      <c r="O22" s="1012"/>
      <c r="P22" s="1013"/>
      <c r="Q22" s="1014"/>
      <c r="R22" s="1012"/>
      <c r="S22" s="1013"/>
      <c r="T22" s="1014"/>
      <c r="U22" s="1012"/>
      <c r="V22" s="1013"/>
      <c r="W22" s="1014"/>
      <c r="X22" s="1012"/>
      <c r="Y22" s="1013"/>
      <c r="Z22" s="1014"/>
      <c r="AA22" s="1012"/>
      <c r="AB22" s="1013"/>
      <c r="AC22" s="1014"/>
      <c r="AD22" s="1012"/>
      <c r="AE22" s="1013"/>
      <c r="AF22" s="1014"/>
      <c r="AG22" s="1012"/>
      <c r="AH22" s="1013"/>
      <c r="AI22" s="1014"/>
      <c r="AJ22" s="1012"/>
      <c r="AK22" s="1013"/>
      <c r="AL22" s="1014"/>
      <c r="AM22" s="1012"/>
      <c r="AN22" s="1013"/>
      <c r="AO22" s="1014"/>
      <c r="AP22" s="1012"/>
      <c r="AQ22" s="1013"/>
      <c r="AR22" s="1014"/>
      <c r="AS22" s="1012"/>
      <c r="AT22" s="1013"/>
      <c r="AU22" s="1014"/>
      <c r="AV22" s="1012"/>
      <c r="AW22" s="1013"/>
      <c r="AX22" s="1014"/>
      <c r="AY22" s="1012"/>
      <c r="AZ22" s="1013"/>
      <c r="BA22" s="1014"/>
      <c r="BB22" s="1012"/>
      <c r="BC22" s="1013"/>
      <c r="BD22" s="1014"/>
      <c r="BE22" s="1012"/>
      <c r="BF22" s="1013"/>
      <c r="BG22" s="1014"/>
      <c r="BH22" s="1012"/>
      <c r="BI22" s="1013"/>
      <c r="BJ22" s="1014"/>
      <c r="BK22" s="1012"/>
      <c r="BL22" s="1013"/>
      <c r="BM22" s="1014"/>
      <c r="BN22" s="1012"/>
      <c r="BO22" s="1013"/>
      <c r="BP22" s="1014"/>
      <c r="BQ22" s="1012"/>
      <c r="BR22" s="1013"/>
      <c r="BS22" s="1014"/>
      <c r="BT22" s="1012"/>
      <c r="BU22" s="1013"/>
      <c r="BV22" s="1014"/>
      <c r="BW22" s="1012"/>
      <c r="BX22" s="1013"/>
      <c r="BY22" s="1014"/>
      <c r="BZ22" s="1012"/>
      <c r="CA22" s="1013"/>
      <c r="CB22" s="1014"/>
      <c r="CC22" s="1012"/>
      <c r="CD22" s="1013"/>
      <c r="CE22" s="1014"/>
      <c r="CF22" s="1012"/>
      <c r="CG22" s="1013"/>
      <c r="CH22" s="1014"/>
      <c r="CI22" s="1012"/>
      <c r="CJ22" s="1013"/>
      <c r="CK22" s="1014"/>
      <c r="CL22" s="959"/>
    </row>
    <row r="23">
      <c r="A23" s="889"/>
      <c r="B23" s="890"/>
      <c r="C23" s="890"/>
      <c r="D23" s="890"/>
      <c r="E23" s="1015" t="s">
        <v>639</v>
      </c>
      <c r="F23" s="972">
        <f>IFERROR(__xludf.DUMMYFUNCTION("IFERROR(FILTER(IMPORTRANGE($F$8,""'Results [""&amp;if(F$3="""",F$2,F$2&amp;"", ""&amp;F$3)&amp;""]'!B1:B10""), IMPORTRANGE($F$8,""'Results [""&amp;if(F$3="""",F$2,F$2&amp;"", ""&amp;F$3)&amp;""]'!A1:A10"")=""25th Pctl""), ""-"")"),8.417861329809053)</f>
        <v>8.41786133</v>
      </c>
      <c r="G23" s="993" t="s">
        <v>165</v>
      </c>
      <c r="H23" s="974">
        <f>IFERROR(__xludf.DUMMYFUNCTION("IFERROR(FILTER(IMPORTRANGE($F$8,""'Results [""&amp;if(F$3="""",F$2,F$2&amp;"", ""&amp;F$3)&amp;""]'!B1:B10""), IMPORTRANGE($F$8,""'Results [""&amp;if(F$3="""",F$2,F$2&amp;"", ""&amp;F$3)&amp;""]'!A1:A10"")=""75th Pctl""), ""-"")"),30.716006316706856)</f>
        <v>30.71600632</v>
      </c>
      <c r="I23" s="972">
        <f>IFERROR(__xludf.DUMMYFUNCTION("IFERROR(FILTER(IMPORTRANGE($F$8,""'Results [""&amp;if(I$3="""",I$2,I$2&amp;"", ""&amp;I$3)&amp;""]'!B1:B10""), IMPORTRANGE($F$8,""'Results [""&amp;if(I$3="""",I$2,I$2&amp;"", ""&amp;I$3)&amp;""]'!A1:A10"")=""25th Pctl""), ""-"")"),5.665322843257004)</f>
        <v>5.665322843</v>
      </c>
      <c r="J23" s="993" t="s">
        <v>165</v>
      </c>
      <c r="K23" s="974">
        <f>IFERROR(__xludf.DUMMYFUNCTION("IFERROR(FILTER(IMPORTRANGE($F$8,""'Results [""&amp;if(I$3="""",I$2,I$2&amp;"", ""&amp;I$3)&amp;""]'!B1:B10""), IMPORTRANGE($F$8,""'Results [""&amp;if(I$3="""",I$2,I$2&amp;"", ""&amp;I$3)&amp;""]'!A1:A10"")=""75th Pctl""), ""-"")"),22.468225988332563)</f>
        <v>22.46822599</v>
      </c>
      <c r="L23" s="972">
        <f>IFERROR(__xludf.DUMMYFUNCTION("IFERROR(FILTER(IMPORTRANGE($F$8,""'Results [""&amp;if(L$3="""",L$2,L$2&amp;"", ""&amp;L$3)&amp;""]'!B1:B10""), IMPORTRANGE($F$8,""'Results [""&amp;if(L$3="""",L$2,L$2&amp;"", ""&amp;L$3)&amp;""]'!A1:A10"")=""25th Pctl""), ""-"")"),3.0545597798379522)</f>
        <v>3.05455978</v>
      </c>
      <c r="M23" s="993" t="s">
        <v>165</v>
      </c>
      <c r="N23" s="974">
        <f>IFERROR(__xludf.DUMMYFUNCTION("IFERROR(FILTER(IMPORTRANGE($F$8,""'Results [""&amp;if(L$3="""",L$2,L$2&amp;"", ""&amp;L$3)&amp;""]'!B1:B10""), IMPORTRANGE($F$8,""'Results [""&amp;if(L$3="""",L$2,L$2&amp;"", ""&amp;L$3)&amp;""]'!A1:A10"")=""75th Pctl""), ""-"")"),11.576298992393644)</f>
        <v>11.57629899</v>
      </c>
      <c r="O23" s="972">
        <f>IFERROR(__xludf.DUMMYFUNCTION("IFERROR(FILTER(IMPORTRANGE($F$8,""'Results [""&amp;if(O$3="""",O$2,O$2&amp;"", ""&amp;O$3)&amp;""]'!B1:B10""), IMPORTRANGE($F$8,""'Results [""&amp;if(O$3="""",O$2,O$2&amp;"", ""&amp;O$3)&amp;""]'!A1:A10"")=""25th Pctl""), ""-"")"),6.165478249957308)</f>
        <v>6.16547825</v>
      </c>
      <c r="P23" s="993" t="s">
        <v>165</v>
      </c>
      <c r="Q23" s="974">
        <f>IFERROR(__xludf.DUMMYFUNCTION("IFERROR(FILTER(IMPORTRANGE($F$8,""'Results [""&amp;if(O$3="""",O$2,O$2&amp;"", ""&amp;O$3)&amp;""]'!B1:B10""), IMPORTRANGE($F$8,""'Results [""&amp;if(O$3="""",O$2,O$2&amp;"", ""&amp;O$3)&amp;""]'!A1:A10"")=""75th Pctl""), ""-"")"),22.79656563021934)</f>
        <v>22.79656563</v>
      </c>
      <c r="R23" s="972">
        <f>IFERROR(__xludf.DUMMYFUNCTION("IFERROR(FILTER(IMPORTRANGE($F$8,""'Results [""&amp;if(R$3="""",R$2,R$2&amp;"", ""&amp;R$3)&amp;""]'!B1:B10""), IMPORTRANGE($F$8,""'Results [""&amp;if(R$3="""",R$2,R$2&amp;"", ""&amp;R$3)&amp;""]'!A1:A10"")=""25th Pctl""), ""-"")"),3.9933477743481167)</f>
        <v>3.993347774</v>
      </c>
      <c r="S23" s="993" t="s">
        <v>165</v>
      </c>
      <c r="T23" s="974">
        <f>IFERROR(__xludf.DUMMYFUNCTION("IFERROR(FILTER(IMPORTRANGE($F$8,""'Results [""&amp;if(R$3="""",R$2,R$2&amp;"", ""&amp;R$3)&amp;""]'!B1:B10""), IMPORTRANGE($F$8,""'Results [""&amp;if(R$3="""",R$2,R$2&amp;"", ""&amp;R$3)&amp;""]'!A1:A10"")=""75th Pctl""), ""-"")"),16.8237604212513)</f>
        <v>16.82376042</v>
      </c>
      <c r="U23" s="972">
        <f>IFERROR(__xludf.DUMMYFUNCTION("IFERROR(FILTER(IMPORTRANGE($F$8,""'Results [""&amp;if(U$3="""",U$2,U$2&amp;"", ""&amp;U$3)&amp;""]'!B1:B10""), IMPORTRANGE($F$8,""'Results [""&amp;if(U$3="""",U$2,U$2&amp;"", ""&amp;U$3)&amp;""]'!A1:A10"")=""25th Pctl""), ""-"")"),1.6327944995077188)</f>
        <v>1.6327945</v>
      </c>
      <c r="V23" s="993" t="s">
        <v>165</v>
      </c>
      <c r="W23" s="974">
        <f>IFERROR(__xludf.DUMMYFUNCTION("IFERROR(FILTER(IMPORTRANGE($F$8,""'Results [""&amp;if(U$3="""",U$2,U$2&amp;"", ""&amp;U$3)&amp;""]'!B1:B10""), IMPORTRANGE($F$8,""'Results [""&amp;if(U$3="""",U$2,U$2&amp;"", ""&amp;U$3)&amp;""]'!A1:A10"")=""75th Pctl""), ""-"")"),6.39424107085589)</f>
        <v>6.394241071</v>
      </c>
      <c r="X23" s="972">
        <f>IFERROR(__xludf.DUMMYFUNCTION("IFERROR(FILTER(IMPORTRANGE($F$8,""'Results [""&amp;if(X$3="""",X$2,X$2&amp;"", ""&amp;X$3)&amp;""]'!B1:B10""), IMPORTRANGE($F$8,""'Results [""&amp;if(X$3="""",X$2,X$2&amp;"", ""&amp;X$3)&amp;""]'!A1:A10"")=""25th Pctl""), ""-"")"),5.765700175826762)</f>
        <v>5.765700176</v>
      </c>
      <c r="Y23" s="993" t="s">
        <v>165</v>
      </c>
      <c r="Z23" s="974">
        <f>IFERROR(__xludf.DUMMYFUNCTION("IFERROR(FILTER(IMPORTRANGE($F$8,""'Results [""&amp;if(X$3="""",X$2,X$2&amp;"", ""&amp;X$3)&amp;""]'!B1:B10""), IMPORTRANGE($F$8,""'Results [""&amp;if(X$3="""",X$2,X$2&amp;"", ""&amp;X$3)&amp;""]'!A1:A10"")=""75th Pctl""), ""-"")"),22.191787696573318)</f>
        <v>22.1917877</v>
      </c>
      <c r="AA23" s="972">
        <f>IFERROR(__xludf.DUMMYFUNCTION("IFERROR(FILTER(IMPORTRANGE($F$8,""'Results [""&amp;if(AA$3="""",AA$2,AA$2&amp;"", ""&amp;AA$3)&amp;""]'!B1:B10""), IMPORTRANGE($F$8,""'Results [""&amp;if(AA$3="""",AA$2,AA$2&amp;"", ""&amp;AA$3)&amp;""]'!A1:A10"")=""25th Pctl""), ""-"")"),12.041650960000975)</f>
        <v>12.04165096</v>
      </c>
      <c r="AB23" s="993" t="s">
        <v>165</v>
      </c>
      <c r="AC23" s="974">
        <f>IFERROR(__xludf.DUMMYFUNCTION("IFERROR(FILTER(IMPORTRANGE($F$8,""'Results [""&amp;if(AA$3="""",AA$2,AA$2&amp;"", ""&amp;AA$3)&amp;""]'!B1:B10""), IMPORTRANGE($F$8,""'Results [""&amp;if(AA$3="""",AA$2,AA$2&amp;"", ""&amp;AA$3)&amp;""]'!A1:A10"")=""75th Pctl""), ""-"")"),47.79318428661655)</f>
        <v>47.79318429</v>
      </c>
      <c r="AD23" s="972">
        <f>IFERROR(__xludf.DUMMYFUNCTION("IFERROR(FILTER(IMPORTRANGE($F$8,""'Results [""&amp;if(AD$3="""",AD$2,AD$2&amp;"", ""&amp;AD$3)&amp;""]'!B1:B10""), IMPORTRANGE($F$8,""'Results [""&amp;if(AD$3="""",AD$2,AD$2&amp;"", ""&amp;AD$3)&amp;""]'!A1:A10"")=""25th Pctl""), ""-"")"),23.551029209516148)</f>
        <v>23.55102921</v>
      </c>
      <c r="AE23" s="993" t="s">
        <v>165</v>
      </c>
      <c r="AF23" s="974">
        <f>IFERROR(__xludf.DUMMYFUNCTION("IFERROR(FILTER(IMPORTRANGE($F$8,""'Results [""&amp;if(AD$3="""",AD$2,AD$2&amp;"", ""&amp;AD$3)&amp;""]'!B1:B10""), IMPORTRANGE($F$8,""'Results [""&amp;if(AD$3="""",AD$2,AD$2&amp;"", ""&amp;AD$3)&amp;""]'!A1:A10"")=""75th Pctl""), ""-"")"),85.43006026800182)</f>
        <v>85.43006027</v>
      </c>
      <c r="AG23" s="972">
        <f>IFERROR(__xludf.DUMMYFUNCTION("IFERROR(FILTER(IMPORTRANGE($F$8,""'Results [""&amp;if(AG$3="""",AG$2,AG$2&amp;"", ""&amp;AG$3)&amp;""]'!B1:B10""), IMPORTRANGE($F$8,""'Results [""&amp;if(AG$3="""",AG$2,AG$2&amp;"", ""&amp;AG$3)&amp;""]'!A1:A10"")=""25th Pctl""), ""-"")"),7.906246086928398)</f>
        <v>7.906246087</v>
      </c>
      <c r="AH23" s="993" t="s">
        <v>165</v>
      </c>
      <c r="AI23" s="974">
        <f>IFERROR(__xludf.DUMMYFUNCTION("IFERROR(FILTER(IMPORTRANGE($F$8,""'Results [""&amp;if(AG$3="""",AG$2,AG$2&amp;"", ""&amp;AG$3)&amp;""]'!B1:B10""), IMPORTRANGE($F$8,""'Results [""&amp;if(AG$3="""",AG$2,AG$2&amp;"", ""&amp;AG$3)&amp;""]'!A1:A10"")=""75th Pctl""), ""-"")"),28.723646852473863)</f>
        <v>28.72364685</v>
      </c>
      <c r="AJ23" s="972">
        <f>IFERROR(__xludf.DUMMYFUNCTION("IFERROR(FILTER(IMPORTRANGE($F$8,""'Results [""&amp;if(AJ$3="""",AJ$2,AJ$2&amp;"", ""&amp;AJ$3)&amp;""]'!B1:B10""), IMPORTRANGE($F$8,""'Results [""&amp;if(AJ$3="""",AJ$2,AJ$2&amp;"", ""&amp;AJ$3)&amp;""]'!A1:A10"")=""25th Pctl""), ""-"")"),1.5227109378514387)</f>
        <v>1.522710938</v>
      </c>
      <c r="AK23" s="993" t="s">
        <v>165</v>
      </c>
      <c r="AL23" s="974">
        <f>IFERROR(__xludf.DUMMYFUNCTION("IFERROR(FILTER(IMPORTRANGE($F$8,""'Results [""&amp;if(AJ$3="""",AJ$2,AJ$2&amp;"", ""&amp;AJ$3)&amp;""]'!B1:B10""), IMPORTRANGE($F$8,""'Results [""&amp;if(AJ$3="""",AJ$2,AJ$2&amp;"", ""&amp;AJ$3)&amp;""]'!A1:A10"")=""75th Pctl""), ""-"")"),6.103808095618598)</f>
        <v>6.103808096</v>
      </c>
      <c r="AM23" s="972">
        <f>IFERROR(__xludf.DUMMYFUNCTION("IFERROR(FILTER(IMPORTRANGE($F$8,""'Results [""&amp;if(AM$3="""",AM$2,AM$2&amp;"", ""&amp;AM$3)&amp;""]'!B1:B10""), IMPORTRANGE($F$8,""'Results [""&amp;if(AM$3="""",AM$2,AM$2&amp;"", ""&amp;AM$3)&amp;""]'!A1:A10"")=""25th Pctl""), ""-"")"),0.7878552986753767)</f>
        <v>0.7878552987</v>
      </c>
      <c r="AN23" s="993" t="s">
        <v>165</v>
      </c>
      <c r="AO23" s="974">
        <f>IFERROR(__xludf.DUMMYFUNCTION("IFERROR(FILTER(IMPORTRANGE($F$8,""'Results [""&amp;if(AM$3="""",AM$2,AM$2&amp;"", ""&amp;AM$3)&amp;""]'!B1:B10""), IMPORTRANGE($F$8,""'Results [""&amp;if(AM$3="""",AM$2,AM$2&amp;"", ""&amp;AM$3)&amp;""]'!A1:A10"")=""75th Pctl""), ""-"")"),3.0307758729641665)</f>
        <v>3.030775873</v>
      </c>
      <c r="AP23" s="972">
        <f>IFERROR(__xludf.DUMMYFUNCTION("IFERROR(FILTER(IMPORTRANGE($F$8,""'Results [""&amp;if(AP$3="""",AP$2,AP$2&amp;"", ""&amp;AP$3)&amp;""]'!B1:B10""), IMPORTRANGE($F$8,""'Results [""&amp;if(AP$3="""",AP$2,AP$2&amp;"", ""&amp;AP$3)&amp;""]'!A1:A10"")=""25th Pctl""), ""-"")"),3.448250382968014)</f>
        <v>3.448250383</v>
      </c>
      <c r="AQ23" s="993" t="s">
        <v>165</v>
      </c>
      <c r="AR23" s="974">
        <f>IFERROR(__xludf.DUMMYFUNCTION("IFERROR(FILTER(IMPORTRANGE($F$8,""'Results [""&amp;if(AP$3="""",AP$2,AP$2&amp;"", ""&amp;AP$3)&amp;""]'!B1:B10""), IMPORTRANGE($F$8,""'Results [""&amp;if(AP$3="""",AP$2,AP$2&amp;"", ""&amp;AP$3)&amp;""]'!A1:A10"")=""75th Pctl""), ""-"")"),12.611107255446981)</f>
        <v>12.61110726</v>
      </c>
      <c r="AS23" s="972">
        <f>IFERROR(__xludf.DUMMYFUNCTION("IFERROR(FILTER(IMPORTRANGE($F$8,""'Results [""&amp;if(AS$3="""",AS$2,AS$2&amp;"", ""&amp;AS$3)&amp;""]'!B1:B10""), IMPORTRANGE($F$8,""'Results [""&amp;if(AS$3="""",AS$2,AS$2&amp;"", ""&amp;AS$3)&amp;""]'!A1:A10"")=""25th Pctl""), ""-"")"),1.950056644631891)</f>
        <v>1.950056645</v>
      </c>
      <c r="AT23" s="993" t="s">
        <v>165</v>
      </c>
      <c r="AU23" s="974">
        <f>IFERROR(__xludf.DUMMYFUNCTION("IFERROR(FILTER(IMPORTRANGE($F$8,""'Results [""&amp;if(AS$3="""",AS$2,AS$2&amp;"", ""&amp;AS$3)&amp;""]'!B1:B10""), IMPORTRANGE($F$8,""'Results [""&amp;if(AS$3="""",AS$2,AS$2&amp;"", ""&amp;AS$3)&amp;""]'!A1:A10"")=""75th Pctl""), ""-"")"),7.023774047624286)</f>
        <v>7.023774048</v>
      </c>
      <c r="AV23" s="972">
        <f>IFERROR(__xludf.DUMMYFUNCTION("IFERROR(FILTER(IMPORTRANGE($F$8,""'Results [""&amp;if(AV$3="""",AV$2,AV$2&amp;"", ""&amp;AV$3)&amp;""]'!B1:B10""), IMPORTRANGE($F$8,""'Results [""&amp;if(AV$3="""",AV$2,AV$2&amp;"", ""&amp;AV$3)&amp;""]'!A1:A10"")=""25th Pctl""), ""-"")"),5.085923665117049)</f>
        <v>5.085923665</v>
      </c>
      <c r="AW23" s="993" t="s">
        <v>165</v>
      </c>
      <c r="AX23" s="974">
        <f>IFERROR(__xludf.DUMMYFUNCTION("IFERROR(FILTER(IMPORTRANGE($F$8,""'Results [""&amp;if(AV$3="""",AV$2,AV$2&amp;"", ""&amp;AV$3)&amp;""]'!B1:B10""), IMPORTRANGE($F$8,""'Results [""&amp;if(AV$3="""",AV$2,AV$2&amp;"", ""&amp;AV$3)&amp;""]'!A1:A10"")=""75th Pctl""), ""-"")"),18.757825714168014)</f>
        <v>18.75782571</v>
      </c>
      <c r="AY23" s="972">
        <f>IFERROR(__xludf.DUMMYFUNCTION("IFERROR(FILTER(IMPORTRANGE($F$8,""'Results [""&amp;if(AY$3="""",AY$2,AY$2&amp;"", ""&amp;AY$3)&amp;""]'!B1:B10""), IMPORTRANGE($F$8,""'Results [""&amp;if(AY$3="""",AY$2,AY$2&amp;"", ""&amp;AY$3)&amp;""]'!A1:A10"")=""25th Pctl""), ""-"")"),1.3802728156876471)</f>
        <v>1.380272816</v>
      </c>
      <c r="AZ23" s="993" t="s">
        <v>165</v>
      </c>
      <c r="BA23" s="974">
        <f>IFERROR(__xludf.DUMMYFUNCTION("IFERROR(FILTER(IMPORTRANGE($F$8,""'Results [""&amp;if(AY$3="""",AY$2,AY$2&amp;"", ""&amp;AY$3)&amp;""]'!B1:B10""), IMPORTRANGE($F$8,""'Results [""&amp;if(AY$3="""",AY$2,AY$2&amp;"", ""&amp;AY$3)&amp;""]'!A1:A10"")=""75th Pctl""), ""-"")"),5.182271034267194)</f>
        <v>5.182271034</v>
      </c>
      <c r="BB23" s="972">
        <f>IFERROR(__xludf.DUMMYFUNCTION("IFERROR(FILTER(IMPORTRANGE($F$8,""'Results [""&amp;if(BB$3="""",BB$2,BB$2&amp;"", ""&amp;BB$3)&amp;""]'!B1:B10""), IMPORTRANGE($F$8,""'Results [""&amp;if(BB$3="""",BB$2,BB$2&amp;"", ""&amp;BB$3)&amp;""]'!A1:A10"")=""25th Pctl""), ""-"")"),2.087914020587669)</f>
        <v>2.087914021</v>
      </c>
      <c r="BC23" s="993" t="s">
        <v>165</v>
      </c>
      <c r="BD23" s="974">
        <f>IFERROR(__xludf.DUMMYFUNCTION("IFERROR(FILTER(IMPORTRANGE($F$8,""'Results [""&amp;if(BB$3="""",BB$2,BB$2&amp;"", ""&amp;BB$3)&amp;""]'!B1:B10""), IMPORTRANGE($F$8,""'Results [""&amp;if(BB$3="""",BB$2,BB$2&amp;"", ""&amp;BB$3)&amp;""]'!A1:A10"")=""75th Pctl""), ""-"")"),8.212687064990789)</f>
        <v>8.212687065</v>
      </c>
      <c r="BE23" s="972">
        <f>IFERROR(__xludf.DUMMYFUNCTION("IFERROR(FILTER(IMPORTRANGE($F$8,""'Results [""&amp;if(BE$3="""",BE$2,BE$2&amp;"", ""&amp;BE$3)&amp;""]'!B1:B10""), IMPORTRANGE($F$8,""'Results [""&amp;if(BE$3="""",BE$2,BE$2&amp;"", ""&amp;BE$3)&amp;""]'!A1:A10"")=""25th Pctl""), ""-"")"),1.1521753630152094)</f>
        <v>1.152175363</v>
      </c>
      <c r="BF23" s="993" t="s">
        <v>165</v>
      </c>
      <c r="BG23" s="974">
        <f>IFERROR(__xludf.DUMMYFUNCTION("IFERROR(FILTER(IMPORTRANGE($F$8,""'Results [""&amp;if(BE$3="""",BE$2,BE$2&amp;"", ""&amp;BE$3)&amp;""]'!B1:B10""), IMPORTRANGE($F$8,""'Results [""&amp;if(BE$3="""",BE$2,BE$2&amp;"", ""&amp;BE$3)&amp;""]'!A1:A10"")=""75th Pctl""), ""-"")"),4.452463471049941)</f>
        <v>4.452463471</v>
      </c>
      <c r="BH23" s="972">
        <f>IFERROR(__xludf.DUMMYFUNCTION("IFERROR(FILTER(IMPORTRANGE($F$8,""'Results [""&amp;if(BH$3="""",BH$2,BH$2&amp;"", ""&amp;BH$3)&amp;""]'!B1:B10""), IMPORTRANGE($F$8,""'Results [""&amp;if(BH$3="""",BH$2,BH$2&amp;"", ""&amp;BH$3)&amp;""]'!A1:A10"")=""25th Pctl""), ""-"")"),1.5491537760344725)</f>
        <v>1.549153776</v>
      </c>
      <c r="BI23" s="993" t="s">
        <v>165</v>
      </c>
      <c r="BJ23" s="974">
        <f>IFERROR(__xludf.DUMMYFUNCTION("IFERROR(FILTER(IMPORTRANGE($F$8,""'Results [""&amp;if(BH$3="""",BH$2,BH$2&amp;"", ""&amp;BH$3)&amp;""]'!B1:B10""), IMPORTRANGE($F$8,""'Results [""&amp;if(BH$3="""",BH$2,BH$2&amp;"", ""&amp;BH$3)&amp;""]'!A1:A10"")=""75th Pctl""), ""-"")"),5.915715407811414)</f>
        <v>5.915715408</v>
      </c>
      <c r="BK23" s="972">
        <f>IFERROR(__xludf.DUMMYFUNCTION("IFERROR(FILTER(IMPORTRANGE($F$8,""'Results [""&amp;if(BK$3="""",BK$2,BK$2&amp;"", ""&amp;BK$3)&amp;""]'!B1:B10""), IMPORTRANGE($F$8,""'Results [""&amp;if(BK$3="""",BK$2,BK$2&amp;"", ""&amp;BK$3)&amp;""]'!A1:A10"")=""25th Pctl""), ""-"")"),4.4448200946939505)</f>
        <v>4.444820095</v>
      </c>
      <c r="BL23" s="993" t="s">
        <v>165</v>
      </c>
      <c r="BM23" s="974">
        <f>IFERROR(__xludf.DUMMYFUNCTION("IFERROR(FILTER(IMPORTRANGE($F$8,""'Results [""&amp;if(BK$3="""",BK$2,BK$2&amp;"", ""&amp;BK$3)&amp;""]'!B1:B10""), IMPORTRANGE($F$8,""'Results [""&amp;if(BK$3="""",BK$2,BK$2&amp;"", ""&amp;BK$3)&amp;""]'!A1:A10"")=""75th Pctl""), ""-"")"),16.120295531603112)</f>
        <v>16.12029553</v>
      </c>
      <c r="BN23" s="972">
        <f>IFERROR(__xludf.DUMMYFUNCTION("IFERROR(FILTER(IMPORTRANGE($F$8,""'Results [""&amp;if(BN$3="""",BN$2,BN$2&amp;"", ""&amp;BN$3)&amp;""]'!B1:B10""), IMPORTRANGE($F$8,""'Results [""&amp;if(BN$3="""",BN$2,BN$2&amp;"", ""&amp;BN$3)&amp;""]'!A1:A10"")=""25th Pctl""), ""-"")"),1.7389233785218041)</f>
        <v>1.738923379</v>
      </c>
      <c r="BO23" s="993" t="s">
        <v>165</v>
      </c>
      <c r="BP23" s="974">
        <f>IFERROR(__xludf.DUMMYFUNCTION("IFERROR(FILTER(IMPORTRANGE($F$8,""'Results [""&amp;if(BN$3="""",BN$2,BN$2&amp;"", ""&amp;BN$3)&amp;""]'!B1:B10""), IMPORTRANGE($F$8,""'Results [""&amp;if(BN$3="""",BN$2,BN$2&amp;"", ""&amp;BN$3)&amp;""]'!A1:A10"")=""75th Pctl""), ""-"")"),6.516496635610513)</f>
        <v>6.516496636</v>
      </c>
      <c r="BQ23" s="972">
        <f>IFERROR(__xludf.DUMMYFUNCTION("IFERROR(FILTER(IMPORTRANGE($F$8,""'Results [""&amp;if(BQ$3="""",BQ$2,BQ$2&amp;"", ""&amp;BQ$3)&amp;""]'!B1:B10""), IMPORTRANGE($F$8,""'Results [""&amp;if(BQ$3="""",BQ$2,BQ$2&amp;"", ""&amp;BQ$3)&amp;""]'!A1:A10"")=""25th Pctl""), ""-"")"),0.8360518032419477)</f>
        <v>0.8360518032</v>
      </c>
      <c r="BR23" s="993" t="s">
        <v>165</v>
      </c>
      <c r="BS23" s="974">
        <f>IFERROR(__xludf.DUMMYFUNCTION("IFERROR(FILTER(IMPORTRANGE($F$8,""'Results [""&amp;if(BQ$3="""",BQ$2,BQ$2&amp;"", ""&amp;BQ$3)&amp;""]'!B1:B10""), IMPORTRANGE($F$8,""'Results [""&amp;if(BQ$3="""",BQ$2,BQ$2&amp;"", ""&amp;BQ$3)&amp;""]'!A1:A10"")=""75th Pctl""), ""-"")"),3.2573086299129175)</f>
        <v>3.25730863</v>
      </c>
      <c r="BT23" s="972">
        <f>IFERROR(__xludf.DUMMYFUNCTION("IFERROR(FILTER(IMPORTRANGE($F$8,""'Results [""&amp;if(BT$3="""",BT$2,BT$2&amp;"", ""&amp;BT$3)&amp;""]'!B1:B10""), IMPORTRANGE($F$8,""'Results [""&amp;if(BT$3="""",BT$2,BT$2&amp;"", ""&amp;BT$3)&amp;""]'!A1:A10"")=""25th Pctl""), ""-"")"),2.933768654202905)</f>
        <v>2.933768654</v>
      </c>
      <c r="BU23" s="993" t="s">
        <v>165</v>
      </c>
      <c r="BV23" s="974">
        <f>IFERROR(__xludf.DUMMYFUNCTION("IFERROR(FILTER(IMPORTRANGE($F$8,""'Results [""&amp;if(BT$3="""",BT$2,BT$2&amp;"", ""&amp;BT$3)&amp;""]'!B1:B10""), IMPORTRANGE($F$8,""'Results [""&amp;if(BT$3="""",BT$2,BT$2&amp;"", ""&amp;BT$3)&amp;""]'!A1:A10"")=""75th Pctl""), ""-"")"),10.507653513264874)</f>
        <v>10.50765351</v>
      </c>
      <c r="BW23" s="972">
        <f>IFERROR(__xludf.DUMMYFUNCTION("IFERROR(FILTER(IMPORTRANGE($F$8,""'Results [""&amp;if(BW$3="""",BW$2,BW$2&amp;"", ""&amp;BW$3)&amp;""]'!B1:B10""), IMPORTRANGE($F$8,""'Results [""&amp;if(BW$3="""",BW$2,BW$2&amp;"", ""&amp;BW$3)&amp;""]'!A1:A10"")=""25th Pctl""), ""-"")"),11.00051977129726)</f>
        <v>11.00051977</v>
      </c>
      <c r="BX23" s="993" t="s">
        <v>165</v>
      </c>
      <c r="BY23" s="974">
        <f>IFERROR(__xludf.DUMMYFUNCTION("IFERROR(FILTER(IMPORTRANGE($F$8,""'Results [""&amp;if(BW$3="""",BW$2,BW$2&amp;"", ""&amp;BW$3)&amp;""]'!B1:B10""), IMPORTRANGE($F$8,""'Results [""&amp;if(BW$3="""",BW$2,BW$2&amp;"", ""&amp;BW$3)&amp;""]'!A1:A10"")=""75th Pctl""), ""-"")"),39.19165743349964)</f>
        <v>39.19165743</v>
      </c>
      <c r="BZ23" s="972">
        <f>IFERROR(__xludf.DUMMYFUNCTION("IFERROR(FILTER(IMPORTRANGE($F$8,""'Results [""&amp;if(BZ$3="""",BZ$2,BZ$2&amp;"", ""&amp;BZ$3)&amp;""]'!B1:B10""), IMPORTRANGE($F$8,""'Results [""&amp;if(BZ$3="""",BZ$2,BZ$2&amp;"", ""&amp;BZ$3)&amp;""]'!A1:A10"")=""25th Pctl""), ""-"")"),2.188080612360891)</f>
        <v>2.188080612</v>
      </c>
      <c r="CA23" s="993" t="s">
        <v>165</v>
      </c>
      <c r="CB23" s="974">
        <f>IFERROR(__xludf.DUMMYFUNCTION("IFERROR(FILTER(IMPORTRANGE($F$8,""'Results [""&amp;if(BZ$3="""",BZ$2,BZ$2&amp;"", ""&amp;BZ$3)&amp;""]'!B1:B10""), IMPORTRANGE($F$8,""'Results [""&amp;if(BZ$3="""",BZ$2,BZ$2&amp;"", ""&amp;BZ$3)&amp;""]'!A1:A10"")=""75th Pctl""), ""-"")"),8.417497989771897)</f>
        <v>8.41749799</v>
      </c>
      <c r="CC23" s="972">
        <f>IFERROR(__xludf.DUMMYFUNCTION("IFERROR(FILTER(IMPORTRANGE($F$8,""'Results [""&amp;if(CC$3="""",CC$2,CC$2&amp;"", ""&amp;CC$3)&amp;""]'!B1:B10""), IMPORTRANGE($F$8,""'Results [""&amp;if(CC$3="""",CC$2,CC$2&amp;"", ""&amp;CC$3)&amp;""]'!A1:A10"")=""25th Pctl""), ""-"")"),6.547788596906926)</f>
        <v>6.547788597</v>
      </c>
      <c r="CD23" s="993" t="s">
        <v>165</v>
      </c>
      <c r="CE23" s="974">
        <f>IFERROR(__xludf.DUMMYFUNCTION("IFERROR(FILTER(IMPORTRANGE($F$8,""'Results [""&amp;if(CC$3="""",CC$2,CC$2&amp;"", ""&amp;CC$3)&amp;""]'!B1:B10""), IMPORTRANGE($F$8,""'Results [""&amp;if(CC$3="""",CC$2,CC$2&amp;"", ""&amp;CC$3)&amp;""]'!A1:A10"")=""75th Pctl""), ""-"")"),28.637371530535248)</f>
        <v>28.63737153</v>
      </c>
      <c r="CF23" s="972">
        <f>IFERROR(__xludf.DUMMYFUNCTION("IFERROR(FILTER(IMPORTRANGE($F$8,""'Results [""&amp;if(CF$3="""",CF$2,CF$2&amp;"", ""&amp;CF$3)&amp;""]'!B1:B10""), IMPORTRANGE($F$8,""'Results [""&amp;if(CF$3="""",CF$2,CF$2&amp;"", ""&amp;CF$3)&amp;""]'!A1:A10"")=""25th Pctl""), ""-"")"),5.4976962371979035)</f>
        <v>5.497696237</v>
      </c>
      <c r="CG23" s="993" t="s">
        <v>165</v>
      </c>
      <c r="CH23" s="974">
        <f>IFERROR(__xludf.DUMMYFUNCTION("IFERROR(FILTER(IMPORTRANGE($F$8,""'Results [""&amp;if(CF$3="""",CF$2,CF$2&amp;"", ""&amp;CF$3)&amp;""]'!B1:B10""), IMPORTRANGE($F$8,""'Results [""&amp;if(CF$3="""",CF$2,CF$2&amp;"", ""&amp;CF$3)&amp;""]'!A1:A10"")=""75th Pctl""), ""-"")"),21.02733733614443)</f>
        <v>21.02733734</v>
      </c>
      <c r="CI23" s="972">
        <f>IFERROR(__xludf.DUMMYFUNCTION("IFERROR(FILTER(IMPORTRANGE($F$8,""'Results [""&amp;if(CI$3="""",CI$2,CI$2&amp;"", ""&amp;CI$3)&amp;""]'!B1:B10""), IMPORTRANGE($F$8,""'Results [""&amp;if(CI$3="""",CI$2,CI$2&amp;"", ""&amp;CI$3)&amp;""]'!A1:A10"")=""25th Pctl""), ""-"")"),2.199966627817428)</f>
        <v>2.199966628</v>
      </c>
      <c r="CJ23" s="993" t="s">
        <v>165</v>
      </c>
      <c r="CK23" s="974">
        <f>IFERROR(__xludf.DUMMYFUNCTION("IFERROR(FILTER(IMPORTRANGE($F$8,""'Results [""&amp;if(CI$3="""",CI$2,CI$2&amp;"", ""&amp;CI$3)&amp;""]'!B1:B10""), IMPORTRANGE($F$8,""'Results [""&amp;if(CI$3="""",CI$2,CI$2&amp;"", ""&amp;CI$3)&amp;""]'!A1:A10"")=""75th Pctl""), ""-"")"),8.864189174327693)</f>
        <v>8.864189174</v>
      </c>
      <c r="CL23" s="198"/>
    </row>
    <row r="24">
      <c r="A24" s="61"/>
      <c r="B24" s="61"/>
      <c r="C24" s="61"/>
      <c r="D24" s="61"/>
      <c r="E24" s="61"/>
      <c r="F24" s="969"/>
      <c r="G24" s="931"/>
      <c r="H24" s="969"/>
      <c r="I24" s="969"/>
      <c r="J24" s="931"/>
      <c r="K24" s="969"/>
      <c r="L24" s="969"/>
      <c r="M24" s="931"/>
      <c r="N24" s="969"/>
      <c r="O24" s="969"/>
      <c r="P24" s="931"/>
      <c r="Q24" s="969"/>
      <c r="R24" s="969"/>
      <c r="S24" s="931"/>
      <c r="T24" s="969"/>
      <c r="U24" s="969"/>
      <c r="V24" s="931"/>
      <c r="W24" s="969"/>
      <c r="X24" s="969"/>
      <c r="Y24" s="931"/>
      <c r="Z24" s="969"/>
      <c r="AA24" s="969"/>
      <c r="AB24" s="931"/>
      <c r="AC24" s="969"/>
      <c r="AD24" s="969"/>
      <c r="AE24" s="931"/>
      <c r="AF24" s="969"/>
      <c r="AG24" s="969"/>
      <c r="AH24" s="931"/>
      <c r="AI24" s="969"/>
      <c r="AJ24" s="969"/>
      <c r="AK24" s="931"/>
      <c r="AL24" s="969"/>
      <c r="AM24" s="969"/>
      <c r="AN24" s="931"/>
      <c r="AO24" s="969"/>
      <c r="AP24" s="969"/>
      <c r="AQ24" s="931"/>
      <c r="AR24" s="969"/>
      <c r="AS24" s="969"/>
      <c r="AT24" s="931"/>
      <c r="AU24" s="969"/>
      <c r="AV24" s="969"/>
      <c r="AW24" s="931"/>
      <c r="AX24" s="969"/>
      <c r="AY24" s="969"/>
      <c r="AZ24" s="931"/>
      <c r="BA24" s="969"/>
      <c r="BB24" s="969"/>
      <c r="BC24" s="931"/>
      <c r="BD24" s="969"/>
      <c r="BE24" s="1026"/>
      <c r="BF24" s="1027"/>
      <c r="BG24" s="969"/>
      <c r="BH24" s="969"/>
      <c r="BI24" s="931"/>
      <c r="BJ24" s="969"/>
      <c r="BK24" s="969"/>
      <c r="BL24" s="931"/>
      <c r="BM24" s="969"/>
      <c r="BN24" s="969"/>
      <c r="BO24" s="931"/>
      <c r="BP24" s="969"/>
      <c r="BQ24" s="969"/>
      <c r="BR24" s="931"/>
      <c r="BS24" s="969"/>
      <c r="BT24" s="969"/>
      <c r="BU24" s="931"/>
      <c r="BV24" s="969"/>
      <c r="BW24" s="969"/>
      <c r="BX24" s="931"/>
      <c r="BY24" s="969"/>
      <c r="BZ24" s="969"/>
      <c r="CA24" s="931"/>
      <c r="CB24" s="969"/>
      <c r="CC24" s="969"/>
      <c r="CD24" s="931"/>
      <c r="CE24" s="969"/>
      <c r="CF24" s="969"/>
      <c r="CG24" s="931"/>
      <c r="CH24" s="969"/>
      <c r="CI24" s="969"/>
      <c r="CJ24" s="931"/>
      <c r="CK24" s="969"/>
      <c r="CL24" s="198"/>
    </row>
    <row r="25">
      <c r="A25" s="885" t="s">
        <v>555</v>
      </c>
      <c r="B25" s="12"/>
      <c r="C25" s="12"/>
      <c r="D25" s="12"/>
      <c r="E25" s="12"/>
      <c r="F25" s="886"/>
      <c r="G25" s="887"/>
      <c r="H25" s="888"/>
      <c r="I25" s="886"/>
      <c r="J25" s="887"/>
      <c r="K25" s="888"/>
      <c r="L25" s="887"/>
      <c r="M25" s="887"/>
      <c r="N25" s="887"/>
      <c r="O25" s="886"/>
      <c r="P25" s="887"/>
      <c r="Q25" s="888"/>
      <c r="R25" s="886"/>
      <c r="S25" s="887"/>
      <c r="T25" s="888"/>
      <c r="U25" s="886"/>
      <c r="V25" s="887"/>
      <c r="W25" s="888"/>
      <c r="X25" s="886"/>
      <c r="Y25" s="887"/>
      <c r="Z25" s="888"/>
      <c r="AA25" s="886"/>
      <c r="AB25" s="887"/>
      <c r="AC25" s="888"/>
      <c r="AD25" s="886"/>
      <c r="AE25" s="887"/>
      <c r="AF25" s="888"/>
      <c r="AG25" s="886"/>
      <c r="AH25" s="887"/>
      <c r="AI25" s="888"/>
      <c r="AJ25" s="886"/>
      <c r="AK25" s="887"/>
      <c r="AL25" s="888"/>
      <c r="AM25" s="886"/>
      <c r="AN25" s="887"/>
      <c r="AO25" s="888"/>
      <c r="AP25" s="886"/>
      <c r="AQ25" s="887"/>
      <c r="AR25" s="888"/>
      <c r="AS25" s="886"/>
      <c r="AT25" s="887"/>
      <c r="AU25" s="888"/>
      <c r="AV25" s="886"/>
      <c r="AW25" s="887"/>
      <c r="AX25" s="888"/>
      <c r="AY25" s="886"/>
      <c r="AZ25" s="887"/>
      <c r="BA25" s="888"/>
      <c r="BB25" s="886"/>
      <c r="BC25" s="887"/>
      <c r="BD25" s="888"/>
      <c r="BE25" s="887"/>
      <c r="BF25" s="887"/>
      <c r="BG25" s="887"/>
      <c r="BH25" s="886"/>
      <c r="BI25" s="887"/>
      <c r="BJ25" s="888"/>
      <c r="BK25" s="886"/>
      <c r="BL25" s="887"/>
      <c r="BM25" s="888"/>
      <c r="BN25" s="886"/>
      <c r="BO25" s="887"/>
      <c r="BP25" s="888"/>
      <c r="BQ25" s="886"/>
      <c r="BR25" s="887"/>
      <c r="BS25" s="888"/>
      <c r="BT25" s="886"/>
      <c r="BU25" s="887"/>
      <c r="BV25" s="888"/>
      <c r="BW25" s="886"/>
      <c r="BX25" s="887"/>
      <c r="BY25" s="888"/>
      <c r="BZ25" s="886"/>
      <c r="CA25" s="887"/>
      <c r="CB25" s="888"/>
      <c r="CC25" s="886"/>
      <c r="CD25" s="887"/>
      <c r="CE25" s="888"/>
      <c r="CF25" s="886"/>
      <c r="CG25" s="887"/>
      <c r="CH25" s="888"/>
      <c r="CI25" s="886"/>
      <c r="CJ25" s="887"/>
      <c r="CK25" s="888"/>
      <c r="CL25" s="959"/>
    </row>
    <row r="26">
      <c r="A26" s="1028"/>
      <c r="B26" s="1029"/>
      <c r="C26" s="1029"/>
      <c r="D26" s="1029"/>
      <c r="E26" s="1030" t="s">
        <v>96</v>
      </c>
      <c r="F26" s="1031" t="s">
        <v>165</v>
      </c>
      <c r="G26" s="1032">
        <v>1000000.0</v>
      </c>
      <c r="H26" s="1033" t="s">
        <v>165</v>
      </c>
      <c r="I26" s="1031" t="s">
        <v>165</v>
      </c>
      <c r="J26" s="1032">
        <v>1000000.0</v>
      </c>
      <c r="K26" s="1033" t="s">
        <v>165</v>
      </c>
      <c r="L26" s="1031" t="s">
        <v>165</v>
      </c>
      <c r="M26" s="1032">
        <v>1000000.0</v>
      </c>
      <c r="N26" s="1033" t="s">
        <v>165</v>
      </c>
      <c r="O26" s="1031" t="s">
        <v>165</v>
      </c>
      <c r="P26" s="1032">
        <v>1000000.0</v>
      </c>
      <c r="Q26" s="1033" t="s">
        <v>165</v>
      </c>
      <c r="R26" s="1031" t="s">
        <v>165</v>
      </c>
      <c r="S26" s="1032">
        <v>1000000.0</v>
      </c>
      <c r="T26" s="1033" t="s">
        <v>165</v>
      </c>
      <c r="U26" s="1031" t="s">
        <v>165</v>
      </c>
      <c r="V26" s="1032">
        <v>1000000.0</v>
      </c>
      <c r="W26" s="1033" t="s">
        <v>165</v>
      </c>
      <c r="X26" s="1031" t="s">
        <v>165</v>
      </c>
      <c r="Y26" s="1032">
        <v>1000000.0</v>
      </c>
      <c r="Z26" s="1033" t="s">
        <v>165</v>
      </c>
      <c r="AA26" s="1031" t="s">
        <v>165</v>
      </c>
      <c r="AB26" s="1032">
        <v>1000000.0</v>
      </c>
      <c r="AC26" s="1033" t="s">
        <v>165</v>
      </c>
      <c r="AD26" s="1031" t="s">
        <v>165</v>
      </c>
      <c r="AE26" s="1032">
        <v>1000000.0</v>
      </c>
      <c r="AF26" s="1033" t="s">
        <v>165</v>
      </c>
      <c r="AG26" s="1031" t="s">
        <v>165</v>
      </c>
      <c r="AH26" s="1032">
        <v>1000000.0</v>
      </c>
      <c r="AI26" s="1033" t="s">
        <v>165</v>
      </c>
      <c r="AJ26" s="1031" t="s">
        <v>165</v>
      </c>
      <c r="AK26" s="1032">
        <v>1000000.0</v>
      </c>
      <c r="AL26" s="1033" t="s">
        <v>165</v>
      </c>
      <c r="AM26" s="1031" t="s">
        <v>165</v>
      </c>
      <c r="AN26" s="1032">
        <v>1000000.0</v>
      </c>
      <c r="AO26" s="1033" t="s">
        <v>165</v>
      </c>
      <c r="AP26" s="1031" t="s">
        <v>165</v>
      </c>
      <c r="AQ26" s="1032">
        <v>1000000.0</v>
      </c>
      <c r="AR26" s="1033" t="s">
        <v>165</v>
      </c>
      <c r="AS26" s="1031" t="s">
        <v>165</v>
      </c>
      <c r="AT26" s="1032">
        <v>1000000.0</v>
      </c>
      <c r="AU26" s="1033" t="s">
        <v>165</v>
      </c>
      <c r="AV26" s="1031" t="s">
        <v>165</v>
      </c>
      <c r="AW26" s="1032">
        <v>1000000.0</v>
      </c>
      <c r="AX26" s="1033" t="s">
        <v>165</v>
      </c>
      <c r="AY26" s="1031" t="s">
        <v>165</v>
      </c>
      <c r="AZ26" s="1032">
        <v>1000000.0</v>
      </c>
      <c r="BA26" s="1033" t="s">
        <v>165</v>
      </c>
      <c r="BB26" s="1031" t="s">
        <v>165</v>
      </c>
      <c r="BC26" s="1032">
        <v>1000000.0</v>
      </c>
      <c r="BD26" s="1033" t="s">
        <v>165</v>
      </c>
      <c r="BE26" s="1031" t="s">
        <v>165</v>
      </c>
      <c r="BF26" s="1032">
        <v>1000000.0</v>
      </c>
      <c r="BG26" s="1033" t="s">
        <v>165</v>
      </c>
      <c r="BH26" s="1031" t="s">
        <v>165</v>
      </c>
      <c r="BI26" s="1032">
        <v>1000000.0</v>
      </c>
      <c r="BJ26" s="1033" t="s">
        <v>165</v>
      </c>
      <c r="BK26" s="1031" t="s">
        <v>165</v>
      </c>
      <c r="BL26" s="1032">
        <v>1000000.0</v>
      </c>
      <c r="BM26" s="1033" t="s">
        <v>165</v>
      </c>
      <c r="BN26" s="1031" t="s">
        <v>165</v>
      </c>
      <c r="BO26" s="1032">
        <v>1000000.0</v>
      </c>
      <c r="BP26" s="1033" t="s">
        <v>165</v>
      </c>
      <c r="BQ26" s="1031" t="s">
        <v>165</v>
      </c>
      <c r="BR26" s="1032">
        <v>1000000.0</v>
      </c>
      <c r="BS26" s="1033" t="s">
        <v>165</v>
      </c>
      <c r="BT26" s="1031" t="s">
        <v>165</v>
      </c>
      <c r="BU26" s="1032">
        <v>1000000.0</v>
      </c>
      <c r="BV26" s="1033" t="s">
        <v>165</v>
      </c>
      <c r="BW26" s="1031" t="s">
        <v>165</v>
      </c>
      <c r="BX26" s="1032">
        <v>1000000.0</v>
      </c>
      <c r="BY26" s="1033" t="s">
        <v>165</v>
      </c>
      <c r="BZ26" s="1031" t="s">
        <v>165</v>
      </c>
      <c r="CA26" s="1032">
        <v>1000000.0</v>
      </c>
      <c r="CB26" s="1033" t="s">
        <v>165</v>
      </c>
      <c r="CC26" s="1031" t="s">
        <v>165</v>
      </c>
      <c r="CD26" s="1032">
        <v>1000000.0</v>
      </c>
      <c r="CE26" s="1033" t="s">
        <v>165</v>
      </c>
      <c r="CF26" s="1031" t="s">
        <v>165</v>
      </c>
      <c r="CG26" s="1032">
        <v>1000000.0</v>
      </c>
      <c r="CH26" s="1033" t="s">
        <v>165</v>
      </c>
      <c r="CI26" s="1031" t="s">
        <v>165</v>
      </c>
      <c r="CJ26" s="1032">
        <v>1000000.0</v>
      </c>
      <c r="CK26" s="1033" t="s">
        <v>165</v>
      </c>
      <c r="CL26" s="1029"/>
    </row>
    <row r="27">
      <c r="A27" s="197"/>
      <c r="B27" s="198"/>
      <c r="C27" s="61"/>
      <c r="D27" s="61"/>
      <c r="E27" s="892" t="str">
        <f>'Confidence intervals'!E8</f>
        <v>Cost per person under age five reached</v>
      </c>
      <c r="F27" s="893">
        <f>'Confidence intervals'!F8</f>
        <v>0.77</v>
      </c>
      <c r="G27" s="894">
        <f>'Confidence intervals'!G8</f>
        <v>1.342811377</v>
      </c>
      <c r="H27" s="895">
        <f>'Confidence intervals'!H8</f>
        <v>2.68</v>
      </c>
      <c r="I27" s="893">
        <f>'Confidence intervals'!I8</f>
        <v>0.85</v>
      </c>
      <c r="J27" s="894">
        <f>'Confidence intervals'!J8</f>
        <v>1.455595956</v>
      </c>
      <c r="K27" s="895">
        <f>'Confidence intervals'!K8</f>
        <v>2.89</v>
      </c>
      <c r="L27" s="893">
        <f>'Confidence intervals'!L8</f>
        <v>0.73</v>
      </c>
      <c r="M27" s="894">
        <f>'Confidence intervals'!M8</f>
        <v>1.282417722</v>
      </c>
      <c r="N27" s="895">
        <f>'Confidence intervals'!N8</f>
        <v>2.57</v>
      </c>
      <c r="O27" s="893">
        <f>'Confidence intervals'!O8</f>
        <v>0.73</v>
      </c>
      <c r="P27" s="894">
        <f>'Confidence intervals'!P8</f>
        <v>1.282417722</v>
      </c>
      <c r="Q27" s="895">
        <f>'Confidence intervals'!Q8</f>
        <v>2.57</v>
      </c>
      <c r="R27" s="893">
        <f>'Confidence intervals'!R8</f>
        <v>1.1</v>
      </c>
      <c r="S27" s="894">
        <f>'Confidence intervals'!S8</f>
        <v>1.815199452</v>
      </c>
      <c r="T27" s="895">
        <f>'Confidence intervals'!T8</f>
        <v>3.5</v>
      </c>
      <c r="U27" s="893">
        <f>'Confidence intervals'!U8</f>
        <v>0.73</v>
      </c>
      <c r="V27" s="894">
        <f>'Confidence intervals'!V8</f>
        <v>1.282417722</v>
      </c>
      <c r="W27" s="895">
        <f>'Confidence intervals'!W8</f>
        <v>2.57</v>
      </c>
      <c r="X27" s="893">
        <f>'Confidence intervals'!X8</f>
        <v>0.73</v>
      </c>
      <c r="Y27" s="894">
        <f>'Confidence intervals'!Y8</f>
        <v>1.282417722</v>
      </c>
      <c r="Z27" s="895">
        <f>'Confidence intervals'!Z8</f>
        <v>2.57</v>
      </c>
      <c r="AA27" s="893">
        <f>'Confidence intervals'!AA8</f>
        <v>0.54</v>
      </c>
      <c r="AB27" s="894">
        <f>'Confidence intervals'!AB8</f>
        <v>0.9867351615</v>
      </c>
      <c r="AC27" s="895">
        <f>'Confidence intervals'!AC8</f>
        <v>2.04</v>
      </c>
      <c r="AD27" s="893">
        <f>'Confidence intervals'!AD8</f>
        <v>0.59</v>
      </c>
      <c r="AE27" s="894">
        <f>'Confidence intervals'!AE8</f>
        <v>1.06786488</v>
      </c>
      <c r="AF27" s="895">
        <f>'Confidence intervals'!AF8</f>
        <v>2.19</v>
      </c>
      <c r="AG27" s="893">
        <f>'Confidence intervals'!AG8</f>
        <v>0.73</v>
      </c>
      <c r="AH27" s="894">
        <f>'Confidence intervals'!AH8</f>
        <v>1.282417722</v>
      </c>
      <c r="AI27" s="895">
        <f>'Confidence intervals'!AI8</f>
        <v>2.57</v>
      </c>
      <c r="AJ27" s="893">
        <f>'Confidence intervals'!AJ8</f>
        <v>0.73</v>
      </c>
      <c r="AK27" s="894">
        <f>'Confidence intervals'!AK8</f>
        <v>1.282417722</v>
      </c>
      <c r="AL27" s="895">
        <f>'Confidence intervals'!AL8</f>
        <v>2.57</v>
      </c>
      <c r="AM27" s="893">
        <f>'Confidence intervals'!AM8</f>
        <v>0.73</v>
      </c>
      <c r="AN27" s="894">
        <f>'Confidence intervals'!AN8</f>
        <v>1.282417722</v>
      </c>
      <c r="AO27" s="895">
        <f>'Confidence intervals'!AO8</f>
        <v>2.57</v>
      </c>
      <c r="AP27" s="893">
        <f>'Confidence intervals'!AP8</f>
        <v>0.73</v>
      </c>
      <c r="AQ27" s="894">
        <f>'Confidence intervals'!AQ8</f>
        <v>1.282417722</v>
      </c>
      <c r="AR27" s="895">
        <f>'Confidence intervals'!AR8</f>
        <v>2.57</v>
      </c>
      <c r="AS27" s="893">
        <f>'Confidence intervals'!AS8</f>
        <v>0.73</v>
      </c>
      <c r="AT27" s="894">
        <f>'Confidence intervals'!AT8</f>
        <v>1.282417722</v>
      </c>
      <c r="AU27" s="895">
        <f>'Confidence intervals'!AU8</f>
        <v>2.57</v>
      </c>
      <c r="AV27" s="893">
        <f>'Confidence intervals'!AV8</f>
        <v>0.73</v>
      </c>
      <c r="AW27" s="894">
        <f>'Confidence intervals'!AW8</f>
        <v>1.282417722</v>
      </c>
      <c r="AX27" s="895">
        <f>'Confidence intervals'!AX8</f>
        <v>2.57</v>
      </c>
      <c r="AY27" s="893">
        <f>'Confidence intervals'!AY8</f>
        <v>0.73</v>
      </c>
      <c r="AZ27" s="894">
        <f>'Confidence intervals'!AZ8</f>
        <v>1.282417722</v>
      </c>
      <c r="BA27" s="895">
        <f>'Confidence intervals'!BA8</f>
        <v>2.57</v>
      </c>
      <c r="BB27" s="893">
        <f>'Confidence intervals'!BB8</f>
        <v>0.73</v>
      </c>
      <c r="BC27" s="894">
        <f>'Confidence intervals'!BC8</f>
        <v>1.282417722</v>
      </c>
      <c r="BD27" s="895">
        <f>'Confidence intervals'!BD8</f>
        <v>2.57</v>
      </c>
      <c r="BE27" s="893">
        <f>'Confidence intervals'!BE8</f>
        <v>0.73</v>
      </c>
      <c r="BF27" s="894">
        <f>'Confidence intervals'!BF8</f>
        <v>1.282417722</v>
      </c>
      <c r="BG27" s="895">
        <f>'Confidence intervals'!BG8</f>
        <v>2.57</v>
      </c>
      <c r="BH27" s="893">
        <f>'Confidence intervals'!BH8</f>
        <v>0.73</v>
      </c>
      <c r="BI27" s="894">
        <f>'Confidence intervals'!BI8</f>
        <v>1.282417722</v>
      </c>
      <c r="BJ27" s="895">
        <f>'Confidence intervals'!BJ8</f>
        <v>2.57</v>
      </c>
      <c r="BK27" s="893">
        <f>'Confidence intervals'!BK8</f>
        <v>0.73</v>
      </c>
      <c r="BL27" s="894">
        <f>'Confidence intervals'!BL8</f>
        <v>1.282417722</v>
      </c>
      <c r="BM27" s="895">
        <f>'Confidence intervals'!BM8</f>
        <v>2.57</v>
      </c>
      <c r="BN27" s="893">
        <f>'Confidence intervals'!BN8</f>
        <v>0.73</v>
      </c>
      <c r="BO27" s="894">
        <f>'Confidence intervals'!BO8</f>
        <v>1.282417722</v>
      </c>
      <c r="BP27" s="895">
        <f>'Confidence intervals'!BP8</f>
        <v>2.57</v>
      </c>
      <c r="BQ27" s="893">
        <f>'Confidence intervals'!BQ8</f>
        <v>0.73</v>
      </c>
      <c r="BR27" s="894">
        <f>'Confidence intervals'!BR8</f>
        <v>1.282417722</v>
      </c>
      <c r="BS27" s="895">
        <f>'Confidence intervals'!BS8</f>
        <v>2.57</v>
      </c>
      <c r="BT27" s="893">
        <f>'Confidence intervals'!BT8</f>
        <v>0.73</v>
      </c>
      <c r="BU27" s="894">
        <f>'Confidence intervals'!BU8</f>
        <v>1.282417722</v>
      </c>
      <c r="BV27" s="895">
        <f>'Confidence intervals'!BV8</f>
        <v>2.57</v>
      </c>
      <c r="BW27" s="893">
        <f>'Confidence intervals'!BW8</f>
        <v>0.73</v>
      </c>
      <c r="BX27" s="894">
        <f>'Confidence intervals'!BX8</f>
        <v>1.282417722</v>
      </c>
      <c r="BY27" s="895">
        <f>'Confidence intervals'!BY8</f>
        <v>2.57</v>
      </c>
      <c r="BZ27" s="893">
        <f>'Confidence intervals'!BZ8</f>
        <v>1.33</v>
      </c>
      <c r="CA27" s="894">
        <f>'Confidence intervals'!CA8</f>
        <v>2.136372</v>
      </c>
      <c r="CB27" s="895">
        <f>'Confidence intervals'!CB8</f>
        <v>4.02</v>
      </c>
      <c r="CC27" s="893">
        <f>'Confidence intervals'!CC8</f>
        <v>1.33</v>
      </c>
      <c r="CD27" s="894">
        <f>'Confidence intervals'!CD8</f>
        <v>2.136372</v>
      </c>
      <c r="CE27" s="895">
        <f>'Confidence intervals'!CE8</f>
        <v>4.02</v>
      </c>
      <c r="CF27" s="893">
        <f>'Confidence intervals'!CF8</f>
        <v>0.9</v>
      </c>
      <c r="CG27" s="894">
        <f>'Confidence intervals'!CG8</f>
        <v>1.5253</v>
      </c>
      <c r="CH27" s="895">
        <f>'Confidence intervals'!CH8</f>
        <v>3.01</v>
      </c>
      <c r="CI27" s="893">
        <f>'Confidence intervals'!CI8</f>
        <v>0.82</v>
      </c>
      <c r="CJ27" s="894">
        <f>'Confidence intervals'!CJ8</f>
        <v>1.424248</v>
      </c>
      <c r="CK27" s="895">
        <f>'Confidence intervals'!CK8</f>
        <v>2.82</v>
      </c>
      <c r="CL27" s="198"/>
    </row>
    <row r="28">
      <c r="A28" s="197"/>
      <c r="B28" s="198"/>
      <c r="C28" s="61"/>
      <c r="D28" s="198"/>
      <c r="E28" s="892" t="str">
        <f>'Confidence intervals'!E9</f>
        <v>Proportion of reached children who would have received VAS in the absence of the program</v>
      </c>
      <c r="F28" s="916">
        <f>'Confidence intervals'!F9</f>
        <v>0.15</v>
      </c>
      <c r="G28" s="917">
        <f>'Confidence intervals'!G9</f>
        <v>0.25</v>
      </c>
      <c r="H28" s="918">
        <f>'Confidence intervals'!H9</f>
        <v>0.45</v>
      </c>
      <c r="I28" s="916">
        <f>'Confidence intervals'!I9</f>
        <v>0.15</v>
      </c>
      <c r="J28" s="917">
        <f>'Confidence intervals'!J9</f>
        <v>0.25</v>
      </c>
      <c r="K28" s="918">
        <f>'Confidence intervals'!K9</f>
        <v>0.45</v>
      </c>
      <c r="L28" s="916">
        <f>'Confidence intervals'!L9</f>
        <v>0.15</v>
      </c>
      <c r="M28" s="917">
        <f>'Confidence intervals'!M9</f>
        <v>0.25</v>
      </c>
      <c r="N28" s="918">
        <f>'Confidence intervals'!N9</f>
        <v>0.45</v>
      </c>
      <c r="O28" s="916">
        <f>'Confidence intervals'!O9</f>
        <v>0.15</v>
      </c>
      <c r="P28" s="917">
        <f>'Confidence intervals'!P9</f>
        <v>0.25</v>
      </c>
      <c r="Q28" s="918">
        <f>'Confidence intervals'!Q9</f>
        <v>0.45</v>
      </c>
      <c r="R28" s="916">
        <f>'Confidence intervals'!R9</f>
        <v>0.15</v>
      </c>
      <c r="S28" s="917">
        <f>'Confidence intervals'!S9</f>
        <v>0.25</v>
      </c>
      <c r="T28" s="918">
        <f>'Confidence intervals'!T9</f>
        <v>0.45</v>
      </c>
      <c r="U28" s="916">
        <f>'Confidence intervals'!U9</f>
        <v>0.15</v>
      </c>
      <c r="V28" s="917">
        <f>'Confidence intervals'!V9</f>
        <v>0.25</v>
      </c>
      <c r="W28" s="918">
        <f>'Confidence intervals'!W9</f>
        <v>0.45</v>
      </c>
      <c r="X28" s="916">
        <f>'Confidence intervals'!X9</f>
        <v>0.3</v>
      </c>
      <c r="Y28" s="917">
        <f>'Confidence intervals'!Y9</f>
        <v>0.44</v>
      </c>
      <c r="Z28" s="918">
        <f>'Confidence intervals'!Z9</f>
        <v>0.55</v>
      </c>
      <c r="AA28" s="916">
        <f>'Confidence intervals'!AA9</f>
        <v>0.15</v>
      </c>
      <c r="AB28" s="917">
        <f>'Confidence intervals'!AB9</f>
        <v>0.25</v>
      </c>
      <c r="AC28" s="918">
        <f>'Confidence intervals'!AC9</f>
        <v>0.45</v>
      </c>
      <c r="AD28" s="916">
        <f>'Confidence intervals'!AD9</f>
        <v>0.15</v>
      </c>
      <c r="AE28" s="917">
        <f>'Confidence intervals'!AE9</f>
        <v>0.25</v>
      </c>
      <c r="AF28" s="918">
        <f>'Confidence intervals'!AF9</f>
        <v>0.45</v>
      </c>
      <c r="AG28" s="916">
        <f>'Confidence intervals'!AG9</f>
        <v>0.15</v>
      </c>
      <c r="AH28" s="917">
        <f>'Confidence intervals'!AH9</f>
        <v>0.25</v>
      </c>
      <c r="AI28" s="918">
        <f>'Confidence intervals'!AI9</f>
        <v>0.45</v>
      </c>
      <c r="AJ28" s="916">
        <f>'Confidence intervals'!AJ9</f>
        <v>0.15</v>
      </c>
      <c r="AK28" s="917">
        <f>'Confidence intervals'!AK9</f>
        <v>0.25</v>
      </c>
      <c r="AL28" s="918">
        <f>'Confidence intervals'!AL9</f>
        <v>0.45</v>
      </c>
      <c r="AM28" s="916">
        <f>'Confidence intervals'!AM9</f>
        <v>0.15</v>
      </c>
      <c r="AN28" s="917">
        <f>'Confidence intervals'!AN9</f>
        <v>0.25</v>
      </c>
      <c r="AO28" s="918">
        <f>'Confidence intervals'!AO9</f>
        <v>0.45</v>
      </c>
      <c r="AP28" s="916">
        <f>'Confidence intervals'!AP9</f>
        <v>0.15</v>
      </c>
      <c r="AQ28" s="917">
        <f>'Confidence intervals'!AQ9</f>
        <v>0.25</v>
      </c>
      <c r="AR28" s="918">
        <f>'Confidence intervals'!AR9</f>
        <v>0.45</v>
      </c>
      <c r="AS28" s="916">
        <f>'Confidence intervals'!AS9</f>
        <v>0.15</v>
      </c>
      <c r="AT28" s="917">
        <f>'Confidence intervals'!AT9</f>
        <v>0.25</v>
      </c>
      <c r="AU28" s="918">
        <f>'Confidence intervals'!AU9</f>
        <v>0.45</v>
      </c>
      <c r="AV28" s="916">
        <f>'Confidence intervals'!AV9</f>
        <v>0.15</v>
      </c>
      <c r="AW28" s="917">
        <f>'Confidence intervals'!AW9</f>
        <v>0.25</v>
      </c>
      <c r="AX28" s="918">
        <f>'Confidence intervals'!AX9</f>
        <v>0.45</v>
      </c>
      <c r="AY28" s="916">
        <f>'Confidence intervals'!AY9</f>
        <v>0.15</v>
      </c>
      <c r="AZ28" s="917">
        <f>'Confidence intervals'!AZ9</f>
        <v>0.25</v>
      </c>
      <c r="BA28" s="918">
        <f>'Confidence intervals'!BA9</f>
        <v>0.45</v>
      </c>
      <c r="BB28" s="916">
        <f>'Confidence intervals'!BB9</f>
        <v>0.15</v>
      </c>
      <c r="BC28" s="917">
        <f>'Confidence intervals'!BC9</f>
        <v>0.25</v>
      </c>
      <c r="BD28" s="918">
        <f>'Confidence intervals'!BD9</f>
        <v>0.45</v>
      </c>
      <c r="BE28" s="916">
        <f>'Confidence intervals'!BE9</f>
        <v>0.15</v>
      </c>
      <c r="BF28" s="917">
        <f>'Confidence intervals'!BF9</f>
        <v>0.25</v>
      </c>
      <c r="BG28" s="918">
        <f>'Confidence intervals'!BG9</f>
        <v>0.45</v>
      </c>
      <c r="BH28" s="916">
        <f>'Confidence intervals'!BH9</f>
        <v>0.15</v>
      </c>
      <c r="BI28" s="917">
        <f>'Confidence intervals'!BI9</f>
        <v>0.25</v>
      </c>
      <c r="BJ28" s="918">
        <f>'Confidence intervals'!BJ9</f>
        <v>0.45</v>
      </c>
      <c r="BK28" s="916">
        <f>'Confidence intervals'!BK9</f>
        <v>0.15</v>
      </c>
      <c r="BL28" s="917">
        <f>'Confidence intervals'!BL9</f>
        <v>0.25</v>
      </c>
      <c r="BM28" s="918">
        <f>'Confidence intervals'!BM9</f>
        <v>0.45</v>
      </c>
      <c r="BN28" s="916">
        <f>'Confidence intervals'!BN9</f>
        <v>0.15</v>
      </c>
      <c r="BO28" s="917">
        <f>'Confidence intervals'!BO9</f>
        <v>0.25</v>
      </c>
      <c r="BP28" s="918">
        <f>'Confidence intervals'!BP9</f>
        <v>0.45</v>
      </c>
      <c r="BQ28" s="916">
        <f>'Confidence intervals'!BQ9</f>
        <v>0.15</v>
      </c>
      <c r="BR28" s="917">
        <f>'Confidence intervals'!BR9</f>
        <v>0.25</v>
      </c>
      <c r="BS28" s="918">
        <f>'Confidence intervals'!BS9</f>
        <v>0.45</v>
      </c>
      <c r="BT28" s="916">
        <f>'Confidence intervals'!BT9</f>
        <v>0.15</v>
      </c>
      <c r="BU28" s="917">
        <f>'Confidence intervals'!BU9</f>
        <v>0.25</v>
      </c>
      <c r="BV28" s="918">
        <f>'Confidence intervals'!BV9</f>
        <v>0.45</v>
      </c>
      <c r="BW28" s="916">
        <f>'Confidence intervals'!BW9</f>
        <v>0.15</v>
      </c>
      <c r="BX28" s="917">
        <f>'Confidence intervals'!BX9</f>
        <v>0.25</v>
      </c>
      <c r="BY28" s="918">
        <f>'Confidence intervals'!BY9</f>
        <v>0.45</v>
      </c>
      <c r="BZ28" s="916">
        <f>'Confidence intervals'!BZ9</f>
        <v>0.15</v>
      </c>
      <c r="CA28" s="917">
        <f>'Confidence intervals'!CA9</f>
        <v>0.25</v>
      </c>
      <c r="CB28" s="918">
        <f>'Confidence intervals'!CB9</f>
        <v>0.45</v>
      </c>
      <c r="CC28" s="916">
        <f>'Confidence intervals'!CC9</f>
        <v>0.15</v>
      </c>
      <c r="CD28" s="917">
        <f>'Confidence intervals'!CD9</f>
        <v>0.25</v>
      </c>
      <c r="CE28" s="918">
        <f>'Confidence intervals'!CE9</f>
        <v>0.45</v>
      </c>
      <c r="CF28" s="916">
        <f>'Confidence intervals'!CF9</f>
        <v>0.15</v>
      </c>
      <c r="CG28" s="917">
        <f>'Confidence intervals'!CG9</f>
        <v>0.25</v>
      </c>
      <c r="CH28" s="918">
        <f>'Confidence intervals'!CH9</f>
        <v>0.45</v>
      </c>
      <c r="CI28" s="916">
        <f>'Confidence intervals'!CI9</f>
        <v>0.15</v>
      </c>
      <c r="CJ28" s="917">
        <f>'Confidence intervals'!CJ9</f>
        <v>0.25</v>
      </c>
      <c r="CK28" s="918">
        <f>'Confidence intervals'!CK9</f>
        <v>0.45</v>
      </c>
      <c r="CL28" s="198"/>
    </row>
    <row r="29">
      <c r="A29" s="197"/>
      <c r="B29" s="198"/>
      <c r="C29" s="61"/>
      <c r="D29" s="198"/>
      <c r="E29" s="892" t="str">
        <f>'Confidence intervals'!E10</f>
        <v>Mortality rate among people under age five</v>
      </c>
      <c r="F29" s="1034">
        <f>'Confidence intervals'!F10</f>
        <v>0.0122</v>
      </c>
      <c r="G29" s="1035">
        <f>'Confidence intervals'!G10</f>
        <v>0.01543581269</v>
      </c>
      <c r="H29" s="1036">
        <f>'Confidence intervals'!H10</f>
        <v>0.019</v>
      </c>
      <c r="I29" s="1034">
        <f>'Confidence intervals'!I10</f>
        <v>0.0057</v>
      </c>
      <c r="J29" s="1035">
        <f>'Confidence intervals'!J10</f>
        <v>0.007588106664</v>
      </c>
      <c r="K29" s="1036">
        <f>'Confidence intervals'!K10</f>
        <v>0.0097</v>
      </c>
      <c r="L29" s="1034">
        <f>'Confidence intervals'!L10</f>
        <v>0.0059</v>
      </c>
      <c r="M29" s="1035">
        <f>'Confidence intervals'!M10</f>
        <v>0.007795854829</v>
      </c>
      <c r="N29" s="1036">
        <f>'Confidence intervals'!N10</f>
        <v>0.01</v>
      </c>
      <c r="O29" s="1034">
        <f>'Confidence intervals'!O10</f>
        <v>0.0048</v>
      </c>
      <c r="P29" s="1035">
        <f>'Confidence intervals'!P10</f>
        <v>0.006520100368</v>
      </c>
      <c r="Q29" s="1036">
        <f>'Confidence intervals'!Q10</f>
        <v>0.0084</v>
      </c>
      <c r="R29" s="1034">
        <f>'Confidence intervals'!R10</f>
        <v>0.01</v>
      </c>
      <c r="S29" s="1035">
        <f>'Confidence intervals'!S10</f>
        <v>0.01278698548</v>
      </c>
      <c r="T29" s="1036">
        <f>'Confidence intervals'!T10</f>
        <v>0.016</v>
      </c>
      <c r="U29" s="1034">
        <f>'Confidence intervals'!U10</f>
        <v>0.0025</v>
      </c>
      <c r="V29" s="1035">
        <f>'Confidence intervals'!V10</f>
        <v>0.003466406111</v>
      </c>
      <c r="W29" s="1036">
        <f>'Confidence intervals'!W10</f>
        <v>0.0046</v>
      </c>
      <c r="X29" s="1034">
        <f>'Confidence intervals'!X10</f>
        <v>0.0052</v>
      </c>
      <c r="Y29" s="1035">
        <f>'Confidence intervals'!Y10</f>
        <v>0.006879944324</v>
      </c>
      <c r="Z29" s="1036">
        <f>'Confidence intervals'!Z10</f>
        <v>0.0089</v>
      </c>
      <c r="AA29" s="1034">
        <f>'Confidence intervals'!AA10</f>
        <v>0.0126</v>
      </c>
      <c r="AB29" s="1035">
        <f>'Confidence intervals'!AB10</f>
        <v>0.01588123004</v>
      </c>
      <c r="AC29" s="1036">
        <f>'Confidence intervals'!AC10</f>
        <v>0.0196</v>
      </c>
      <c r="AD29" s="1034">
        <f>'Confidence intervals'!AD10</f>
        <v>0.0141</v>
      </c>
      <c r="AE29" s="1035">
        <f>'Confidence intervals'!AE10</f>
        <v>0.01761109049</v>
      </c>
      <c r="AF29" s="1036">
        <f>'Confidence intervals'!AF10</f>
        <v>0.0216</v>
      </c>
      <c r="AG29" s="1034">
        <f>'Confidence intervals'!AG10</f>
        <v>0.0111</v>
      </c>
      <c r="AH29" s="1035">
        <f>'Confidence intervals'!AH10</f>
        <v>0.01411382925</v>
      </c>
      <c r="AI29" s="1036">
        <f>'Confidence intervals'!AI10</f>
        <v>0.0175</v>
      </c>
      <c r="AJ29" s="1034">
        <f>'Confidence intervals'!AJ10</f>
        <v>0.0041</v>
      </c>
      <c r="AK29" s="1035">
        <f>'Confidence intervals'!AK10</f>
        <v>0.00559969822</v>
      </c>
      <c r="AL29" s="1036">
        <f>'Confidence intervals'!AL10</f>
        <v>0.0073</v>
      </c>
      <c r="AM29" s="1034">
        <f>'Confidence intervals'!AM10</f>
        <v>0.0029</v>
      </c>
      <c r="AN29" s="1035">
        <f>'Confidence intervals'!AN10</f>
        <v>0.003966311828</v>
      </c>
      <c r="AO29" s="1036">
        <f>'Confidence intervals'!AO10</f>
        <v>0.0053</v>
      </c>
      <c r="AP29" s="1034">
        <f>'Confidence intervals'!AP10</f>
        <v>0.0067</v>
      </c>
      <c r="AQ29" s="1035">
        <f>'Confidence intervals'!AQ10</f>
        <v>0.008786834442</v>
      </c>
      <c r="AR29" s="1036">
        <f>'Confidence intervals'!AR10</f>
        <v>0.0112</v>
      </c>
      <c r="AS29" s="1034">
        <f>'Confidence intervals'!AS10</f>
        <v>0.0056</v>
      </c>
      <c r="AT29" s="1035">
        <f>'Confidence intervals'!AT10</f>
        <v>0.007377865941</v>
      </c>
      <c r="AU29" s="1036">
        <f>'Confidence intervals'!AU10</f>
        <v>0.0095</v>
      </c>
      <c r="AV29" s="1034">
        <f>'Confidence intervals'!AV10</f>
        <v>0.007</v>
      </c>
      <c r="AW29" s="1035">
        <f>'Confidence intervals'!AW10</f>
        <v>0.009159672463</v>
      </c>
      <c r="AX29" s="1036">
        <f>'Confidence intervals'!AX10</f>
        <v>0.0117</v>
      </c>
      <c r="AY29" s="1034">
        <f>'Confidence intervals'!AY10</f>
        <v>0.0041</v>
      </c>
      <c r="AZ29" s="1035">
        <f>'Confidence intervals'!AZ10</f>
        <v>0.005616928291</v>
      </c>
      <c r="BA29" s="1036">
        <f>'Confidence intervals'!BA10</f>
        <v>0.0073</v>
      </c>
      <c r="BB29" s="1034">
        <f>'Confidence intervals'!BB10</f>
        <v>0.0049</v>
      </c>
      <c r="BC29" s="1035">
        <f>'Confidence intervals'!BC10</f>
        <v>0.006577533704</v>
      </c>
      <c r="BD29" s="1036">
        <f>'Confidence intervals'!BD10</f>
        <v>0.0085</v>
      </c>
      <c r="BE29" s="1034">
        <f>'Confidence intervals'!BE10</f>
        <v>0.0028</v>
      </c>
      <c r="BF29" s="1035">
        <f>'Confidence intervals'!BF10</f>
        <v>0.003893455107</v>
      </c>
      <c r="BG29" s="1036">
        <f>'Confidence intervals'!BG10</f>
        <v>0.0051</v>
      </c>
      <c r="BH29" s="1034">
        <f>'Confidence intervals'!BH10</f>
        <v>0.0035</v>
      </c>
      <c r="BI29" s="1035">
        <f>'Confidence intervals'!BI10</f>
        <v>0.004793341674</v>
      </c>
      <c r="BJ29" s="1036">
        <f>'Confidence intervals'!BJ10</f>
        <v>0.0063</v>
      </c>
      <c r="BK29" s="1034">
        <f>'Confidence intervals'!BK10</f>
        <v>0.0067</v>
      </c>
      <c r="BL29" s="1035">
        <f>'Confidence intervals'!BL10</f>
        <v>0.008795466362</v>
      </c>
      <c r="BM29" s="1036">
        <f>'Confidence intervals'!BM10</f>
        <v>0.0112</v>
      </c>
      <c r="BN29" s="1034">
        <f>'Confidence intervals'!BN10</f>
        <v>0.0043</v>
      </c>
      <c r="BO29" s="1035">
        <f>'Confidence intervals'!BO10</f>
        <v>0.005790887862</v>
      </c>
      <c r="BP29" s="1036">
        <f>'Confidence intervals'!BP10</f>
        <v>0.0075</v>
      </c>
      <c r="BQ29" s="1034">
        <f>'Confidence intervals'!BQ10</f>
        <v>0.0026</v>
      </c>
      <c r="BR29" s="1035">
        <f>'Confidence intervals'!BR10</f>
        <v>0.0035747515</v>
      </c>
      <c r="BS29" s="1036">
        <f>'Confidence intervals'!BS10</f>
        <v>0.0047</v>
      </c>
      <c r="BT29" s="1034">
        <f>'Confidence intervals'!BT10</f>
        <v>0.0058</v>
      </c>
      <c r="BU29" s="1035">
        <f>'Confidence intervals'!BU10</f>
        <v>0.007691314662</v>
      </c>
      <c r="BV29" s="1036">
        <f>'Confidence intervals'!BV10</f>
        <v>0.0099</v>
      </c>
      <c r="BW29" s="1034">
        <f>'Confidence intervals'!BW10</f>
        <v>0.0122</v>
      </c>
      <c r="BX29" s="1035">
        <f>'Confidence intervals'!BX10</f>
        <v>0.01541046111</v>
      </c>
      <c r="BY29" s="1036">
        <f>'Confidence intervals'!BY10</f>
        <v>0.019</v>
      </c>
      <c r="BZ29" s="1034">
        <f>'Confidence intervals'!BZ10</f>
        <v>0.0041</v>
      </c>
      <c r="CA29" s="1035">
        <f>'Confidence intervals'!CA10</f>
        <v>0.005588155257</v>
      </c>
      <c r="CB29" s="1036">
        <f>'Confidence intervals'!CB10</f>
        <v>0.0073</v>
      </c>
      <c r="CC29" s="1034">
        <f>'Confidence intervals'!CC10</f>
        <v>0.0126</v>
      </c>
      <c r="CD29" s="1035">
        <f>'Confidence intervals'!CD10</f>
        <v>0.01587165981</v>
      </c>
      <c r="CE29" s="1036">
        <f>'Confidence intervals'!CE10</f>
        <v>0.0196</v>
      </c>
      <c r="CF29" s="1037">
        <f>'Confidence intervals'!CF10</f>
        <v>0.0056</v>
      </c>
      <c r="CG29" s="1038">
        <f>'Confidence intervals'!CG10</f>
        <v>0.007467940526</v>
      </c>
      <c r="CH29" s="1039">
        <f>'Confidence intervals'!CH10</f>
        <v>0.0096</v>
      </c>
      <c r="CI29" s="1034">
        <f>'Confidence intervals'!CI10</f>
        <v>0.0045</v>
      </c>
      <c r="CJ29" s="1035">
        <f>'Confidence intervals'!CJ10</f>
        <v>0.005978099296</v>
      </c>
      <c r="CK29" s="1036">
        <f>'Confidence intervals'!CK10</f>
        <v>0.0078</v>
      </c>
      <c r="CL29" s="198"/>
    </row>
    <row r="30">
      <c r="A30" s="197"/>
      <c r="B30" s="198"/>
      <c r="C30" s="61"/>
      <c r="D30" s="198"/>
      <c r="E30" s="892" t="str">
        <f>'Confidence intervals'!E11</f>
        <v>Effect of VAS on under-five mortality</v>
      </c>
      <c r="F30" s="1034">
        <f>'Confidence intervals'!F11</f>
        <v>0.012</v>
      </c>
      <c r="G30" s="1035">
        <f>'Confidence intervals'!G11</f>
        <v>0.06418487839</v>
      </c>
      <c r="H30" s="1036">
        <f>'Confidence intervals'!H11</f>
        <v>0.097</v>
      </c>
      <c r="I30" s="1034">
        <f>'Confidence intervals'!I11</f>
        <v>0.033</v>
      </c>
      <c r="J30" s="1035">
        <f>'Confidence intervals'!J11</f>
        <v>0.1084006136</v>
      </c>
      <c r="K30" s="1036">
        <f>'Confidence intervals'!K11</f>
        <v>0.15</v>
      </c>
      <c r="L30" s="1034">
        <f>'Confidence intervals'!L11</f>
        <v>0.008</v>
      </c>
      <c r="M30" s="1035">
        <f>'Confidence intervals'!M11</f>
        <v>0.05252285309</v>
      </c>
      <c r="N30" s="1036">
        <f>'Confidence intervals'!N11</f>
        <v>0.082</v>
      </c>
      <c r="O30" s="1034">
        <f>'Confidence intervals'!O11</f>
        <v>0.027</v>
      </c>
      <c r="P30" s="1035">
        <f>'Confidence intervals'!P11</f>
        <v>0.09733968501</v>
      </c>
      <c r="Q30" s="1036">
        <f>'Confidence intervals'!Q11</f>
        <v>0.15</v>
      </c>
      <c r="R30" s="1034">
        <f>'Confidence intervals'!R11</f>
        <v>0.01</v>
      </c>
      <c r="S30" s="1035">
        <f>'Confidence intervals'!S11</f>
        <v>0.05933184692</v>
      </c>
      <c r="T30" s="1036">
        <f>'Confidence intervals'!T11</f>
        <v>0.09</v>
      </c>
      <c r="U30" s="1034">
        <f>'Confidence intervals'!U11</f>
        <v>0.012</v>
      </c>
      <c r="V30" s="1035">
        <f>'Confidence intervals'!V11</f>
        <v>0.06335750418</v>
      </c>
      <c r="W30" s="1036">
        <f>'Confidence intervals'!W11</f>
        <v>0.095</v>
      </c>
      <c r="X30" s="1034">
        <f>'Confidence intervals'!X11</f>
        <v>0.04</v>
      </c>
      <c r="Y30" s="1035">
        <f>'Confidence intervals'!Y11</f>
        <v>0.1214627135</v>
      </c>
      <c r="Z30" s="1036">
        <f>'Confidence intervals'!Z11</f>
        <v>0.15</v>
      </c>
      <c r="AA30" s="1034">
        <f>'Confidence intervals'!AA11</f>
        <v>0.016</v>
      </c>
      <c r="AB30" s="1035">
        <f>'Confidence intervals'!AB11</f>
        <v>0.07269667889</v>
      </c>
      <c r="AC30" s="1036">
        <f>'Confidence intervals'!AC11</f>
        <v>0.109</v>
      </c>
      <c r="AD30" s="1034">
        <f>'Confidence intervals'!AD11</f>
        <v>0.038</v>
      </c>
      <c r="AE30" s="1035">
        <f>'Confidence intervals'!AE11</f>
        <v>0.1192188434</v>
      </c>
      <c r="AF30" s="1036">
        <f>'Confidence intervals'!AF11</f>
        <v>0.15</v>
      </c>
      <c r="AG30" s="1034">
        <f>'Confidence intervals'!AG11</f>
        <v>0.011</v>
      </c>
      <c r="AH30" s="1035">
        <f>'Confidence intervals'!AH11</f>
        <v>0.06094937633</v>
      </c>
      <c r="AI30" s="1036">
        <f>'Confidence intervals'!AI11</f>
        <v>0.093</v>
      </c>
      <c r="AJ30" s="1034">
        <f>'Confidence intervals'!AJ11</f>
        <v>0.002</v>
      </c>
      <c r="AK30" s="1035">
        <f>'Confidence intervals'!AK11</f>
        <v>0.0331203195</v>
      </c>
      <c r="AL30" s="1036">
        <f>'Confidence intervals'!AL11</f>
        <v>0.053</v>
      </c>
      <c r="AM30" s="1034">
        <f>'Confidence intervals'!AM11</f>
        <v>0</v>
      </c>
      <c r="AN30" s="1035">
        <f>'Confidence intervals'!AN11</f>
        <v>0.02574976582</v>
      </c>
      <c r="AO30" s="1036">
        <f>'Confidence intervals'!AO11</f>
        <v>0.042</v>
      </c>
      <c r="AP30" s="1034">
        <f>'Confidence intervals'!AP11</f>
        <v>0.005</v>
      </c>
      <c r="AQ30" s="1035">
        <f>'Confidence intervals'!AQ11</f>
        <v>0.04412402664</v>
      </c>
      <c r="AR30" s="1036">
        <f>'Confidence intervals'!AR11</f>
        <v>0.069</v>
      </c>
      <c r="AS30" s="1034">
        <f>'Confidence intervals'!AS11</f>
        <v>0.001</v>
      </c>
      <c r="AT30" s="1035">
        <f>'Confidence intervals'!AT11</f>
        <v>0.02934105639</v>
      </c>
      <c r="AU30" s="1036">
        <f>'Confidence intervals'!AU11</f>
        <v>0.047</v>
      </c>
      <c r="AV30" s="1034">
        <f>'Confidence intervals'!AV11</f>
        <v>0.01</v>
      </c>
      <c r="AW30" s="1035">
        <f>'Confidence intervals'!AW11</f>
        <v>0.05955477798</v>
      </c>
      <c r="AX30" s="1036">
        <f>'Confidence intervals'!AX11</f>
        <v>0.091</v>
      </c>
      <c r="AY30" s="1034">
        <f>'Confidence intervals'!AY11</f>
        <v>0.001</v>
      </c>
      <c r="AZ30" s="1035">
        <f>'Confidence intervals'!AZ11</f>
        <v>0.028786826</v>
      </c>
      <c r="BA30" s="1036">
        <f>'Confidence intervals'!BA11</f>
        <v>0.047</v>
      </c>
      <c r="BB30" s="1034">
        <f>'Confidence intervals'!BB11</f>
        <v>0.003</v>
      </c>
      <c r="BC30" s="1035">
        <f>'Confidence intervals'!BC11</f>
        <v>0.0371011226</v>
      </c>
      <c r="BD30" s="1036">
        <f>'Confidence intervals'!BD11</f>
        <v>0.059</v>
      </c>
      <c r="BE30" s="1034">
        <f>'Confidence intervals'!BE11</f>
        <v>0.002</v>
      </c>
      <c r="BF30" s="1035">
        <f>'Confidence intervals'!BF11</f>
        <v>0.03486095153</v>
      </c>
      <c r="BG30" s="1036">
        <f>'Confidence intervals'!BG11</f>
        <v>0.056</v>
      </c>
      <c r="BH30" s="1034">
        <f>'Confidence intervals'!BH11</f>
        <v>0.003</v>
      </c>
      <c r="BI30" s="1035">
        <f>'Confidence intervals'!BI11</f>
        <v>0.03683074522</v>
      </c>
      <c r="BJ30" s="1036">
        <f>'Confidence intervals'!BJ11</f>
        <v>0.059</v>
      </c>
      <c r="BK30" s="1034">
        <f>'Confidence intervals'!BK11</f>
        <v>0.008</v>
      </c>
      <c r="BL30" s="1035">
        <f>'Confidence intervals'!BL11</f>
        <v>0.05508425133</v>
      </c>
      <c r="BM30" s="1036">
        <f>'Confidence intervals'!BM11</f>
        <v>0.084</v>
      </c>
      <c r="BN30" s="1034">
        <f>'Confidence intervals'!BN11</f>
        <v>0.002</v>
      </c>
      <c r="BO30" s="1035">
        <f>'Confidence intervals'!BO11</f>
        <v>0.03485718392</v>
      </c>
      <c r="BP30" s="1036">
        <f>'Confidence intervals'!BP11</f>
        <v>0.056</v>
      </c>
      <c r="BQ30" s="1034">
        <f>'Confidence intervals'!BQ11</f>
        <v>0.001</v>
      </c>
      <c r="BR30" s="1035">
        <f>'Confidence intervals'!BR11</f>
        <v>0.02881675545</v>
      </c>
      <c r="BS30" s="1036">
        <f>'Confidence intervals'!BS11</f>
        <v>0.047</v>
      </c>
      <c r="BT30" s="1034">
        <f>'Confidence intervals'!BT11</f>
        <v>0.004</v>
      </c>
      <c r="BU30" s="1035">
        <f>'Confidence intervals'!BU11</f>
        <v>0.04093717916</v>
      </c>
      <c r="BV30" s="1036">
        <f>'Confidence intervals'!BV11</f>
        <v>0.065</v>
      </c>
      <c r="BW30" s="1034">
        <f>'Confidence intervals'!BW11</f>
        <v>0.017</v>
      </c>
      <c r="BX30" s="1035">
        <f>'Confidence intervals'!BX11</f>
        <v>0.07501954197</v>
      </c>
      <c r="BY30" s="1036">
        <f>'Confidence intervals'!BY11</f>
        <v>0.112</v>
      </c>
      <c r="BZ30" s="1034">
        <f>'Confidence intervals'!BZ11</f>
        <v>0.016</v>
      </c>
      <c r="CA30" s="1035">
        <f>'Confidence intervals'!CA11</f>
        <v>0.07193930445</v>
      </c>
      <c r="CB30" s="1036">
        <f>'Confidence intervals'!CB11</f>
        <v>0.108</v>
      </c>
      <c r="CC30" s="1034">
        <f>'Confidence intervals'!CC11</f>
        <v>0.043</v>
      </c>
      <c r="CD30" s="1035">
        <f>'Confidence intervals'!CD11</f>
        <v>0.1202372686</v>
      </c>
      <c r="CE30" s="1036">
        <f>'Confidence intervals'!CE11</f>
        <v>0.15</v>
      </c>
      <c r="CF30" s="1034">
        <f>'Confidence intervals'!CF11</f>
        <v>0.035</v>
      </c>
      <c r="CG30" s="1035">
        <f>'Confidence intervals'!CG11</f>
        <v>0.1132996133</v>
      </c>
      <c r="CH30" s="1036">
        <f>'Confidence intervals'!CH11</f>
        <v>0.15</v>
      </c>
      <c r="CI30" s="1034">
        <f>'Confidence intervals'!CI11</f>
        <v>0.009</v>
      </c>
      <c r="CJ30" s="1035">
        <f>'Confidence intervals'!CJ11</f>
        <v>0.05693112903</v>
      </c>
      <c r="CK30" s="1036">
        <f>'Confidence intervals'!CK11</f>
        <v>0.087</v>
      </c>
      <c r="CL30" s="198"/>
    </row>
    <row r="31">
      <c r="A31" s="197"/>
      <c r="B31" s="198"/>
      <c r="C31" s="61"/>
      <c r="D31" s="198"/>
      <c r="E31" s="892" t="str">
        <f>'Confidence intervals'!E14</f>
        <v>Adjustment to account for developmental benefits (long-term income increases)</v>
      </c>
      <c r="F31" s="1034">
        <f>'Confidence intervals'!F14</f>
        <v>0.05</v>
      </c>
      <c r="G31" s="1035">
        <f>'Confidence intervals'!G14</f>
        <v>0.245176</v>
      </c>
      <c r="H31" s="1036">
        <f>'Confidence intervals'!H14</f>
        <v>0.6</v>
      </c>
      <c r="I31" s="1034">
        <f>'Confidence intervals'!I14</f>
        <v>0.05</v>
      </c>
      <c r="J31" s="1035">
        <f>'Confidence intervals'!J14</f>
        <v>0.245176</v>
      </c>
      <c r="K31" s="1036">
        <f>'Confidence intervals'!K14</f>
        <v>0.6</v>
      </c>
      <c r="L31" s="1034">
        <f>'Confidence intervals'!L14</f>
        <v>0.05</v>
      </c>
      <c r="M31" s="1035">
        <f>'Confidence intervals'!M14</f>
        <v>0.245176</v>
      </c>
      <c r="N31" s="1036">
        <f>'Confidence intervals'!N14</f>
        <v>0.6</v>
      </c>
      <c r="O31" s="1034">
        <f>'Confidence intervals'!O14</f>
        <v>0.05</v>
      </c>
      <c r="P31" s="1035">
        <f>'Confidence intervals'!P14</f>
        <v>0.245176</v>
      </c>
      <c r="Q31" s="1036">
        <f>'Confidence intervals'!Q14</f>
        <v>0.6</v>
      </c>
      <c r="R31" s="1034">
        <f>'Confidence intervals'!R14</f>
        <v>0.05</v>
      </c>
      <c r="S31" s="1035">
        <f>'Confidence intervals'!S14</f>
        <v>0.245176</v>
      </c>
      <c r="T31" s="1036">
        <f>'Confidence intervals'!T14</f>
        <v>0.6</v>
      </c>
      <c r="U31" s="1034">
        <f>'Confidence intervals'!U14</f>
        <v>0.05</v>
      </c>
      <c r="V31" s="1035">
        <f>'Confidence intervals'!V14</f>
        <v>0.245176</v>
      </c>
      <c r="W31" s="1036">
        <f>'Confidence intervals'!W14</f>
        <v>0.6</v>
      </c>
      <c r="X31" s="1034">
        <f>'Confidence intervals'!X14</f>
        <v>0.05</v>
      </c>
      <c r="Y31" s="1035">
        <f>'Confidence intervals'!Y14</f>
        <v>0.245176</v>
      </c>
      <c r="Z31" s="1036">
        <f>'Confidence intervals'!Z14</f>
        <v>0.6</v>
      </c>
      <c r="AA31" s="1034">
        <f>'Confidence intervals'!AA14</f>
        <v>0.05</v>
      </c>
      <c r="AB31" s="1035">
        <f>'Confidence intervals'!AB14</f>
        <v>0.245176</v>
      </c>
      <c r="AC31" s="1036">
        <f>'Confidence intervals'!AC14</f>
        <v>0.6</v>
      </c>
      <c r="AD31" s="1034">
        <f>'Confidence intervals'!AD14</f>
        <v>0.05</v>
      </c>
      <c r="AE31" s="1035">
        <f>'Confidence intervals'!AE14</f>
        <v>0.245176</v>
      </c>
      <c r="AF31" s="1036">
        <f>'Confidence intervals'!AF14</f>
        <v>0.6</v>
      </c>
      <c r="AG31" s="1034">
        <f>'Confidence intervals'!AG14</f>
        <v>0.05</v>
      </c>
      <c r="AH31" s="1035">
        <f>'Confidence intervals'!AH14</f>
        <v>0.245176</v>
      </c>
      <c r="AI31" s="1036">
        <f>'Confidence intervals'!AI14</f>
        <v>0.6</v>
      </c>
      <c r="AJ31" s="1034">
        <f>'Confidence intervals'!AJ14</f>
        <v>0.05</v>
      </c>
      <c r="AK31" s="1035">
        <f>'Confidence intervals'!AK14</f>
        <v>0.245176</v>
      </c>
      <c r="AL31" s="1036">
        <f>'Confidence intervals'!AL14</f>
        <v>0.6</v>
      </c>
      <c r="AM31" s="1034">
        <f>'Confidence intervals'!AM14</f>
        <v>0.05</v>
      </c>
      <c r="AN31" s="1035">
        <f>'Confidence intervals'!AN14</f>
        <v>0.245176</v>
      </c>
      <c r="AO31" s="1036">
        <f>'Confidence intervals'!AO14</f>
        <v>0.6</v>
      </c>
      <c r="AP31" s="1034">
        <f>'Confidence intervals'!AP14</f>
        <v>0.05</v>
      </c>
      <c r="AQ31" s="1035">
        <f>'Confidence intervals'!AQ14</f>
        <v>0.245176</v>
      </c>
      <c r="AR31" s="1036">
        <f>'Confidence intervals'!AR14</f>
        <v>0.6</v>
      </c>
      <c r="AS31" s="1034">
        <f>'Confidence intervals'!AS14</f>
        <v>0.05</v>
      </c>
      <c r="AT31" s="1035">
        <f>'Confidence intervals'!AT14</f>
        <v>0.245176</v>
      </c>
      <c r="AU31" s="1036">
        <f>'Confidence intervals'!AU14</f>
        <v>0.6</v>
      </c>
      <c r="AV31" s="1034">
        <f>'Confidence intervals'!AV14</f>
        <v>0.05</v>
      </c>
      <c r="AW31" s="1035">
        <f>'Confidence intervals'!AW14</f>
        <v>0.245176</v>
      </c>
      <c r="AX31" s="1036">
        <f>'Confidence intervals'!AX14</f>
        <v>0.6</v>
      </c>
      <c r="AY31" s="1034">
        <f>'Confidence intervals'!AY14</f>
        <v>0.05</v>
      </c>
      <c r="AZ31" s="1035">
        <f>'Confidence intervals'!AZ14</f>
        <v>0.245176</v>
      </c>
      <c r="BA31" s="1036">
        <f>'Confidence intervals'!BA14</f>
        <v>0.6</v>
      </c>
      <c r="BB31" s="1034">
        <f>'Confidence intervals'!BB14</f>
        <v>0.05</v>
      </c>
      <c r="BC31" s="1035">
        <f>'Confidence intervals'!BC14</f>
        <v>0.245176</v>
      </c>
      <c r="BD31" s="1036">
        <f>'Confidence intervals'!BD14</f>
        <v>0.6</v>
      </c>
      <c r="BE31" s="1034">
        <f>'Confidence intervals'!BE14</f>
        <v>0.05</v>
      </c>
      <c r="BF31" s="1035">
        <f>'Confidence intervals'!BF14</f>
        <v>0.245176</v>
      </c>
      <c r="BG31" s="1036">
        <f>'Confidence intervals'!BG14</f>
        <v>0.6</v>
      </c>
      <c r="BH31" s="1034">
        <f>'Confidence intervals'!BH14</f>
        <v>0.05</v>
      </c>
      <c r="BI31" s="1035">
        <f>'Confidence intervals'!BI14</f>
        <v>0.245176</v>
      </c>
      <c r="BJ31" s="1036">
        <f>'Confidence intervals'!BJ14</f>
        <v>0.6</v>
      </c>
      <c r="BK31" s="1034">
        <f>'Confidence intervals'!BK14</f>
        <v>0.05</v>
      </c>
      <c r="BL31" s="1035">
        <f>'Confidence intervals'!BL14</f>
        <v>0.245176</v>
      </c>
      <c r="BM31" s="1036">
        <f>'Confidence intervals'!BM14</f>
        <v>0.6</v>
      </c>
      <c r="BN31" s="1034">
        <f>'Confidence intervals'!BN14</f>
        <v>0.05</v>
      </c>
      <c r="BO31" s="1035">
        <f>'Confidence intervals'!BO14</f>
        <v>0.245176</v>
      </c>
      <c r="BP31" s="1036">
        <f>'Confidence intervals'!BP14</f>
        <v>0.6</v>
      </c>
      <c r="BQ31" s="1034">
        <f>'Confidence intervals'!BQ14</f>
        <v>0.05</v>
      </c>
      <c r="BR31" s="1035">
        <f>'Confidence intervals'!BR14</f>
        <v>0.245176</v>
      </c>
      <c r="BS31" s="1036">
        <f>'Confidence intervals'!BS14</f>
        <v>0.6</v>
      </c>
      <c r="BT31" s="1034">
        <f>'Confidence intervals'!BT14</f>
        <v>0.05</v>
      </c>
      <c r="BU31" s="1035">
        <f>'Confidence intervals'!BU14</f>
        <v>0.245176</v>
      </c>
      <c r="BV31" s="1036">
        <f>'Confidence intervals'!BV14</f>
        <v>0.6</v>
      </c>
      <c r="BW31" s="1034">
        <f>'Confidence intervals'!BW14</f>
        <v>0.05</v>
      </c>
      <c r="BX31" s="1035">
        <f>'Confidence intervals'!BX14</f>
        <v>0.245176</v>
      </c>
      <c r="BY31" s="1036">
        <f>'Confidence intervals'!BY14</f>
        <v>0.6</v>
      </c>
      <c r="BZ31" s="1034">
        <f>'Confidence intervals'!BZ14</f>
        <v>0.05</v>
      </c>
      <c r="CA31" s="1035">
        <f>'Confidence intervals'!CA14</f>
        <v>0.245176</v>
      </c>
      <c r="CB31" s="1036">
        <f>'Confidence intervals'!CB14</f>
        <v>0.6</v>
      </c>
      <c r="CC31" s="1034">
        <f>'Confidence intervals'!CC14</f>
        <v>0.05</v>
      </c>
      <c r="CD31" s="1035">
        <f>'Confidence intervals'!CD14</f>
        <v>0.245176</v>
      </c>
      <c r="CE31" s="1036">
        <f>'Confidence intervals'!CE14</f>
        <v>0.6</v>
      </c>
      <c r="CF31" s="1034">
        <f>'Confidence intervals'!CF14</f>
        <v>0.05</v>
      </c>
      <c r="CG31" s="1035">
        <f>'Confidence intervals'!CG14</f>
        <v>0.245176</v>
      </c>
      <c r="CH31" s="1036">
        <f>'Confidence intervals'!CH14</f>
        <v>0.6</v>
      </c>
      <c r="CI31" s="1034">
        <f>'Confidence intervals'!CI14</f>
        <v>0.05</v>
      </c>
      <c r="CJ31" s="1035">
        <f>'Confidence intervals'!CJ14</f>
        <v>0.245176</v>
      </c>
      <c r="CK31" s="1036">
        <f>'Confidence intervals'!CK14</f>
        <v>0.6</v>
      </c>
      <c r="CL31" s="198"/>
    </row>
    <row r="32">
      <c r="A32" s="197"/>
      <c r="B32" s="198"/>
      <c r="C32" s="61"/>
      <c r="D32" s="198"/>
      <c r="E32" s="892" t="str">
        <f>'Confidence intervals'!E17</f>
        <v>Adjustment for additional program benefits and downsides</v>
      </c>
      <c r="F32" s="1034">
        <f>'Confidence intervals'!F17</f>
        <v>0.51</v>
      </c>
      <c r="G32" s="1035">
        <f>'Confidence intervals'!G17</f>
        <v>0.665</v>
      </c>
      <c r="H32" s="1036">
        <f>'Confidence intervals'!H17</f>
        <v>0.84</v>
      </c>
      <c r="I32" s="1034">
        <f>'Confidence intervals'!I17</f>
        <v>0.49</v>
      </c>
      <c r="J32" s="1035">
        <f>'Confidence intervals'!J17</f>
        <v>0.665</v>
      </c>
      <c r="K32" s="1036">
        <f>'Confidence intervals'!K17</f>
        <v>0.86</v>
      </c>
      <c r="L32" s="1034">
        <f>'Confidence intervals'!L17</f>
        <v>0.49</v>
      </c>
      <c r="M32" s="1035">
        <f>'Confidence intervals'!M17</f>
        <v>0.665</v>
      </c>
      <c r="N32" s="1036">
        <f>'Confidence intervals'!N17</f>
        <v>0.85</v>
      </c>
      <c r="O32" s="1034">
        <f>'Confidence intervals'!O17</f>
        <v>0.49</v>
      </c>
      <c r="P32" s="1035">
        <f>'Confidence intervals'!P17</f>
        <v>0.665</v>
      </c>
      <c r="Q32" s="1036">
        <f>'Confidence intervals'!Q17</f>
        <v>0.85</v>
      </c>
      <c r="R32" s="1034">
        <f>'Confidence intervals'!R17</f>
        <v>0.48</v>
      </c>
      <c r="S32" s="1035">
        <f>'Confidence intervals'!S17</f>
        <v>0.665</v>
      </c>
      <c r="T32" s="1036">
        <f>'Confidence intervals'!T17</f>
        <v>0.84</v>
      </c>
      <c r="U32" s="1034">
        <f>'Confidence intervals'!U17</f>
        <v>0.49</v>
      </c>
      <c r="V32" s="1035">
        <f>'Confidence intervals'!V17</f>
        <v>0.665</v>
      </c>
      <c r="W32" s="1036">
        <f>'Confidence intervals'!W17</f>
        <v>0.84</v>
      </c>
      <c r="X32" s="1034">
        <f>'Confidence intervals'!X17</f>
        <v>0.49</v>
      </c>
      <c r="Y32" s="1035">
        <f>'Confidence intervals'!Y17</f>
        <v>0.665</v>
      </c>
      <c r="Z32" s="1036">
        <f>'Confidence intervals'!Z17</f>
        <v>0.85</v>
      </c>
      <c r="AA32" s="1034">
        <f>'Confidence intervals'!AA17</f>
        <v>0.5</v>
      </c>
      <c r="AB32" s="1035">
        <f>'Confidence intervals'!AB17</f>
        <v>0.665</v>
      </c>
      <c r="AC32" s="1036">
        <f>'Confidence intervals'!AC17</f>
        <v>0.84</v>
      </c>
      <c r="AD32" s="1034">
        <f>'Confidence intervals'!AD17</f>
        <v>0.48</v>
      </c>
      <c r="AE32" s="1035">
        <f>'Confidence intervals'!AE17</f>
        <v>0.665</v>
      </c>
      <c r="AF32" s="1036">
        <f>'Confidence intervals'!AF17</f>
        <v>0.85</v>
      </c>
      <c r="AG32" s="1034">
        <f>'Confidence intervals'!AG17</f>
        <v>0.5</v>
      </c>
      <c r="AH32" s="1035">
        <f>'Confidence intervals'!AH17</f>
        <v>0.665</v>
      </c>
      <c r="AI32" s="1036">
        <f>'Confidence intervals'!AI17</f>
        <v>0.85</v>
      </c>
      <c r="AJ32" s="1034">
        <f>'Confidence intervals'!AJ17</f>
        <v>0.47</v>
      </c>
      <c r="AK32" s="1035">
        <f>'Confidence intervals'!AK17</f>
        <v>0.665</v>
      </c>
      <c r="AL32" s="1036">
        <f>'Confidence intervals'!AL17</f>
        <v>0.85</v>
      </c>
      <c r="AM32" s="1034">
        <f>'Confidence intervals'!AM17</f>
        <v>0.49</v>
      </c>
      <c r="AN32" s="1035">
        <f>'Confidence intervals'!AN17</f>
        <v>0.665</v>
      </c>
      <c r="AO32" s="1036">
        <f>'Confidence intervals'!AO17</f>
        <v>0.85</v>
      </c>
      <c r="AP32" s="1034">
        <f>'Confidence intervals'!AP17</f>
        <v>0.51</v>
      </c>
      <c r="AQ32" s="1035">
        <f>'Confidence intervals'!AQ17</f>
        <v>0.665</v>
      </c>
      <c r="AR32" s="1036">
        <f>'Confidence intervals'!AR17</f>
        <v>0.84</v>
      </c>
      <c r="AS32" s="1034">
        <f>'Confidence intervals'!AS17</f>
        <v>0.5</v>
      </c>
      <c r="AT32" s="1035">
        <f>'Confidence intervals'!AT17</f>
        <v>0.665</v>
      </c>
      <c r="AU32" s="1036">
        <f>'Confidence intervals'!AU17</f>
        <v>0.85</v>
      </c>
      <c r="AV32" s="1034">
        <f>'Confidence intervals'!AV17</f>
        <v>0.49</v>
      </c>
      <c r="AW32" s="1035">
        <f>'Confidence intervals'!AW17</f>
        <v>0.665</v>
      </c>
      <c r="AX32" s="1036">
        <f>'Confidence intervals'!AX17</f>
        <v>0.84</v>
      </c>
      <c r="AY32" s="1034">
        <f>'Confidence intervals'!AY17</f>
        <v>0.48</v>
      </c>
      <c r="AZ32" s="1035">
        <f>'Confidence intervals'!AZ17</f>
        <v>0.665</v>
      </c>
      <c r="BA32" s="1036">
        <f>'Confidence intervals'!BA17</f>
        <v>0.84</v>
      </c>
      <c r="BB32" s="1034">
        <f>'Confidence intervals'!BB17</f>
        <v>0.48</v>
      </c>
      <c r="BC32" s="1035">
        <f>'Confidence intervals'!BC17</f>
        <v>0.665</v>
      </c>
      <c r="BD32" s="1036">
        <f>'Confidence intervals'!BD17</f>
        <v>0.84</v>
      </c>
      <c r="BE32" s="1034">
        <f>'Confidence intervals'!BE17</f>
        <v>0.48</v>
      </c>
      <c r="BF32" s="1035">
        <f>'Confidence intervals'!BF17</f>
        <v>0.665</v>
      </c>
      <c r="BG32" s="1036">
        <f>'Confidence intervals'!BG17</f>
        <v>0.84</v>
      </c>
      <c r="BH32" s="1034">
        <f>'Confidence intervals'!BH17</f>
        <v>0.49</v>
      </c>
      <c r="BI32" s="1035">
        <f>'Confidence intervals'!BI17</f>
        <v>0.665</v>
      </c>
      <c r="BJ32" s="1036">
        <f>'Confidence intervals'!BJ17</f>
        <v>0.84</v>
      </c>
      <c r="BK32" s="1034">
        <f>'Confidence intervals'!BK17</f>
        <v>0.62</v>
      </c>
      <c r="BL32" s="1035">
        <f>'Confidence intervals'!BL17</f>
        <v>0.665</v>
      </c>
      <c r="BM32" s="1036">
        <f>'Confidence intervals'!BM17</f>
        <v>0.94</v>
      </c>
      <c r="BN32" s="1034">
        <f>'Confidence intervals'!BN17</f>
        <v>0.62</v>
      </c>
      <c r="BO32" s="1035">
        <f>'Confidence intervals'!BO17</f>
        <v>0.665</v>
      </c>
      <c r="BP32" s="1036">
        <f>'Confidence intervals'!BP17</f>
        <v>0.93</v>
      </c>
      <c r="BQ32" s="1034">
        <f>'Confidence intervals'!BQ17</f>
        <v>0.63</v>
      </c>
      <c r="BR32" s="1035">
        <f>'Confidence intervals'!BR17</f>
        <v>0.665</v>
      </c>
      <c r="BS32" s="1036">
        <f>'Confidence intervals'!BS17</f>
        <v>0.93</v>
      </c>
      <c r="BT32" s="1034">
        <f>'Confidence intervals'!BT17</f>
        <v>0.61</v>
      </c>
      <c r="BU32" s="1035">
        <f>'Confidence intervals'!BU17</f>
        <v>0.665</v>
      </c>
      <c r="BV32" s="1036">
        <f>'Confidence intervals'!BV17</f>
        <v>0.93</v>
      </c>
      <c r="BW32" s="1034">
        <f>'Confidence intervals'!BW17</f>
        <v>0.61</v>
      </c>
      <c r="BX32" s="1035">
        <f>'Confidence intervals'!BX17</f>
        <v>0.665</v>
      </c>
      <c r="BY32" s="1036">
        <f>'Confidence intervals'!BY17</f>
        <v>0.93</v>
      </c>
      <c r="BZ32" s="1034">
        <f>'Confidence intervals'!BZ17</f>
        <v>0.61</v>
      </c>
      <c r="CA32" s="1035">
        <f>'Confidence intervals'!CA17</f>
        <v>0.665</v>
      </c>
      <c r="CB32" s="1036">
        <f>'Confidence intervals'!CB17</f>
        <v>0.93</v>
      </c>
      <c r="CC32" s="1034">
        <f>'Confidence intervals'!CC17</f>
        <v>0.62</v>
      </c>
      <c r="CD32" s="1035">
        <f>'Confidence intervals'!CD17</f>
        <v>0.665</v>
      </c>
      <c r="CE32" s="1036">
        <f>'Confidence intervals'!CE17</f>
        <v>0.94</v>
      </c>
      <c r="CF32" s="1034">
        <f>'Confidence intervals'!CF17</f>
        <v>0.63</v>
      </c>
      <c r="CG32" s="1035">
        <f>'Confidence intervals'!CG17</f>
        <v>0.665</v>
      </c>
      <c r="CH32" s="1036">
        <f>'Confidence intervals'!CH17</f>
        <v>0.94</v>
      </c>
      <c r="CI32" s="1034">
        <f>'Confidence intervals'!CI17</f>
        <v>0.49</v>
      </c>
      <c r="CJ32" s="1035">
        <f>'Confidence intervals'!CJ17</f>
        <v>0.665</v>
      </c>
      <c r="CK32" s="1036">
        <f>'Confidence intervals'!CK17</f>
        <v>0.84</v>
      </c>
      <c r="CL32" s="198"/>
    </row>
    <row r="33">
      <c r="A33" s="197"/>
      <c r="B33" s="198"/>
      <c r="C33" s="61"/>
      <c r="D33" s="61"/>
      <c r="E33" s="892" t="str">
        <f>'Confidence intervals'!E18</f>
        <v>Adjustment for grantee-level factors</v>
      </c>
      <c r="F33" s="1034">
        <f>'Confidence intervals'!F18</f>
        <v>-0.4</v>
      </c>
      <c r="G33" s="1035">
        <f>'Confidence intervals'!G18</f>
        <v>-0.22</v>
      </c>
      <c r="H33" s="1036">
        <f>'Confidence intervals'!H18</f>
        <v>-0.1</v>
      </c>
      <c r="I33" s="1034">
        <f>'Confidence intervals'!I18</f>
        <v>-0.4</v>
      </c>
      <c r="J33" s="1035">
        <f>'Confidence intervals'!J18</f>
        <v>-0.22</v>
      </c>
      <c r="K33" s="1036">
        <f>'Confidence intervals'!K18</f>
        <v>-0.1</v>
      </c>
      <c r="L33" s="1034">
        <f>'Confidence intervals'!L18</f>
        <v>-0.4</v>
      </c>
      <c r="M33" s="1035">
        <f>'Confidence intervals'!M18</f>
        <v>-0.22</v>
      </c>
      <c r="N33" s="1036">
        <f>'Confidence intervals'!N18</f>
        <v>-0.1</v>
      </c>
      <c r="O33" s="1034">
        <f>'Confidence intervals'!O18</f>
        <v>-0.4</v>
      </c>
      <c r="P33" s="1035">
        <f>'Confidence intervals'!P18</f>
        <v>-0.22</v>
      </c>
      <c r="Q33" s="1036">
        <f>'Confidence intervals'!Q18</f>
        <v>-0.1</v>
      </c>
      <c r="R33" s="1034">
        <f>'Confidence intervals'!R18</f>
        <v>-0.4</v>
      </c>
      <c r="S33" s="1035">
        <f>'Confidence intervals'!S18</f>
        <v>-0.22</v>
      </c>
      <c r="T33" s="1036">
        <f>'Confidence intervals'!T18</f>
        <v>-0.1</v>
      </c>
      <c r="U33" s="1034">
        <f>'Confidence intervals'!U18</f>
        <v>-0.4</v>
      </c>
      <c r="V33" s="1035">
        <f>'Confidence intervals'!V18</f>
        <v>-0.22</v>
      </c>
      <c r="W33" s="1036">
        <f>'Confidence intervals'!W18</f>
        <v>-0.1</v>
      </c>
      <c r="X33" s="1034">
        <f>'Confidence intervals'!X18</f>
        <v>-0.4</v>
      </c>
      <c r="Y33" s="1035">
        <f>'Confidence intervals'!Y18</f>
        <v>-0.22</v>
      </c>
      <c r="Z33" s="1036">
        <f>'Confidence intervals'!Z18</f>
        <v>-0.1</v>
      </c>
      <c r="AA33" s="1034">
        <f>'Confidence intervals'!AA18</f>
        <v>-0.4</v>
      </c>
      <c r="AB33" s="1035">
        <f>'Confidence intervals'!AB18</f>
        <v>-0.22</v>
      </c>
      <c r="AC33" s="1036">
        <f>'Confidence intervals'!AC18</f>
        <v>-0.1</v>
      </c>
      <c r="AD33" s="1034">
        <f>'Confidence intervals'!AD18</f>
        <v>-0.4</v>
      </c>
      <c r="AE33" s="1035">
        <f>'Confidence intervals'!AE18</f>
        <v>-0.22</v>
      </c>
      <c r="AF33" s="1036">
        <f>'Confidence intervals'!AF18</f>
        <v>-0.1</v>
      </c>
      <c r="AG33" s="1034">
        <f>'Confidence intervals'!AG18</f>
        <v>-0.4</v>
      </c>
      <c r="AH33" s="1035">
        <f>'Confidence intervals'!AH18</f>
        <v>-0.22</v>
      </c>
      <c r="AI33" s="1036">
        <f>'Confidence intervals'!AI18</f>
        <v>-0.1</v>
      </c>
      <c r="AJ33" s="1034">
        <f>'Confidence intervals'!AJ18</f>
        <v>-0.4</v>
      </c>
      <c r="AK33" s="1035">
        <f>'Confidence intervals'!AK18</f>
        <v>-0.22</v>
      </c>
      <c r="AL33" s="1036">
        <f>'Confidence intervals'!AL18</f>
        <v>-0.1</v>
      </c>
      <c r="AM33" s="1034">
        <f>'Confidence intervals'!AM18</f>
        <v>-0.4</v>
      </c>
      <c r="AN33" s="1035">
        <f>'Confidence intervals'!AN18</f>
        <v>-0.22</v>
      </c>
      <c r="AO33" s="1036">
        <f>'Confidence intervals'!AO18</f>
        <v>-0.1</v>
      </c>
      <c r="AP33" s="1034">
        <f>'Confidence intervals'!AP18</f>
        <v>-0.4</v>
      </c>
      <c r="AQ33" s="1035">
        <f>'Confidence intervals'!AQ18</f>
        <v>-0.22</v>
      </c>
      <c r="AR33" s="1036">
        <f>'Confidence intervals'!AR18</f>
        <v>-0.1</v>
      </c>
      <c r="AS33" s="1034">
        <f>'Confidence intervals'!AS18</f>
        <v>-0.4</v>
      </c>
      <c r="AT33" s="1035">
        <f>'Confidence intervals'!AT18</f>
        <v>-0.22</v>
      </c>
      <c r="AU33" s="1036">
        <f>'Confidence intervals'!AU18</f>
        <v>-0.1</v>
      </c>
      <c r="AV33" s="1034">
        <f>'Confidence intervals'!AV18</f>
        <v>-0.4</v>
      </c>
      <c r="AW33" s="1035">
        <f>'Confidence intervals'!AW18</f>
        <v>-0.22</v>
      </c>
      <c r="AX33" s="1036">
        <f>'Confidence intervals'!AX18</f>
        <v>-0.1</v>
      </c>
      <c r="AY33" s="1034">
        <f>'Confidence intervals'!AY18</f>
        <v>-0.4</v>
      </c>
      <c r="AZ33" s="1035">
        <f>'Confidence intervals'!AZ18</f>
        <v>-0.22</v>
      </c>
      <c r="BA33" s="1036">
        <f>'Confidence intervals'!BA18</f>
        <v>-0.1</v>
      </c>
      <c r="BB33" s="1034">
        <f>'Confidence intervals'!BB18</f>
        <v>-0.4</v>
      </c>
      <c r="BC33" s="1035">
        <f>'Confidence intervals'!BC18</f>
        <v>-0.22</v>
      </c>
      <c r="BD33" s="1036">
        <f>'Confidence intervals'!BD18</f>
        <v>-0.1</v>
      </c>
      <c r="BE33" s="1034">
        <f>'Confidence intervals'!BE18</f>
        <v>-0.4</v>
      </c>
      <c r="BF33" s="1035">
        <f>'Confidence intervals'!BF18</f>
        <v>-0.22</v>
      </c>
      <c r="BG33" s="1036">
        <f>'Confidence intervals'!BG18</f>
        <v>-0.1</v>
      </c>
      <c r="BH33" s="1034">
        <f>'Confidence intervals'!BH18</f>
        <v>-0.4</v>
      </c>
      <c r="BI33" s="1035">
        <f>'Confidence intervals'!BI18</f>
        <v>-0.22</v>
      </c>
      <c r="BJ33" s="1036">
        <f>'Confidence intervals'!BJ18</f>
        <v>-0.1</v>
      </c>
      <c r="BK33" s="1034">
        <f>'Confidence intervals'!BK18</f>
        <v>-0.4</v>
      </c>
      <c r="BL33" s="1035">
        <f>'Confidence intervals'!BL18</f>
        <v>-0.22</v>
      </c>
      <c r="BM33" s="1036">
        <f>'Confidence intervals'!BM18</f>
        <v>-0.1</v>
      </c>
      <c r="BN33" s="1034">
        <f>'Confidence intervals'!BN18</f>
        <v>-0.4</v>
      </c>
      <c r="BO33" s="1035">
        <f>'Confidence intervals'!BO18</f>
        <v>-0.22</v>
      </c>
      <c r="BP33" s="1036">
        <f>'Confidence intervals'!BP18</f>
        <v>-0.1</v>
      </c>
      <c r="BQ33" s="1034">
        <f>'Confidence intervals'!BQ18</f>
        <v>-0.4</v>
      </c>
      <c r="BR33" s="1035">
        <f>'Confidence intervals'!BR18</f>
        <v>-0.22</v>
      </c>
      <c r="BS33" s="1036">
        <f>'Confidence intervals'!BS18</f>
        <v>-0.1</v>
      </c>
      <c r="BT33" s="1034">
        <f>'Confidence intervals'!BT18</f>
        <v>-0.4</v>
      </c>
      <c r="BU33" s="1035">
        <f>'Confidence intervals'!BU18</f>
        <v>-0.22</v>
      </c>
      <c r="BV33" s="1036">
        <f>'Confidence intervals'!BV18</f>
        <v>-0.1</v>
      </c>
      <c r="BW33" s="1034">
        <f>'Confidence intervals'!BW18</f>
        <v>-0.4</v>
      </c>
      <c r="BX33" s="1035">
        <f>'Confidence intervals'!BX18</f>
        <v>-0.22</v>
      </c>
      <c r="BY33" s="1036">
        <f>'Confidence intervals'!BY18</f>
        <v>-0.1</v>
      </c>
      <c r="BZ33" s="1034">
        <f>'Confidence intervals'!BZ18</f>
        <v>-0.43</v>
      </c>
      <c r="CA33" s="1035">
        <f>'Confidence intervals'!CA18</f>
        <v>-0.24</v>
      </c>
      <c r="CB33" s="1036">
        <f>'Confidence intervals'!CB18</f>
        <v>-0.11</v>
      </c>
      <c r="CC33" s="1034">
        <f>'Confidence intervals'!CC18</f>
        <v>-0.43</v>
      </c>
      <c r="CD33" s="1035">
        <f>'Confidence intervals'!CD18</f>
        <v>-0.24</v>
      </c>
      <c r="CE33" s="1036">
        <f>'Confidence intervals'!CE18</f>
        <v>-0.11</v>
      </c>
      <c r="CF33" s="1034">
        <f>'Confidence intervals'!CF18</f>
        <v>-0.43</v>
      </c>
      <c r="CG33" s="1035">
        <f>'Confidence intervals'!CG18</f>
        <v>-0.24</v>
      </c>
      <c r="CH33" s="1036">
        <f>'Confidence intervals'!CH18</f>
        <v>-0.11</v>
      </c>
      <c r="CI33" s="1034">
        <f>'Confidence intervals'!CI18</f>
        <v>-0.43</v>
      </c>
      <c r="CJ33" s="1035">
        <f>'Confidence intervals'!CJ18</f>
        <v>-0.24</v>
      </c>
      <c r="CK33" s="1036">
        <f>'Confidence intervals'!CK18</f>
        <v>-0.11</v>
      </c>
      <c r="CL33" s="198"/>
    </row>
    <row r="34">
      <c r="A34" s="197"/>
      <c r="B34" s="198"/>
      <c r="C34" s="61"/>
      <c r="D34" s="198"/>
      <c r="E34" s="892" t="str">
        <f>'Confidence intervals'!E19</f>
        <v>Adjustment for leverage</v>
      </c>
      <c r="F34" s="1034" t="str">
        <f>'Confidence intervals'!F19</f>
        <v>-</v>
      </c>
      <c r="G34" s="1035">
        <f>'Confidence intervals'!G19</f>
        <v>-0.01947325914</v>
      </c>
      <c r="H34" s="1036" t="str">
        <f>'Confidence intervals'!H19</f>
        <v>-</v>
      </c>
      <c r="I34" s="1034" t="str">
        <f>'Confidence intervals'!I19</f>
        <v>-</v>
      </c>
      <c r="J34" s="1035">
        <f>'Confidence intervals'!J19</f>
        <v>-0.02205386241</v>
      </c>
      <c r="K34" s="1036" t="str">
        <f>'Confidence intervals'!K19</f>
        <v>-</v>
      </c>
      <c r="L34" s="1034" t="str">
        <f>'Confidence intervals'!L19</f>
        <v>-</v>
      </c>
      <c r="M34" s="1035">
        <f>'Confidence intervals'!M19</f>
        <v>-0.03625298958</v>
      </c>
      <c r="N34" s="1036" t="str">
        <f>'Confidence intervals'!N19</f>
        <v>-</v>
      </c>
      <c r="O34" s="1034" t="str">
        <f>'Confidence intervals'!O19</f>
        <v>-</v>
      </c>
      <c r="P34" s="1035">
        <f>'Confidence intervals'!P19</f>
        <v>-0.0340203642</v>
      </c>
      <c r="Q34" s="1036" t="str">
        <f>'Confidence intervals'!Q19</f>
        <v>-</v>
      </c>
      <c r="R34" s="1034" t="str">
        <f>'Confidence intervals'!R19</f>
        <v>-</v>
      </c>
      <c r="S34" s="1035">
        <f>'Confidence intervals'!S19</f>
        <v>-0.02513471842</v>
      </c>
      <c r="T34" s="1036" t="str">
        <f>'Confidence intervals'!T19</f>
        <v>-</v>
      </c>
      <c r="U34" s="1034" t="str">
        <f>'Confidence intervals'!U19</f>
        <v>-</v>
      </c>
      <c r="V34" s="1035">
        <f>'Confidence intervals'!V19</f>
        <v>-0.07987834229</v>
      </c>
      <c r="W34" s="1036" t="str">
        <f>'Confidence intervals'!W19</f>
        <v>-</v>
      </c>
      <c r="X34" s="1034" t="str">
        <f>'Confidence intervals'!X19</f>
        <v>-</v>
      </c>
      <c r="Y34" s="1035">
        <f>'Confidence intervals'!Y19</f>
        <v>-0.03244141483</v>
      </c>
      <c r="Z34" s="1036" t="str">
        <f>'Confidence intervals'!Z19</f>
        <v>-</v>
      </c>
      <c r="AA34" s="1034" t="str">
        <f>'Confidence intervals'!AA19</f>
        <v>-</v>
      </c>
      <c r="AB34" s="1035">
        <f>'Confidence intervals'!AB19</f>
        <v>-0.01250016135</v>
      </c>
      <c r="AC34" s="1036" t="str">
        <f>'Confidence intervals'!AC19</f>
        <v>-</v>
      </c>
      <c r="AD34" s="1034" t="str">
        <f>'Confidence intervals'!AD19</f>
        <v>-</v>
      </c>
      <c r="AE34" s="1035">
        <f>'Confidence intervals'!AE19</f>
        <v>-0.007809414554</v>
      </c>
      <c r="AF34" s="1036" t="str">
        <f>'Confidence intervals'!AF19</f>
        <v>-</v>
      </c>
      <c r="AG34" s="1034" t="str">
        <f>'Confidence intervals'!AG19</f>
        <v>-</v>
      </c>
      <c r="AH34" s="1035">
        <f>'Confidence intervals'!AH19</f>
        <v>-0.02353099696</v>
      </c>
      <c r="AI34" s="1036" t="str">
        <f>'Confidence intervals'!AI19</f>
        <v>-</v>
      </c>
      <c r="AJ34" s="1034" t="str">
        <f>'Confidence intervals'!AJ19</f>
        <v>-</v>
      </c>
      <c r="AK34" s="1035">
        <f>'Confidence intervals'!AK19</f>
        <v>-0.1091428556</v>
      </c>
      <c r="AL34" s="1036" t="str">
        <f>'Confidence intervals'!AL19</f>
        <v>-</v>
      </c>
      <c r="AM34" s="1034" t="str">
        <f>'Confidence intervals'!AM19</f>
        <v>-</v>
      </c>
      <c r="AN34" s="1035">
        <f>'Confidence intervals'!AN19</f>
        <v>-0.1981957392</v>
      </c>
      <c r="AO34" s="1036" t="str">
        <f>'Confidence intervals'!AO19</f>
        <v>-</v>
      </c>
      <c r="AP34" s="1034" t="str">
        <f>'Confidence intervals'!AP19</f>
        <v>-</v>
      </c>
      <c r="AQ34" s="1035">
        <f>'Confidence intervals'!AQ19</f>
        <v>-0.05220917985</v>
      </c>
      <c r="AR34" s="1036" t="str">
        <f>'Confidence intervals'!AR19</f>
        <v>-</v>
      </c>
      <c r="AS34" s="1034" t="str">
        <f>'Confidence intervals'!AS19</f>
        <v>-</v>
      </c>
      <c r="AT34" s="1035">
        <f>'Confidence intervals'!AT19</f>
        <v>-0.09350782321</v>
      </c>
      <c r="AU34" s="1036" t="str">
        <f>'Confidence intervals'!AU19</f>
        <v>-</v>
      </c>
      <c r="AV34" s="1034" t="str">
        <f>'Confidence intervals'!AV19</f>
        <v>-</v>
      </c>
      <c r="AW34" s="1035">
        <f>'Confidence intervals'!AW19</f>
        <v>-0.03710717552</v>
      </c>
      <c r="AX34" s="1036" t="str">
        <f>'Confidence intervals'!AX19</f>
        <v>-</v>
      </c>
      <c r="AY34" s="1034" t="str">
        <f>'Confidence intervals'!AY19</f>
        <v>-</v>
      </c>
      <c r="AZ34" s="1035">
        <f>'Confidence intervals'!AZ19</f>
        <v>-0.1251877375</v>
      </c>
      <c r="BA34" s="1036" t="str">
        <f>'Confidence intervals'!BA19</f>
        <v>-</v>
      </c>
      <c r="BB34" s="1034" t="str">
        <f>'Confidence intervals'!BB19</f>
        <v>-</v>
      </c>
      <c r="BC34" s="1035">
        <f>'Confidence intervals'!BC19</f>
        <v>-0.08294769458</v>
      </c>
      <c r="BD34" s="1036" t="str">
        <f>'Confidence intervals'!BD19</f>
        <v>-</v>
      </c>
      <c r="BE34" s="1034" t="str">
        <f>'Confidence intervals'!BE19</f>
        <v>-</v>
      </c>
      <c r="BF34" s="1035">
        <f>'Confidence intervals'!BF19</f>
        <v>-0.1491351599</v>
      </c>
      <c r="BG34" s="1036" t="str">
        <f>'Confidence intervals'!BG19</f>
        <v>-</v>
      </c>
      <c r="BH34" s="1034" t="str">
        <f>'Confidence intervals'!BH19</f>
        <v>-</v>
      </c>
      <c r="BI34" s="1035">
        <f>'Confidence intervals'!BI19</f>
        <v>-0.1146583161</v>
      </c>
      <c r="BJ34" s="1036" t="str">
        <f>'Confidence intervals'!BJ19</f>
        <v>-</v>
      </c>
      <c r="BK34" s="1034" t="str">
        <f>'Confidence intervals'!BK19</f>
        <v>-</v>
      </c>
      <c r="BL34" s="1035">
        <f>'Confidence intervals'!BL19</f>
        <v>-0.04177997056</v>
      </c>
      <c r="BM34" s="1036" t="str">
        <f>'Confidence intervals'!BM19</f>
        <v>-</v>
      </c>
      <c r="BN34" s="1034" t="str">
        <f>'Confidence intervals'!BN19</f>
        <v>-</v>
      </c>
      <c r="BO34" s="1035">
        <f>'Confidence intervals'!BO19</f>
        <v>-0.1002806175</v>
      </c>
      <c r="BP34" s="1036" t="str">
        <f>'Confidence intervals'!BP19</f>
        <v>-</v>
      </c>
      <c r="BQ34" s="1034" t="str">
        <f>'Confidence intervals'!BQ19</f>
        <v>-</v>
      </c>
      <c r="BR34" s="1035">
        <f>'Confidence intervals'!BR19</f>
        <v>-0.1965004343</v>
      </c>
      <c r="BS34" s="1036" t="str">
        <f>'Confidence intervals'!BS19</f>
        <v>-</v>
      </c>
      <c r="BT34" s="1034" t="str">
        <f>'Confidence intervals'!BT19</f>
        <v>-</v>
      </c>
      <c r="BU34" s="1035">
        <f>'Confidence intervals'!BU19</f>
        <v>-0.0642888948</v>
      </c>
      <c r="BV34" s="1036" t="str">
        <f>'Confidence intervals'!BV19</f>
        <v>-</v>
      </c>
      <c r="BW34" s="1034" t="str">
        <f>'Confidence intervals'!BW19</f>
        <v>-</v>
      </c>
      <c r="BX34" s="1035">
        <f>'Confidence intervals'!BX19</f>
        <v>-0.01750912369</v>
      </c>
      <c r="BY34" s="1036" t="str">
        <f>'Confidence intervals'!BY19</f>
        <v>-</v>
      </c>
      <c r="BZ34" s="1034" t="str">
        <f>'Confidence intervals'!BZ19</f>
        <v>-</v>
      </c>
      <c r="CA34" s="1035">
        <f>'Confidence intervals'!CA19</f>
        <v>-0.04925154078</v>
      </c>
      <c r="CB34" s="1036" t="str">
        <f>'Confidence intervals'!CB19</f>
        <v>-</v>
      </c>
      <c r="CC34" s="1034" t="str">
        <f>'Confidence intervals'!CC19</f>
        <v>-</v>
      </c>
      <c r="CD34" s="1035">
        <f>'Confidence intervals'!CD19</f>
        <v>-0.008645932197</v>
      </c>
      <c r="CE34" s="1036" t="str">
        <f>'Confidence intervals'!CE19</f>
        <v>-</v>
      </c>
      <c r="CF34" s="1034" t="str">
        <f>'Confidence intervals'!CF19</f>
        <v>-</v>
      </c>
      <c r="CG34" s="1035">
        <f>'Confidence intervals'!CG19</f>
        <v>-0.01670719858</v>
      </c>
      <c r="CH34" s="1036" t="str">
        <f>'Confidence intervals'!CH19</f>
        <v>-</v>
      </c>
      <c r="CI34" s="1034" t="str">
        <f>'Confidence intervals'!CI19</f>
        <v>-</v>
      </c>
      <c r="CJ34" s="1035">
        <f>'Confidence intervals'!CJ19</f>
        <v>-0.03878379831</v>
      </c>
      <c r="CK34" s="1036" t="str">
        <f>'Confidence intervals'!CK19</f>
        <v>-</v>
      </c>
      <c r="CL34" s="198"/>
    </row>
    <row r="35">
      <c r="A35" s="197"/>
      <c r="B35" s="198"/>
      <c r="C35" s="61"/>
      <c r="D35" s="198"/>
      <c r="E35" s="892" t="str">
        <f>'Confidence intervals'!E20</f>
        <v>Adjustment for funging</v>
      </c>
      <c r="F35" s="1034">
        <f>'Confidence intervals'!F20</f>
        <v>-0.36</v>
      </c>
      <c r="G35" s="1035">
        <f>'Confidence intervals'!G20</f>
        <v>-0.2720680022</v>
      </c>
      <c r="H35" s="1036">
        <f>'Confidence intervals'!H20</f>
        <v>-0.06</v>
      </c>
      <c r="I35" s="1034">
        <f>'Confidence intervals'!I20</f>
        <v>-0.43</v>
      </c>
      <c r="J35" s="1035">
        <f>'Confidence intervals'!J20</f>
        <v>-0.3269725451</v>
      </c>
      <c r="K35" s="1036">
        <f>'Confidence intervals'!K20</f>
        <v>-0.08</v>
      </c>
      <c r="L35" s="1034">
        <f>'Confidence intervals'!L20</f>
        <v>-0.46</v>
      </c>
      <c r="M35" s="1035">
        <f>'Confidence intervals'!M20</f>
        <v>-0.3452941854</v>
      </c>
      <c r="N35" s="1036">
        <f>'Confidence intervals'!N20</f>
        <v>-0.09</v>
      </c>
      <c r="O35" s="1034">
        <f>'Confidence intervals'!O20</f>
        <v>-0.24</v>
      </c>
      <c r="P35" s="1035">
        <f>'Confidence intervals'!P20</f>
        <v>-0.1756309101</v>
      </c>
      <c r="Q35" s="1036">
        <f>'Confidence intervals'!Q20</f>
        <v>-0.03</v>
      </c>
      <c r="R35" s="1034">
        <f>'Confidence intervals'!R20</f>
        <v>-0.48</v>
      </c>
      <c r="S35" s="1035">
        <f>'Confidence intervals'!S20</f>
        <v>-0.3700125864</v>
      </c>
      <c r="T35" s="1036">
        <f>'Confidence intervals'!T20</f>
        <v>-0.1</v>
      </c>
      <c r="U35" s="1034">
        <f>'Confidence intervals'!U20</f>
        <v>-0.36</v>
      </c>
      <c r="V35" s="1035">
        <f>'Confidence intervals'!V20</f>
        <v>-0.2723292123</v>
      </c>
      <c r="W35" s="1036">
        <f>'Confidence intervals'!W20</f>
        <v>-0.06</v>
      </c>
      <c r="X35" s="1034">
        <f>'Confidence intervals'!X20</f>
        <v>-0.28</v>
      </c>
      <c r="Y35" s="1035">
        <f>'Confidence intervals'!Y20</f>
        <v>-0.2112519459</v>
      </c>
      <c r="Z35" s="1036">
        <f>'Confidence intervals'!Z20</f>
        <v>-0.04</v>
      </c>
      <c r="AA35" s="1034">
        <f>'Confidence intervals'!AA20</f>
        <v>-0.44</v>
      </c>
      <c r="AB35" s="1035">
        <f>'Confidence intervals'!AB20</f>
        <v>-0.338631384</v>
      </c>
      <c r="AC35" s="1036">
        <f>'Confidence intervals'!AC20</f>
        <v>-0.09</v>
      </c>
      <c r="AD35" s="1034">
        <f>'Confidence intervals'!AD20</f>
        <v>-0.38</v>
      </c>
      <c r="AE35" s="1035">
        <f>'Confidence intervals'!AE20</f>
        <v>-0.2942304915</v>
      </c>
      <c r="AF35" s="1036">
        <f>'Confidence intervals'!AF20</f>
        <v>-0.06</v>
      </c>
      <c r="AG35" s="1034">
        <f>'Confidence intervals'!AG20</f>
        <v>-0.32</v>
      </c>
      <c r="AH35" s="1035">
        <f>'Confidence intervals'!AH20</f>
        <v>-0.236007944</v>
      </c>
      <c r="AI35" s="1036">
        <f>'Confidence intervals'!AI20</f>
        <v>-0.05</v>
      </c>
      <c r="AJ35" s="1034">
        <f>'Confidence intervals'!AJ20</f>
        <v>-0.26</v>
      </c>
      <c r="AK35" s="1035">
        <f>'Confidence intervals'!AK20</f>
        <v>-0.1851012218</v>
      </c>
      <c r="AL35" s="1036">
        <f>'Confidence intervals'!AL20</f>
        <v>-0.03</v>
      </c>
      <c r="AM35" s="1034">
        <f>'Confidence intervals'!AM20</f>
        <v>-0.18</v>
      </c>
      <c r="AN35" s="1035">
        <f>'Confidence intervals'!AN20</f>
        <v>-0.1321483894</v>
      </c>
      <c r="AO35" s="1036">
        <f>'Confidence intervals'!AO20</f>
        <v>-0.01</v>
      </c>
      <c r="AP35" s="1034">
        <f>'Confidence intervals'!AP20</f>
        <v>-0.29</v>
      </c>
      <c r="AQ35" s="1035">
        <f>'Confidence intervals'!AQ20</f>
        <v>-0.2189552563</v>
      </c>
      <c r="AR35" s="1036">
        <f>'Confidence intervals'!AR20</f>
        <v>-0.04</v>
      </c>
      <c r="AS35" s="1034">
        <f>'Confidence intervals'!AS20</f>
        <v>-0.26</v>
      </c>
      <c r="AT35" s="1035">
        <f>'Confidence intervals'!AT20</f>
        <v>-0.1943981611</v>
      </c>
      <c r="AU35" s="1036">
        <f>'Confidence intervals'!AU20</f>
        <v>-0.03</v>
      </c>
      <c r="AV35" s="1034">
        <f>'Confidence intervals'!AV20</f>
        <v>-0.31</v>
      </c>
      <c r="AW35" s="1035">
        <f>'Confidence intervals'!AW20</f>
        <v>-0.2279352451</v>
      </c>
      <c r="AX35" s="1036">
        <f>'Confidence intervals'!AX20</f>
        <v>-0.04</v>
      </c>
      <c r="AY35" s="1034">
        <f>'Confidence intervals'!AY20</f>
        <v>-0.24</v>
      </c>
      <c r="AZ35" s="1035">
        <f>'Confidence intervals'!AZ20</f>
        <v>-0.1755605769</v>
      </c>
      <c r="BA35" s="1036">
        <f>'Confidence intervals'!BA20</f>
        <v>-0.03</v>
      </c>
      <c r="BB35" s="1034">
        <f>'Confidence intervals'!BB20</f>
        <v>-0.27</v>
      </c>
      <c r="BC35" s="1035">
        <f>'Confidence intervals'!BC20</f>
        <v>-0.2006774493</v>
      </c>
      <c r="BD35" s="1036">
        <f>'Confidence intervals'!BD20</f>
        <v>-0.03</v>
      </c>
      <c r="BE35" s="1034">
        <f>'Confidence intervals'!BE20</f>
        <v>-0.22</v>
      </c>
      <c r="BF35" s="1035">
        <f>'Confidence intervals'!BF20</f>
        <v>-0.161320905</v>
      </c>
      <c r="BG35" s="1036">
        <f>'Confidence intervals'!BG20</f>
        <v>-0.02</v>
      </c>
      <c r="BH35" s="1034">
        <f>'Confidence intervals'!BH20</f>
        <v>-0.24</v>
      </c>
      <c r="BI35" s="1035">
        <f>'Confidence intervals'!BI20</f>
        <v>-0.1818216059</v>
      </c>
      <c r="BJ35" s="1036">
        <f>'Confidence intervals'!BJ20</f>
        <v>-0.03</v>
      </c>
      <c r="BK35" s="1034">
        <f>'Confidence intervals'!BK20</f>
        <v>-0.31</v>
      </c>
      <c r="BL35" s="1035">
        <f>'Confidence intervals'!BL20</f>
        <v>-0.2251566969</v>
      </c>
      <c r="BM35" s="1036">
        <f>'Confidence intervals'!BM20</f>
        <v>-0.04</v>
      </c>
      <c r="BN35" s="1034">
        <f>'Confidence intervals'!BN20</f>
        <v>-0.26</v>
      </c>
      <c r="BO35" s="1035">
        <f>'Confidence intervals'!BO20</f>
        <v>-0.1903709064</v>
      </c>
      <c r="BP35" s="1036">
        <f>'Confidence intervals'!BP20</f>
        <v>-0.03</v>
      </c>
      <c r="BQ35" s="1034">
        <f>'Confidence intervals'!BQ20</f>
        <v>-0.18</v>
      </c>
      <c r="BR35" s="1035">
        <f>'Confidence intervals'!BR20</f>
        <v>-0.1331564555</v>
      </c>
      <c r="BS35" s="1036">
        <f>'Confidence intervals'!BS20</f>
        <v>-0.01</v>
      </c>
      <c r="BT35" s="1034">
        <f>'Confidence intervals'!BT20</f>
        <v>-0.28</v>
      </c>
      <c r="BU35" s="1035">
        <f>'Confidence intervals'!BU20</f>
        <v>-0.2117723881</v>
      </c>
      <c r="BV35" s="1036">
        <f>'Confidence intervals'!BV20</f>
        <v>-0.04</v>
      </c>
      <c r="BW35" s="1034">
        <f>'Confidence intervals'!BW20</f>
        <v>-0.32</v>
      </c>
      <c r="BX35" s="1035">
        <f>'Confidence intervals'!BX20</f>
        <v>-0.2395886842</v>
      </c>
      <c r="BY35" s="1036">
        <f>'Confidence intervals'!BY20</f>
        <v>-0.05</v>
      </c>
      <c r="BZ35" s="1034">
        <f>'Confidence intervals'!BZ20</f>
        <v>-0.67</v>
      </c>
      <c r="CA35" s="1035">
        <f>'Confidence intervals'!CA20</f>
        <v>-0.2409743249</v>
      </c>
      <c r="CB35" s="1036">
        <f>'Confidence intervals'!CB20</f>
        <v>-0.18</v>
      </c>
      <c r="CC35" s="1034">
        <f>'Confidence intervals'!CC20</f>
        <v>-0.67</v>
      </c>
      <c r="CD35" s="1035">
        <f>'Confidence intervals'!CD20</f>
        <v>-0.4566786993</v>
      </c>
      <c r="CE35" s="1036">
        <f>'Confidence intervals'!CE20</f>
        <v>-0.18</v>
      </c>
      <c r="CF35" s="1034">
        <f>'Confidence intervals'!CF20</f>
        <v>-0.67</v>
      </c>
      <c r="CG35" s="1035">
        <f>'Confidence intervals'!CG20</f>
        <v>-0.3460550169</v>
      </c>
      <c r="CH35" s="1036">
        <f>'Confidence intervals'!CH20</f>
        <v>-0.18</v>
      </c>
      <c r="CI35" s="1034">
        <f>'Confidence intervals'!CI20</f>
        <v>-0.44</v>
      </c>
      <c r="CJ35" s="1035">
        <f>'Confidence intervals'!CJ20</f>
        <v>-0.3344612777</v>
      </c>
      <c r="CK35" s="1036">
        <f>'Confidence intervals'!CK20</f>
        <v>-0.03</v>
      </c>
      <c r="CL35" s="198"/>
    </row>
    <row r="36">
      <c r="A36" s="197"/>
      <c r="B36" s="198"/>
      <c r="C36" s="61"/>
      <c r="D36" s="198"/>
      <c r="E36" s="904" t="s">
        <v>571</v>
      </c>
      <c r="F36" s="1031" t="s">
        <v>165</v>
      </c>
      <c r="G36" s="1043">
        <f>'Main CEA'!$H$69</f>
        <v>118.73259</v>
      </c>
      <c r="H36" s="1033" t="s">
        <v>165</v>
      </c>
      <c r="I36" s="1031" t="s">
        <v>165</v>
      </c>
      <c r="J36" s="1043">
        <f>'Main CEA'!$H$69</f>
        <v>118.73259</v>
      </c>
      <c r="K36" s="1033" t="s">
        <v>165</v>
      </c>
      <c r="L36" s="1031" t="s">
        <v>165</v>
      </c>
      <c r="M36" s="1043">
        <f>'Main CEA'!$H$69</f>
        <v>118.73259</v>
      </c>
      <c r="N36" s="1033" t="s">
        <v>165</v>
      </c>
      <c r="O36" s="1031" t="s">
        <v>165</v>
      </c>
      <c r="P36" s="1043">
        <f>'Main CEA'!$H$69</f>
        <v>118.73259</v>
      </c>
      <c r="Q36" s="1033" t="s">
        <v>165</v>
      </c>
      <c r="R36" s="1031" t="s">
        <v>165</v>
      </c>
      <c r="S36" s="1043">
        <f>'Main CEA'!$H$69</f>
        <v>118.73259</v>
      </c>
      <c r="T36" s="1033" t="s">
        <v>165</v>
      </c>
      <c r="U36" s="1031" t="s">
        <v>165</v>
      </c>
      <c r="V36" s="1043">
        <f>'Main CEA'!$H$69</f>
        <v>118.73259</v>
      </c>
      <c r="W36" s="1033" t="s">
        <v>165</v>
      </c>
      <c r="X36" s="1031" t="s">
        <v>165</v>
      </c>
      <c r="Y36" s="1043">
        <f>'Main CEA'!$H$69</f>
        <v>118.73259</v>
      </c>
      <c r="Z36" s="1033" t="s">
        <v>165</v>
      </c>
      <c r="AA36" s="1031" t="s">
        <v>165</v>
      </c>
      <c r="AB36" s="1043">
        <f>'Main CEA'!$H$69</f>
        <v>118.73259</v>
      </c>
      <c r="AC36" s="1033" t="s">
        <v>165</v>
      </c>
      <c r="AD36" s="1031" t="s">
        <v>165</v>
      </c>
      <c r="AE36" s="1043">
        <f>'Main CEA'!$H$69</f>
        <v>118.73259</v>
      </c>
      <c r="AF36" s="1033" t="s">
        <v>165</v>
      </c>
      <c r="AG36" s="1031" t="s">
        <v>165</v>
      </c>
      <c r="AH36" s="1043">
        <f>'Main CEA'!$H$69</f>
        <v>118.73259</v>
      </c>
      <c r="AI36" s="1033" t="s">
        <v>165</v>
      </c>
      <c r="AJ36" s="1031" t="s">
        <v>165</v>
      </c>
      <c r="AK36" s="1043">
        <f>'Main CEA'!$H$69</f>
        <v>118.73259</v>
      </c>
      <c r="AL36" s="1033" t="s">
        <v>165</v>
      </c>
      <c r="AM36" s="1031" t="s">
        <v>165</v>
      </c>
      <c r="AN36" s="1043">
        <f>'Main CEA'!$H$69</f>
        <v>118.73259</v>
      </c>
      <c r="AO36" s="1033" t="s">
        <v>165</v>
      </c>
      <c r="AP36" s="1031" t="s">
        <v>165</v>
      </c>
      <c r="AQ36" s="1043">
        <f>'Main CEA'!$H$69</f>
        <v>118.73259</v>
      </c>
      <c r="AR36" s="1033" t="s">
        <v>165</v>
      </c>
      <c r="AS36" s="1031" t="s">
        <v>165</v>
      </c>
      <c r="AT36" s="1043">
        <f>'Main CEA'!$H$69</f>
        <v>118.73259</v>
      </c>
      <c r="AU36" s="1033" t="s">
        <v>165</v>
      </c>
      <c r="AV36" s="1031" t="s">
        <v>165</v>
      </c>
      <c r="AW36" s="1043">
        <f>'Main CEA'!$H$69</f>
        <v>118.73259</v>
      </c>
      <c r="AX36" s="1033" t="s">
        <v>165</v>
      </c>
      <c r="AY36" s="1031" t="s">
        <v>165</v>
      </c>
      <c r="AZ36" s="1043">
        <f>'Main CEA'!$H$69</f>
        <v>118.73259</v>
      </c>
      <c r="BA36" s="1033" t="s">
        <v>165</v>
      </c>
      <c r="BB36" s="1031" t="s">
        <v>165</v>
      </c>
      <c r="BC36" s="1043">
        <f>'Main CEA'!$H$69</f>
        <v>118.73259</v>
      </c>
      <c r="BD36" s="1033" t="s">
        <v>165</v>
      </c>
      <c r="BE36" s="1031" t="s">
        <v>165</v>
      </c>
      <c r="BF36" s="1043">
        <f>'Main CEA'!$H$69</f>
        <v>118.73259</v>
      </c>
      <c r="BG36" s="1033" t="s">
        <v>165</v>
      </c>
      <c r="BH36" s="1031" t="s">
        <v>165</v>
      </c>
      <c r="BI36" s="1043">
        <f>'Main CEA'!$H$69</f>
        <v>118.73259</v>
      </c>
      <c r="BJ36" s="1033" t="s">
        <v>165</v>
      </c>
      <c r="BK36" s="1031" t="s">
        <v>165</v>
      </c>
      <c r="BL36" s="1043">
        <f>'Main CEA'!$H$69</f>
        <v>118.73259</v>
      </c>
      <c r="BM36" s="1033" t="s">
        <v>165</v>
      </c>
      <c r="BN36" s="1031" t="s">
        <v>165</v>
      </c>
      <c r="BO36" s="1043">
        <f>'Main CEA'!$H$69</f>
        <v>118.73259</v>
      </c>
      <c r="BP36" s="1033" t="s">
        <v>165</v>
      </c>
      <c r="BQ36" s="1031" t="s">
        <v>165</v>
      </c>
      <c r="BR36" s="1043">
        <f>'Main CEA'!$H$69</f>
        <v>118.73259</v>
      </c>
      <c r="BS36" s="1033" t="s">
        <v>165</v>
      </c>
      <c r="BT36" s="1031" t="s">
        <v>165</v>
      </c>
      <c r="BU36" s="1043">
        <f>'Main CEA'!$H$69</f>
        <v>118.73259</v>
      </c>
      <c r="BV36" s="1033" t="s">
        <v>165</v>
      </c>
      <c r="BW36" s="1031" t="s">
        <v>165</v>
      </c>
      <c r="BX36" s="1043">
        <f>'Main CEA'!$H$69</f>
        <v>118.73259</v>
      </c>
      <c r="BY36" s="1033" t="s">
        <v>165</v>
      </c>
      <c r="BZ36" s="1031" t="s">
        <v>165</v>
      </c>
      <c r="CA36" s="1043">
        <f>'Main CEA'!$H$69</f>
        <v>118.73259</v>
      </c>
      <c r="CB36" s="1033" t="s">
        <v>165</v>
      </c>
      <c r="CC36" s="1031" t="s">
        <v>165</v>
      </c>
      <c r="CD36" s="1043">
        <f>'Main CEA'!$H$69</f>
        <v>118.73259</v>
      </c>
      <c r="CE36" s="1033" t="s">
        <v>165</v>
      </c>
      <c r="CF36" s="1031" t="s">
        <v>165</v>
      </c>
      <c r="CG36" s="1043">
        <f>'Main CEA'!$H$69</f>
        <v>118.73259</v>
      </c>
      <c r="CH36" s="1033" t="s">
        <v>165</v>
      </c>
      <c r="CI36" s="1031" t="s">
        <v>165</v>
      </c>
      <c r="CJ36" s="1043">
        <f>'Main CEA'!$H$69</f>
        <v>118.73259</v>
      </c>
      <c r="CK36" s="1033" t="s">
        <v>165</v>
      </c>
      <c r="CL36" s="198"/>
    </row>
    <row r="37">
      <c r="A37" s="197"/>
      <c r="B37" s="198"/>
      <c r="C37" s="61"/>
      <c r="D37" s="198"/>
      <c r="E37" s="598" t="s">
        <v>339</v>
      </c>
      <c r="F37" s="1031" t="s">
        <v>165</v>
      </c>
      <c r="G37" s="1044">
        <f>'Main CEA'!$H$94</f>
        <v>0.00333</v>
      </c>
      <c r="H37" s="1033" t="s">
        <v>165</v>
      </c>
      <c r="I37" s="1031" t="s">
        <v>165</v>
      </c>
      <c r="J37" s="1044">
        <f>'Main CEA'!$H$94</f>
        <v>0.00333</v>
      </c>
      <c r="K37" s="1033" t="s">
        <v>165</v>
      </c>
      <c r="L37" s="1031" t="s">
        <v>165</v>
      </c>
      <c r="M37" s="1044">
        <f>'Main CEA'!$H$94</f>
        <v>0.00333</v>
      </c>
      <c r="N37" s="1033" t="s">
        <v>165</v>
      </c>
      <c r="O37" s="1031" t="s">
        <v>165</v>
      </c>
      <c r="P37" s="1044">
        <f>'Main CEA'!$H$94</f>
        <v>0.00333</v>
      </c>
      <c r="Q37" s="1033" t="s">
        <v>165</v>
      </c>
      <c r="R37" s="1031" t="s">
        <v>165</v>
      </c>
      <c r="S37" s="1044">
        <f>'Main CEA'!$H$94</f>
        <v>0.00333</v>
      </c>
      <c r="T37" s="1033" t="s">
        <v>165</v>
      </c>
      <c r="U37" s="1031" t="s">
        <v>165</v>
      </c>
      <c r="V37" s="1044">
        <f>'Main CEA'!$H$94</f>
        <v>0.00333</v>
      </c>
      <c r="W37" s="1033" t="s">
        <v>165</v>
      </c>
      <c r="X37" s="1031" t="s">
        <v>165</v>
      </c>
      <c r="Y37" s="1044">
        <f>'Main CEA'!$H$94</f>
        <v>0.00333</v>
      </c>
      <c r="Z37" s="1033" t="s">
        <v>165</v>
      </c>
      <c r="AA37" s="1031" t="s">
        <v>165</v>
      </c>
      <c r="AB37" s="1044">
        <f>'Main CEA'!$H$94</f>
        <v>0.00333</v>
      </c>
      <c r="AC37" s="1033" t="s">
        <v>165</v>
      </c>
      <c r="AD37" s="1031" t="s">
        <v>165</v>
      </c>
      <c r="AE37" s="1044">
        <f>'Main CEA'!$H$94</f>
        <v>0.00333</v>
      </c>
      <c r="AF37" s="1033" t="s">
        <v>165</v>
      </c>
      <c r="AG37" s="1031" t="s">
        <v>165</v>
      </c>
      <c r="AH37" s="1044">
        <f>'Main CEA'!$H$94</f>
        <v>0.00333</v>
      </c>
      <c r="AI37" s="1033" t="s">
        <v>165</v>
      </c>
      <c r="AJ37" s="1031" t="s">
        <v>165</v>
      </c>
      <c r="AK37" s="1044">
        <f>'Main CEA'!$H$94</f>
        <v>0.00333</v>
      </c>
      <c r="AL37" s="1033" t="s">
        <v>165</v>
      </c>
      <c r="AM37" s="1031" t="s">
        <v>165</v>
      </c>
      <c r="AN37" s="1044">
        <f>'Main CEA'!$H$94</f>
        <v>0.00333</v>
      </c>
      <c r="AO37" s="1033" t="s">
        <v>165</v>
      </c>
      <c r="AP37" s="1031" t="s">
        <v>165</v>
      </c>
      <c r="AQ37" s="1044">
        <f>'Main CEA'!$H$94</f>
        <v>0.00333</v>
      </c>
      <c r="AR37" s="1033" t="s">
        <v>165</v>
      </c>
      <c r="AS37" s="1031" t="s">
        <v>165</v>
      </c>
      <c r="AT37" s="1044">
        <f>'Main CEA'!$H$94</f>
        <v>0.00333</v>
      </c>
      <c r="AU37" s="1033" t="s">
        <v>165</v>
      </c>
      <c r="AV37" s="1031" t="s">
        <v>165</v>
      </c>
      <c r="AW37" s="1044">
        <f>'Main CEA'!$H$94</f>
        <v>0.00333</v>
      </c>
      <c r="AX37" s="1033" t="s">
        <v>165</v>
      </c>
      <c r="AY37" s="1031" t="s">
        <v>165</v>
      </c>
      <c r="AZ37" s="1044">
        <f>'Main CEA'!$H$94</f>
        <v>0.00333</v>
      </c>
      <c r="BA37" s="1033" t="s">
        <v>165</v>
      </c>
      <c r="BB37" s="1031" t="s">
        <v>165</v>
      </c>
      <c r="BC37" s="1044">
        <f>'Main CEA'!$H$94</f>
        <v>0.00333</v>
      </c>
      <c r="BD37" s="1033" t="s">
        <v>165</v>
      </c>
      <c r="BE37" s="1031" t="s">
        <v>165</v>
      </c>
      <c r="BF37" s="1044">
        <f>'Main CEA'!$H$94</f>
        <v>0.00333</v>
      </c>
      <c r="BG37" s="1033" t="s">
        <v>165</v>
      </c>
      <c r="BH37" s="1031" t="s">
        <v>165</v>
      </c>
      <c r="BI37" s="1044">
        <f>'Main CEA'!$H$94</f>
        <v>0.00333</v>
      </c>
      <c r="BJ37" s="1033" t="s">
        <v>165</v>
      </c>
      <c r="BK37" s="1031" t="s">
        <v>165</v>
      </c>
      <c r="BL37" s="1044">
        <f>'Main CEA'!$H$94</f>
        <v>0.00333</v>
      </c>
      <c r="BM37" s="1033" t="s">
        <v>165</v>
      </c>
      <c r="BN37" s="1031" t="s">
        <v>165</v>
      </c>
      <c r="BO37" s="1044">
        <f>'Main CEA'!$H$94</f>
        <v>0.00333</v>
      </c>
      <c r="BP37" s="1033" t="s">
        <v>165</v>
      </c>
      <c r="BQ37" s="1031" t="s">
        <v>165</v>
      </c>
      <c r="BR37" s="1044">
        <f>'Main CEA'!$H$94</f>
        <v>0.00333</v>
      </c>
      <c r="BS37" s="1033" t="s">
        <v>165</v>
      </c>
      <c r="BT37" s="1031" t="s">
        <v>165</v>
      </c>
      <c r="BU37" s="1044">
        <f>'Main CEA'!$H$94</f>
        <v>0.00333</v>
      </c>
      <c r="BV37" s="1033" t="s">
        <v>165</v>
      </c>
      <c r="BW37" s="1031" t="s">
        <v>165</v>
      </c>
      <c r="BX37" s="1044">
        <f>'Main CEA'!$H$94</f>
        <v>0.00333</v>
      </c>
      <c r="BY37" s="1033" t="s">
        <v>165</v>
      </c>
      <c r="BZ37" s="1031" t="s">
        <v>165</v>
      </c>
      <c r="CA37" s="1044">
        <f>'Main CEA'!$H$94</f>
        <v>0.00333</v>
      </c>
      <c r="CB37" s="1033" t="s">
        <v>165</v>
      </c>
      <c r="CC37" s="1031" t="s">
        <v>165</v>
      </c>
      <c r="CD37" s="1044">
        <f>'Main CEA'!$H$94</f>
        <v>0.00333</v>
      </c>
      <c r="CE37" s="1033" t="s">
        <v>165</v>
      </c>
      <c r="CF37" s="1031" t="s">
        <v>165</v>
      </c>
      <c r="CG37" s="1044">
        <f>'Main CEA'!$H$94</f>
        <v>0.00333</v>
      </c>
      <c r="CH37" s="1033" t="s">
        <v>165</v>
      </c>
      <c r="CI37" s="1031" t="s">
        <v>165</v>
      </c>
      <c r="CJ37" s="1044">
        <f>'Main CEA'!$H$94</f>
        <v>0.00333</v>
      </c>
      <c r="CK37" s="1033" t="s">
        <v>165</v>
      </c>
      <c r="CL37" s="198"/>
    </row>
    <row r="38">
      <c r="A38" s="198"/>
      <c r="B38" s="198"/>
      <c r="C38" s="61"/>
      <c r="D38" s="198"/>
      <c r="E38" s="61"/>
      <c r="F38" s="969"/>
      <c r="G38" s="931"/>
      <c r="H38" s="969"/>
      <c r="I38" s="969"/>
      <c r="J38" s="931"/>
      <c r="K38" s="969"/>
      <c r="L38" s="969"/>
      <c r="M38" s="931"/>
      <c r="N38" s="969"/>
      <c r="O38" s="969"/>
      <c r="P38" s="931"/>
      <c r="Q38" s="969"/>
      <c r="R38" s="969"/>
      <c r="S38" s="931"/>
      <c r="T38" s="969"/>
      <c r="U38" s="969"/>
      <c r="V38" s="931"/>
      <c r="W38" s="969"/>
      <c r="X38" s="969"/>
      <c r="Y38" s="931"/>
      <c r="Z38" s="969"/>
      <c r="AA38" s="969"/>
      <c r="AB38" s="931"/>
      <c r="AC38" s="969"/>
      <c r="AD38" s="969"/>
      <c r="AE38" s="931"/>
      <c r="AF38" s="969"/>
      <c r="AG38" s="969"/>
      <c r="AH38" s="931"/>
      <c r="AI38" s="969"/>
      <c r="AJ38" s="969"/>
      <c r="AK38" s="931"/>
      <c r="AL38" s="969"/>
      <c r="AM38" s="969"/>
      <c r="AN38" s="931"/>
      <c r="AO38" s="969"/>
      <c r="AP38" s="969"/>
      <c r="AQ38" s="931"/>
      <c r="AR38" s="969"/>
      <c r="AS38" s="969"/>
      <c r="AT38" s="931"/>
      <c r="AU38" s="969"/>
      <c r="AV38" s="969"/>
      <c r="AW38" s="931"/>
      <c r="AX38" s="969"/>
      <c r="AY38" s="969"/>
      <c r="AZ38" s="931"/>
      <c r="BA38" s="969"/>
      <c r="BB38" s="969"/>
      <c r="BC38" s="931"/>
      <c r="BD38" s="969"/>
      <c r="BE38" s="969"/>
      <c r="BF38" s="931"/>
      <c r="BG38" s="969"/>
      <c r="BH38" s="969"/>
      <c r="BI38" s="931"/>
      <c r="BJ38" s="969"/>
      <c r="BK38" s="969"/>
      <c r="BL38" s="931"/>
      <c r="BM38" s="969"/>
      <c r="BN38" s="969"/>
      <c r="BO38" s="931"/>
      <c r="BP38" s="969"/>
      <c r="BQ38" s="969"/>
      <c r="BR38" s="931"/>
      <c r="BS38" s="969"/>
      <c r="BT38" s="969"/>
      <c r="BU38" s="931"/>
      <c r="BV38" s="969"/>
      <c r="BW38" s="969"/>
      <c r="BX38" s="931"/>
      <c r="BY38" s="969"/>
      <c r="BZ38" s="969"/>
      <c r="CA38" s="931"/>
      <c r="CB38" s="969"/>
      <c r="CC38" s="969"/>
      <c r="CD38" s="931"/>
      <c r="CE38" s="969"/>
      <c r="CF38" s="969"/>
      <c r="CG38" s="931"/>
      <c r="CH38" s="969"/>
      <c r="CI38" s="969"/>
      <c r="CJ38" s="931"/>
      <c r="CK38" s="969"/>
      <c r="CL38" s="198"/>
    </row>
  </sheetData>
  <mergeCells count="93">
    <mergeCell ref="BE2:BG2"/>
    <mergeCell ref="BH2:BJ2"/>
    <mergeCell ref="BK2:BM2"/>
    <mergeCell ref="BN2:BP2"/>
    <mergeCell ref="BQ2:BS2"/>
    <mergeCell ref="BT2:BV2"/>
    <mergeCell ref="BW2:BY2"/>
    <mergeCell ref="BZ2:CB2"/>
    <mergeCell ref="CC2:CE2"/>
    <mergeCell ref="CF2:CH2"/>
    <mergeCell ref="F1:AC1"/>
    <mergeCell ref="AD1:BA1"/>
    <mergeCell ref="BB1:BY1"/>
    <mergeCell ref="BZ1:CK1"/>
    <mergeCell ref="F2:H2"/>
    <mergeCell ref="I2:K2"/>
    <mergeCell ref="L2:N2"/>
    <mergeCell ref="CI2:CK2"/>
    <mergeCell ref="U2:W2"/>
    <mergeCell ref="X2:Z2"/>
    <mergeCell ref="U3:W3"/>
    <mergeCell ref="X3:Z3"/>
    <mergeCell ref="A22:E22"/>
    <mergeCell ref="A25:E25"/>
    <mergeCell ref="O2:Q2"/>
    <mergeCell ref="R2:T2"/>
    <mergeCell ref="A3:E3"/>
    <mergeCell ref="I3:K3"/>
    <mergeCell ref="L3:N3"/>
    <mergeCell ref="O3:Q3"/>
    <mergeCell ref="R3:T3"/>
    <mergeCell ref="AS5:AU5"/>
    <mergeCell ref="AV5:AX5"/>
    <mergeCell ref="A6:E6"/>
    <mergeCell ref="A7:E7"/>
    <mergeCell ref="X5:Z5"/>
    <mergeCell ref="AA5:AC5"/>
    <mergeCell ref="AD5:AF5"/>
    <mergeCell ref="AG5:AI5"/>
    <mergeCell ref="AJ5:AL5"/>
    <mergeCell ref="AM5:AO5"/>
    <mergeCell ref="AP5:AR5"/>
    <mergeCell ref="CC5:CE5"/>
    <mergeCell ref="CF5:CH5"/>
    <mergeCell ref="BH5:BJ5"/>
    <mergeCell ref="BK5:BM5"/>
    <mergeCell ref="BN5:BP5"/>
    <mergeCell ref="BQ5:BS5"/>
    <mergeCell ref="BT5:BV5"/>
    <mergeCell ref="BW5:BY5"/>
    <mergeCell ref="BZ5:CB5"/>
    <mergeCell ref="AA2:AC2"/>
    <mergeCell ref="AD2:AF2"/>
    <mergeCell ref="AA3:AC3"/>
    <mergeCell ref="AD3:AF3"/>
    <mergeCell ref="AG2:AI2"/>
    <mergeCell ref="AJ2:AL2"/>
    <mergeCell ref="AG3:AI3"/>
    <mergeCell ref="AJ3:AL3"/>
    <mergeCell ref="AM2:AO2"/>
    <mergeCell ref="AP2:AR2"/>
    <mergeCell ref="AM3:AO3"/>
    <mergeCell ref="AP3:AR3"/>
    <mergeCell ref="AY2:BA2"/>
    <mergeCell ref="BB2:BD2"/>
    <mergeCell ref="AY3:BA3"/>
    <mergeCell ref="BB3:BD3"/>
    <mergeCell ref="BE3:BG3"/>
    <mergeCell ref="BH3:BJ3"/>
    <mergeCell ref="BK3:BM3"/>
    <mergeCell ref="A5:E5"/>
    <mergeCell ref="F5:H5"/>
    <mergeCell ref="I5:K5"/>
    <mergeCell ref="L5:N5"/>
    <mergeCell ref="O5:Q5"/>
    <mergeCell ref="R5:T5"/>
    <mergeCell ref="U5:W5"/>
    <mergeCell ref="AS2:AU2"/>
    <mergeCell ref="AV2:AX2"/>
    <mergeCell ref="AS3:AU3"/>
    <mergeCell ref="AV3:AX3"/>
    <mergeCell ref="AY5:BA5"/>
    <mergeCell ref="BB5:BD5"/>
    <mergeCell ref="BE5:BG5"/>
    <mergeCell ref="CI3:CK3"/>
    <mergeCell ref="CI5:CK5"/>
    <mergeCell ref="BN3:BP3"/>
    <mergeCell ref="BQ3:BS3"/>
    <mergeCell ref="BT3:BV3"/>
    <mergeCell ref="BW3:BY3"/>
    <mergeCell ref="BZ3:CB3"/>
    <mergeCell ref="CC3:CE3"/>
    <mergeCell ref="CF3:CH3"/>
  </mergeCells>
  <drawing r:id="rId2"/>
  <legacyDrawing r:id="rId3"/>
</worksheet>
</file>